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m-lkw\Dropbox\Careers\JUPAS information\2023-2024\"/>
    </mc:Choice>
  </mc:AlternateContent>
  <xr:revisionPtr revIDLastSave="0" documentId="13_ncr:1_{C3F5A646-121D-45E3-B5F7-6F19C2B37A4C}" xr6:coauthVersionLast="47" xr6:coauthVersionMax="47" xr10:uidLastSave="{00000000-0000-0000-0000-000000000000}"/>
  <bookViews>
    <workbookView xWindow="-110" yWindow="-110" windowWidth="34620" windowHeight="13900" activeTab="1" xr2:uid="{00000000-000D-0000-FFFF-FFFF00000000}"/>
  </bookViews>
  <sheets>
    <sheet name="Table 1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1" i="2"/>
  <c r="AB2" i="1" a="1"/>
  <c r="AB2" i="1" s="1"/>
  <c r="AG2" i="1" s="1"/>
  <c r="AB3" i="1" a="1"/>
  <c r="AB3" i="1" s="1"/>
  <c r="AB4" i="1" a="1"/>
  <c r="AB4" i="1" s="1"/>
  <c r="AB5" i="1" a="1"/>
  <c r="AB5" i="1"/>
  <c r="AG5" i="1" s="1"/>
  <c r="AB6" i="1" a="1"/>
  <c r="AB6" i="1" s="1"/>
  <c r="AB7" i="1" a="1"/>
  <c r="AB7" i="1" s="1"/>
  <c r="AB8" i="1" a="1"/>
  <c r="AB8" i="1" s="1"/>
  <c r="AB9" i="1" a="1"/>
  <c r="AB9" i="1" s="1"/>
  <c r="AB10" i="1" a="1"/>
  <c r="AB10" i="1" s="1"/>
  <c r="AB11" i="1" a="1"/>
  <c r="AB11" i="1" s="1"/>
  <c r="AB12" i="1" a="1"/>
  <c r="AB12" i="1" s="1"/>
  <c r="AB13" i="1" a="1"/>
  <c r="AB13" i="1" s="1"/>
  <c r="AG13" i="1" s="1"/>
  <c r="AB14" i="1" a="1"/>
  <c r="AB14" i="1" s="1"/>
  <c r="AB15" i="1" a="1"/>
  <c r="AB15" i="1" s="1"/>
  <c r="AB16" i="1" a="1"/>
  <c r="AB16" i="1" s="1"/>
  <c r="AG16" i="1" s="1"/>
  <c r="AL16" i="1" s="1"/>
  <c r="AM16" i="1" s="1"/>
  <c r="AB17" i="1" a="1"/>
  <c r="AB17" i="1" s="1"/>
  <c r="AB18" i="1" a="1"/>
  <c r="AB18" i="1" s="1"/>
  <c r="AB19" i="1" a="1"/>
  <c r="AB19" i="1" s="1"/>
  <c r="AB20" i="1" a="1"/>
  <c r="AB20" i="1" s="1"/>
  <c r="AB21" i="1" a="1"/>
  <c r="AB21" i="1"/>
  <c r="AG21" i="1" s="1"/>
  <c r="AH21" i="1" s="1"/>
  <c r="AI21" i="1" s="1"/>
  <c r="AB22" i="1" a="1"/>
  <c r="AB22" i="1" s="1"/>
  <c r="AB23" i="1" a="1"/>
  <c r="AB23" i="1" s="1"/>
  <c r="AB24" i="1" a="1"/>
  <c r="AB24" i="1" s="1"/>
  <c r="AB25" i="1" a="1"/>
  <c r="AB25" i="1" s="1"/>
  <c r="AB26" i="1" a="1"/>
  <c r="AB26" i="1" s="1"/>
  <c r="AB27" i="1" a="1"/>
  <c r="AB27" i="1" s="1"/>
  <c r="AG27" i="1" s="1"/>
  <c r="AJ27" i="1" s="1"/>
  <c r="AK27" i="1" s="1"/>
  <c r="AB28" i="1" a="1"/>
  <c r="AB28" i="1" s="1"/>
  <c r="AB29" i="1" a="1"/>
  <c r="AB29" i="1" s="1"/>
  <c r="AB30" i="1" a="1"/>
  <c r="AB30" i="1" s="1"/>
  <c r="AB31" i="1" a="1"/>
  <c r="AB31" i="1" s="1"/>
  <c r="AB32" i="1" a="1"/>
  <c r="AB32" i="1" s="1"/>
  <c r="AG32" i="1" s="1"/>
  <c r="AL32" i="1" s="1"/>
  <c r="AM32" i="1" s="1"/>
  <c r="AB33" i="1" a="1"/>
  <c r="AB33" i="1" s="1"/>
  <c r="AB34" i="1" a="1"/>
  <c r="AB34" i="1" s="1"/>
  <c r="AB35" i="1" a="1"/>
  <c r="AB35" i="1" s="1"/>
  <c r="AB36" i="1" a="1"/>
  <c r="AB36" i="1" s="1"/>
  <c r="AG36" i="1" s="1"/>
  <c r="AB37" i="1" a="1"/>
  <c r="AB37" i="1" s="1"/>
  <c r="AB38" i="1" a="1"/>
  <c r="AB38" i="1" s="1"/>
  <c r="AB39" i="1" a="1"/>
  <c r="AB39" i="1" s="1"/>
  <c r="AB40" i="1" a="1"/>
  <c r="AB40" i="1" s="1"/>
  <c r="AB41" i="1" a="1"/>
  <c r="AB41" i="1" s="1"/>
  <c r="AG41" i="1" s="1"/>
  <c r="AB42" i="1" a="1"/>
  <c r="AB42" i="1" s="1"/>
  <c r="AB43" i="1" a="1"/>
  <c r="AB43" i="1" s="1"/>
  <c r="AB44" i="1" a="1"/>
  <c r="AB44" i="1" s="1"/>
  <c r="AB45" i="1" a="1"/>
  <c r="AB45" i="1" s="1"/>
  <c r="AB46" i="1" a="1"/>
  <c r="AB46" i="1" s="1"/>
  <c r="AB47" i="1" a="1"/>
  <c r="AB47" i="1" s="1"/>
  <c r="AB48" i="1" a="1"/>
  <c r="AB48" i="1"/>
  <c r="AB49" i="1" a="1"/>
  <c r="AB49" i="1" s="1"/>
  <c r="AB50" i="1" a="1"/>
  <c r="AB50" i="1" s="1"/>
  <c r="AB51" i="1" a="1"/>
  <c r="AB51" i="1" s="1"/>
  <c r="AB52" i="1" a="1"/>
  <c r="AB52" i="1" s="1"/>
  <c r="AB53" i="1" a="1"/>
  <c r="AB53" i="1" s="1"/>
  <c r="AG53" i="1" s="1"/>
  <c r="AB54" i="1" a="1"/>
  <c r="AB54" i="1" s="1"/>
  <c r="AB55" i="1" a="1"/>
  <c r="AB55" i="1" s="1"/>
  <c r="AB56" i="1" a="1"/>
  <c r="AB56" i="1" s="1"/>
  <c r="AB57" i="1" a="1"/>
  <c r="AB57" i="1" s="1"/>
  <c r="AB58" i="1" a="1"/>
  <c r="AB58" i="1" s="1"/>
  <c r="AB59" i="1" a="1"/>
  <c r="AB59" i="1" s="1"/>
  <c r="AB60" i="1" a="1"/>
  <c r="AB60" i="1" s="1"/>
  <c r="AB61" i="1" a="1"/>
  <c r="AB61" i="1" s="1"/>
  <c r="AB62" i="1" a="1"/>
  <c r="AB62" i="1" s="1"/>
  <c r="AB63" i="1" a="1"/>
  <c r="AB63" i="1" s="1"/>
  <c r="AB64" i="1" a="1"/>
  <c r="AB64" i="1"/>
  <c r="AB65" i="1" a="1"/>
  <c r="AB65" i="1" s="1"/>
  <c r="AB66" i="1" a="1"/>
  <c r="AB66" i="1" s="1"/>
  <c r="AB67" i="1" a="1"/>
  <c r="AB67" i="1" s="1"/>
  <c r="AB68" i="1" a="1"/>
  <c r="AB68" i="1" s="1"/>
  <c r="AB69" i="1" a="1"/>
  <c r="AB69" i="1"/>
  <c r="AG69" i="1" s="1"/>
  <c r="AL69" i="1" s="1"/>
  <c r="AB70" i="1" a="1"/>
  <c r="AB70" i="1" s="1"/>
  <c r="AB71" i="1" a="1"/>
  <c r="AB71" i="1" s="1"/>
  <c r="AB72" i="1" a="1"/>
  <c r="AB72" i="1" s="1"/>
  <c r="AB73" i="1" a="1"/>
  <c r="AB73" i="1" s="1"/>
  <c r="AB74" i="1" a="1"/>
  <c r="AB74" i="1" s="1"/>
  <c r="AB75" i="1" a="1"/>
  <c r="AB75" i="1" s="1"/>
  <c r="AB76" i="1" a="1"/>
  <c r="AB76" i="1" s="1"/>
  <c r="AB77" i="1" a="1"/>
  <c r="AB77" i="1" s="1"/>
  <c r="AG77" i="1" s="1"/>
  <c r="AL77" i="1" s="1"/>
  <c r="AM77" i="1" s="1"/>
  <c r="AB78" i="1" a="1"/>
  <c r="AB78" i="1" s="1"/>
  <c r="AB79" i="1" a="1"/>
  <c r="AB79" i="1" s="1"/>
  <c r="AB80" i="1" a="1"/>
  <c r="AB80" i="1" s="1"/>
  <c r="AB81" i="1" a="1"/>
  <c r="AB81" i="1" s="1"/>
  <c r="AB82" i="1" a="1"/>
  <c r="AB82" i="1" s="1"/>
  <c r="AB83" i="1" a="1"/>
  <c r="AB83" i="1" s="1"/>
  <c r="AB84" i="1" a="1"/>
  <c r="AB84" i="1" s="1"/>
  <c r="AB85" i="1" a="1"/>
  <c r="AB85" i="1"/>
  <c r="AG85" i="1" s="1"/>
  <c r="AL85" i="1" s="1"/>
  <c r="AM85" i="1" s="1"/>
  <c r="AB86" i="1" a="1"/>
  <c r="AB86" i="1" s="1"/>
  <c r="AB87" i="1" a="1"/>
  <c r="AB87" i="1" s="1"/>
  <c r="AB88" i="1" a="1"/>
  <c r="AB88" i="1" s="1"/>
  <c r="AB89" i="1" a="1"/>
  <c r="AB89" i="1" s="1"/>
  <c r="AB90" i="1" a="1"/>
  <c r="AB90" i="1" s="1"/>
  <c r="AB91" i="1" a="1"/>
  <c r="AB91" i="1" s="1"/>
  <c r="AG91" i="1" s="1"/>
  <c r="AB92" i="1" a="1"/>
  <c r="AB92" i="1" s="1"/>
  <c r="AB93" i="1" a="1"/>
  <c r="AB93" i="1" s="1"/>
  <c r="AG93" i="1" s="1"/>
  <c r="AB94" i="1" a="1"/>
  <c r="AB94" i="1" s="1"/>
  <c r="AB95" i="1" a="1"/>
  <c r="AB95" i="1" s="1"/>
  <c r="AB96" i="1" a="1"/>
  <c r="AB96" i="1" s="1"/>
  <c r="AG96" i="1" s="1"/>
  <c r="AB97" i="1" a="1"/>
  <c r="AB97" i="1" s="1"/>
  <c r="AB98" i="1" a="1"/>
  <c r="AB98" i="1" s="1"/>
  <c r="AG98" i="1" s="1"/>
  <c r="AB99" i="1" a="1"/>
  <c r="AB99" i="1" s="1"/>
  <c r="AB100" i="1" a="1"/>
  <c r="AB100" i="1" s="1"/>
  <c r="AG100" i="1" s="1"/>
  <c r="AH100" i="1" s="1"/>
  <c r="AI100" i="1" s="1"/>
  <c r="AB101" i="1" a="1"/>
  <c r="AB101" i="1" s="1"/>
  <c r="AG101" i="1" s="1"/>
  <c r="AL101" i="1" s="1"/>
  <c r="AM101" i="1" s="1"/>
  <c r="AB102" i="1" a="1"/>
  <c r="AB102" i="1" s="1"/>
  <c r="AB103" i="1" a="1"/>
  <c r="AB103" i="1" s="1"/>
  <c r="AB104" i="1" a="1"/>
  <c r="AB104" i="1" s="1"/>
  <c r="AB105" i="1" a="1"/>
  <c r="AB105" i="1" s="1"/>
  <c r="AB106" i="1" a="1"/>
  <c r="AB106" i="1" s="1"/>
  <c r="AB107" i="1" a="1"/>
  <c r="AB107" i="1" s="1"/>
  <c r="AB108" i="1" a="1"/>
  <c r="AB108" i="1" s="1"/>
  <c r="AB109" i="1" a="1"/>
  <c r="AB109" i="1" s="1"/>
  <c r="AB110" i="1" a="1"/>
  <c r="AB110" i="1" s="1"/>
  <c r="AB111" i="1" a="1"/>
  <c r="AB111" i="1" s="1"/>
  <c r="AB112" i="1" a="1"/>
  <c r="AB112" i="1"/>
  <c r="AB113" i="1" a="1"/>
  <c r="AB113" i="1" s="1"/>
  <c r="AB114" i="1" a="1"/>
  <c r="AB114" i="1" s="1"/>
  <c r="AG114" i="1" s="1"/>
  <c r="AL114" i="1" s="1"/>
  <c r="AB115" i="1" a="1"/>
  <c r="AB115" i="1" s="1"/>
  <c r="AB116" i="1" a="1"/>
  <c r="AB116" i="1" s="1"/>
  <c r="AB117" i="1" a="1"/>
  <c r="AB117" i="1" s="1"/>
  <c r="AG117" i="1" s="1"/>
  <c r="AL117" i="1" s="1"/>
  <c r="AM117" i="1" s="1"/>
  <c r="AB118" i="1" a="1"/>
  <c r="AB118" i="1" s="1"/>
  <c r="AB119" i="1" a="1"/>
  <c r="AB119" i="1" s="1"/>
  <c r="AB120" i="1" a="1"/>
  <c r="AB120" i="1" s="1"/>
  <c r="AB121" i="1" a="1"/>
  <c r="AB121" i="1" s="1"/>
  <c r="AG121" i="1" s="1"/>
  <c r="AB122" i="1" a="1"/>
  <c r="AB122" i="1" s="1"/>
  <c r="AB123" i="1" a="1"/>
  <c r="AB123" i="1" s="1"/>
  <c r="AB124" i="1" a="1"/>
  <c r="AB124" i="1" s="1"/>
  <c r="AB125" i="1" a="1"/>
  <c r="AB125" i="1" s="1"/>
  <c r="AB126" i="1" a="1"/>
  <c r="AB126" i="1" s="1"/>
  <c r="AB127" i="1" a="1"/>
  <c r="AB127" i="1" s="1"/>
  <c r="AB128" i="1" a="1"/>
  <c r="AB128" i="1"/>
  <c r="AB129" i="1" a="1"/>
  <c r="AB129" i="1" s="1"/>
  <c r="AB130" i="1" a="1"/>
  <c r="AB130" i="1" s="1"/>
  <c r="AB131" i="1" a="1"/>
  <c r="AB131" i="1" s="1"/>
  <c r="AB132" i="1" a="1"/>
  <c r="AB132" i="1" s="1"/>
  <c r="AB133" i="1" a="1"/>
  <c r="AB133" i="1"/>
  <c r="AG133" i="1" s="1"/>
  <c r="AL133" i="1" s="1"/>
  <c r="AM133" i="1" s="1"/>
  <c r="AB134" i="1" a="1"/>
  <c r="AB134" i="1" s="1"/>
  <c r="AB135" i="1" a="1"/>
  <c r="AB135" i="1" s="1"/>
  <c r="AB136" i="1" a="1"/>
  <c r="AB136" i="1" s="1"/>
  <c r="AB137" i="1" a="1"/>
  <c r="AB137" i="1" s="1"/>
  <c r="AB138" i="1" a="1"/>
  <c r="AB138" i="1" s="1"/>
  <c r="AB139" i="1" a="1"/>
  <c r="AB139" i="1" s="1"/>
  <c r="AB140" i="1" a="1"/>
  <c r="AB140" i="1" s="1"/>
  <c r="AB141" i="1" a="1"/>
  <c r="AB141" i="1" s="1"/>
  <c r="AG141" i="1" s="1"/>
  <c r="AB142" i="1" a="1"/>
  <c r="AB142" i="1" s="1"/>
  <c r="AB143" i="1" a="1"/>
  <c r="AB143" i="1" s="1"/>
  <c r="AB144" i="1" a="1"/>
  <c r="AB144" i="1" s="1"/>
  <c r="AB145" i="1" a="1"/>
  <c r="AB145" i="1" s="1"/>
  <c r="AB146" i="1" a="1"/>
  <c r="AB146" i="1" s="1"/>
  <c r="AB147" i="1" a="1"/>
  <c r="AB147" i="1" s="1"/>
  <c r="AB148" i="1" a="1"/>
  <c r="AB148" i="1" s="1"/>
  <c r="AG148" i="1" s="1"/>
  <c r="AH148" i="1" s="1"/>
  <c r="AI148" i="1" s="1"/>
  <c r="AB149" i="1" a="1"/>
  <c r="AB149" i="1"/>
  <c r="AB150" i="1" a="1"/>
  <c r="AB150" i="1" s="1"/>
  <c r="AB151" i="1" a="1"/>
  <c r="AB151" i="1" s="1"/>
  <c r="AB152" i="1" a="1"/>
  <c r="AB152" i="1" s="1"/>
  <c r="AB153" i="1" a="1"/>
  <c r="AB153" i="1" s="1"/>
  <c r="AB154" i="1" a="1"/>
  <c r="AB154" i="1" s="1"/>
  <c r="AB155" i="1" a="1"/>
  <c r="AB155" i="1" s="1"/>
  <c r="AG155" i="1" s="1"/>
  <c r="AB156" i="1" a="1"/>
  <c r="AB156" i="1" s="1"/>
  <c r="AB157" i="1" a="1"/>
  <c r="AB157" i="1" s="1"/>
  <c r="AG157" i="1" s="1"/>
  <c r="AH157" i="1" s="1"/>
  <c r="AI157" i="1" s="1"/>
  <c r="AB158" i="1" a="1"/>
  <c r="AB158" i="1" s="1"/>
  <c r="AB159" i="1" a="1"/>
  <c r="AB159" i="1" s="1"/>
  <c r="AB160" i="1" a="1"/>
  <c r="AB160" i="1" s="1"/>
  <c r="AB161" i="1" a="1"/>
  <c r="AB161" i="1" s="1"/>
  <c r="AB162" i="1" a="1"/>
  <c r="AB162" i="1" s="1"/>
  <c r="AB163" i="1" a="1"/>
  <c r="AB163" i="1" s="1"/>
  <c r="AB164" i="1" a="1"/>
  <c r="AB164" i="1" s="1"/>
  <c r="AB165" i="1" a="1"/>
  <c r="AB165" i="1" s="1"/>
  <c r="AG165" i="1" s="1"/>
  <c r="AB166" i="1" a="1"/>
  <c r="AB166" i="1" s="1"/>
  <c r="AB167" i="1" a="1"/>
  <c r="AB167" i="1" s="1"/>
  <c r="AB168" i="1" a="1"/>
  <c r="AB168" i="1" s="1"/>
  <c r="AB169" i="1" a="1"/>
  <c r="AB169" i="1" s="1"/>
  <c r="AG169" i="1" s="1"/>
  <c r="AB170" i="1" a="1"/>
  <c r="AB170" i="1" s="1"/>
  <c r="AB171" i="1" a="1"/>
  <c r="AB171" i="1" s="1"/>
  <c r="AG171" i="1" s="1"/>
  <c r="AB172" i="1" a="1"/>
  <c r="AB172" i="1" s="1"/>
  <c r="AB173" i="1" a="1"/>
  <c r="AB173" i="1" s="1"/>
  <c r="AB174" i="1" a="1"/>
  <c r="AB174" i="1" s="1"/>
  <c r="AB175" i="1" a="1"/>
  <c r="AB175" i="1" s="1"/>
  <c r="AB176" i="1" a="1"/>
  <c r="AB176" i="1"/>
  <c r="AB177" i="1" a="1"/>
  <c r="AB177" i="1" s="1"/>
  <c r="AB178" i="1" a="1"/>
  <c r="AB178" i="1" s="1"/>
  <c r="AB179" i="1" a="1"/>
  <c r="AB179" i="1" s="1"/>
  <c r="AB180" i="1" a="1"/>
  <c r="AB180" i="1" s="1"/>
  <c r="AB181" i="1" a="1"/>
  <c r="AB181" i="1" s="1"/>
  <c r="AG181" i="1" s="1"/>
  <c r="AB182" i="1" a="1"/>
  <c r="AB182" i="1" s="1"/>
  <c r="AB183" i="1" a="1"/>
  <c r="AB183" i="1" s="1"/>
  <c r="AB184" i="1" a="1"/>
  <c r="AB184" i="1" s="1"/>
  <c r="AB185" i="1" a="1"/>
  <c r="AB185" i="1" s="1"/>
  <c r="AG185" i="1" s="1"/>
  <c r="AB186" i="1" a="1"/>
  <c r="AB186" i="1" s="1"/>
  <c r="AB187" i="1" a="1"/>
  <c r="AB187" i="1" s="1"/>
  <c r="AB188" i="1" a="1"/>
  <c r="AB188" i="1" s="1"/>
  <c r="AB189" i="1" a="1"/>
  <c r="AB189" i="1" s="1"/>
  <c r="AB190" i="1" a="1"/>
  <c r="AB190" i="1" s="1"/>
  <c r="AB191" i="1" a="1"/>
  <c r="AB191" i="1" s="1"/>
  <c r="AB192" i="1" a="1"/>
  <c r="AB192" i="1"/>
  <c r="AG192" i="1" s="1"/>
  <c r="AL192" i="1" s="1"/>
  <c r="AM192" i="1" s="1"/>
  <c r="AB193" i="1" a="1"/>
  <c r="AB193" i="1" s="1"/>
  <c r="AB194" i="1" a="1"/>
  <c r="AB194" i="1" s="1"/>
  <c r="AB195" i="1" a="1"/>
  <c r="AB195" i="1" s="1"/>
  <c r="AB196" i="1" a="1"/>
  <c r="AB196" i="1" s="1"/>
  <c r="AB197" i="1" a="1"/>
  <c r="AB197" i="1"/>
  <c r="AB198" i="1" a="1"/>
  <c r="AB198" i="1" s="1"/>
  <c r="AB199" i="1" a="1"/>
  <c r="AB199" i="1" s="1"/>
  <c r="AB200" i="1" a="1"/>
  <c r="AB200" i="1" s="1"/>
  <c r="AB201" i="1" a="1"/>
  <c r="AB201" i="1" s="1"/>
  <c r="AB202" i="1" a="1"/>
  <c r="AB202" i="1" s="1"/>
  <c r="AB203" i="1" a="1"/>
  <c r="AB203" i="1" s="1"/>
  <c r="AB204" i="1" a="1"/>
  <c r="AB204" i="1" s="1"/>
  <c r="AB205" i="1" a="1"/>
  <c r="AB205" i="1" s="1"/>
  <c r="AB206" i="1" a="1"/>
  <c r="AB206" i="1" s="1"/>
  <c r="AB207" i="1" a="1"/>
  <c r="AB207" i="1" s="1"/>
  <c r="AG207" i="1" s="1"/>
  <c r="AL207" i="1" s="1"/>
  <c r="AM207" i="1" s="1"/>
  <c r="AB208" i="1" a="1"/>
  <c r="AB208" i="1" s="1"/>
  <c r="AG208" i="1" s="1"/>
  <c r="AB209" i="1" a="1"/>
  <c r="AB209" i="1" s="1"/>
  <c r="AB210" i="1" a="1"/>
  <c r="AB210" i="1" s="1"/>
  <c r="AB211" i="1" a="1"/>
  <c r="AB211" i="1" s="1"/>
  <c r="AB212" i="1" a="1"/>
  <c r="AB212" i="1" s="1"/>
  <c r="AB213" i="1" a="1"/>
  <c r="AB213" i="1"/>
  <c r="AB214" i="1" a="1"/>
  <c r="AB214" i="1" s="1"/>
  <c r="AB215" i="1" a="1"/>
  <c r="AB215" i="1" s="1"/>
  <c r="AB216" i="1" a="1"/>
  <c r="AB216" i="1" s="1"/>
  <c r="AB217" i="1" a="1"/>
  <c r="AB217" i="1" s="1"/>
  <c r="AB218" i="1" a="1"/>
  <c r="AB218" i="1" s="1"/>
  <c r="AB219" i="1" a="1"/>
  <c r="AB219" i="1" s="1"/>
  <c r="AB220" i="1" a="1"/>
  <c r="AB220" i="1" s="1"/>
  <c r="AB221" i="1" a="1"/>
  <c r="AB221" i="1" s="1"/>
  <c r="AB222" i="1" a="1"/>
  <c r="AB222" i="1" s="1"/>
  <c r="AB223" i="1" a="1"/>
  <c r="AB223" i="1" s="1"/>
  <c r="AB224" i="1" a="1"/>
  <c r="AB224" i="1" s="1"/>
  <c r="AG224" i="1" s="1"/>
  <c r="AB225" i="1" a="1"/>
  <c r="AB225" i="1" s="1"/>
  <c r="AB226" i="1" a="1"/>
  <c r="AB226" i="1" s="1"/>
  <c r="AB227" i="1" a="1"/>
  <c r="AB227" i="1" s="1"/>
  <c r="AB228" i="1" a="1"/>
  <c r="AB228" i="1" s="1"/>
  <c r="AG228" i="1" s="1"/>
  <c r="AB229" i="1" a="1"/>
  <c r="AB229" i="1" s="1"/>
  <c r="AB230" i="1" a="1"/>
  <c r="AB230" i="1" s="1"/>
  <c r="AB231" i="1" a="1"/>
  <c r="AB231" i="1" s="1"/>
  <c r="AB232" i="1" a="1"/>
  <c r="AB232" i="1" s="1"/>
  <c r="AB233" i="1" a="1"/>
  <c r="AB233" i="1" s="1"/>
  <c r="AG233" i="1" s="1"/>
  <c r="AB234" i="1" a="1"/>
  <c r="AB234" i="1" s="1"/>
  <c r="AB235" i="1" a="1"/>
  <c r="AB235" i="1" s="1"/>
  <c r="AB236" i="1" a="1"/>
  <c r="AB236" i="1" s="1"/>
  <c r="AB237" i="1" a="1"/>
  <c r="AB237" i="1" s="1"/>
  <c r="AB238" i="1" a="1"/>
  <c r="AB238" i="1" s="1"/>
  <c r="AB239" i="1" a="1"/>
  <c r="AB239" i="1" s="1"/>
  <c r="AB240" i="1" a="1"/>
  <c r="AB240" i="1"/>
  <c r="AG240" i="1" s="1"/>
  <c r="AJ240" i="1" s="1"/>
  <c r="AK240" i="1" s="1"/>
  <c r="AB241" i="1" a="1"/>
  <c r="AB241" i="1" s="1"/>
  <c r="AB242" i="1" a="1"/>
  <c r="AB242" i="1" s="1"/>
  <c r="AB243" i="1" a="1"/>
  <c r="AB243" i="1" s="1"/>
  <c r="AB244" i="1" a="1"/>
  <c r="AB244" i="1" s="1"/>
  <c r="AB245" i="1" a="1"/>
  <c r="AB245" i="1" s="1"/>
  <c r="AB246" i="1" a="1"/>
  <c r="AB246" i="1" s="1"/>
  <c r="AB247" i="1" a="1"/>
  <c r="AB247" i="1" s="1"/>
  <c r="AB248" i="1" a="1"/>
  <c r="AB248" i="1" s="1"/>
  <c r="AB249" i="1" a="1"/>
  <c r="AB249" i="1" s="1"/>
  <c r="AB250" i="1" a="1"/>
  <c r="AB250" i="1" s="1"/>
  <c r="AB251" i="1" a="1"/>
  <c r="AB251" i="1" s="1"/>
  <c r="AB252" i="1" a="1"/>
  <c r="AB252" i="1" s="1"/>
  <c r="AB253" i="1" a="1"/>
  <c r="AB253" i="1" s="1"/>
  <c r="AB254" i="1" a="1"/>
  <c r="AB254" i="1" s="1"/>
  <c r="AB255" i="1" a="1"/>
  <c r="AB255" i="1" s="1"/>
  <c r="AG255" i="1" s="1"/>
  <c r="AJ255" i="1" s="1"/>
  <c r="AB256" i="1" a="1"/>
  <c r="AB256" i="1"/>
  <c r="AG256" i="1" s="1"/>
  <c r="AJ256" i="1" s="1"/>
  <c r="AB257" i="1" a="1"/>
  <c r="AB257" i="1" s="1"/>
  <c r="AB258" i="1" a="1"/>
  <c r="AB258" i="1" s="1"/>
  <c r="AB259" i="1" a="1"/>
  <c r="AB259" i="1" s="1"/>
  <c r="AB260" i="1" a="1"/>
  <c r="AB260" i="1" s="1"/>
  <c r="AB261" i="1" a="1"/>
  <c r="AB261" i="1"/>
  <c r="AB262" i="1" a="1"/>
  <c r="AB262" i="1" s="1"/>
  <c r="AB263" i="1" a="1"/>
  <c r="AB263" i="1" s="1"/>
  <c r="AG263" i="1" s="1"/>
  <c r="AL263" i="1" s="1"/>
  <c r="AM263" i="1" s="1"/>
  <c r="AB264" i="1" a="1"/>
  <c r="AB264" i="1" s="1"/>
  <c r="AB265" i="1" a="1"/>
  <c r="AB265" i="1" s="1"/>
  <c r="AB266" i="1" a="1"/>
  <c r="AB266" i="1" s="1"/>
  <c r="AB267" i="1" a="1"/>
  <c r="AB267" i="1" s="1"/>
  <c r="AB268" i="1" a="1"/>
  <c r="AB268" i="1" s="1"/>
  <c r="AB269" i="1" a="1"/>
  <c r="AB269" i="1" s="1"/>
  <c r="AB270" i="1" a="1"/>
  <c r="AB270" i="1" s="1"/>
  <c r="AB271" i="1" a="1"/>
  <c r="AB271" i="1" s="1"/>
  <c r="AG271" i="1" s="1"/>
  <c r="AL271" i="1" s="1"/>
  <c r="AM271" i="1" s="1"/>
  <c r="AB272" i="1" a="1"/>
  <c r="AB272" i="1" s="1"/>
  <c r="AG272" i="1" s="1"/>
  <c r="AB273" i="1" a="1"/>
  <c r="AB273" i="1" s="1"/>
  <c r="AB274" i="1" a="1"/>
  <c r="AB274" i="1" s="1"/>
  <c r="AB275" i="1" a="1"/>
  <c r="AB275" i="1" s="1"/>
  <c r="AB276" i="1" a="1"/>
  <c r="AB276" i="1" s="1"/>
  <c r="AG276" i="1" s="1"/>
  <c r="AB277" i="1" a="1"/>
  <c r="AB277" i="1"/>
  <c r="AG277" i="1" s="1"/>
  <c r="AJ277" i="1" s="1"/>
  <c r="AB278" i="1" a="1"/>
  <c r="AB278" i="1" s="1"/>
  <c r="AB279" i="1" a="1"/>
  <c r="AB279" i="1" s="1"/>
  <c r="AB280" i="1" a="1"/>
  <c r="AB280" i="1" s="1"/>
  <c r="AB281" i="1" a="1"/>
  <c r="AB281" i="1" s="1"/>
  <c r="AB282" i="1" a="1"/>
  <c r="AB282" i="1" s="1"/>
  <c r="AB283" i="1" a="1"/>
  <c r="AB283" i="1" s="1"/>
  <c r="AB284" i="1" a="1"/>
  <c r="AB284" i="1" s="1"/>
  <c r="AB285" i="1" a="1"/>
  <c r="AB285" i="1" s="1"/>
  <c r="AB286" i="1" a="1"/>
  <c r="AB286" i="1" s="1"/>
  <c r="AB287" i="1" a="1"/>
  <c r="AB287" i="1" s="1"/>
  <c r="AB288" i="1" a="1"/>
  <c r="AB288" i="1" s="1"/>
  <c r="AG288" i="1" s="1"/>
  <c r="AB289" i="1" a="1"/>
  <c r="AB289" i="1" s="1"/>
  <c r="AB290" i="1" a="1"/>
  <c r="AB290" i="1" s="1"/>
  <c r="AB291" i="1" a="1"/>
  <c r="AB291" i="1" s="1"/>
  <c r="AB292" i="1" a="1"/>
  <c r="AB292" i="1" s="1"/>
  <c r="AB293" i="1" a="1"/>
  <c r="AB293" i="1" s="1"/>
  <c r="AB294" i="1" a="1"/>
  <c r="AB294" i="1" s="1"/>
  <c r="AB295" i="1" a="1"/>
  <c r="AB295" i="1" s="1"/>
  <c r="AB296" i="1" a="1"/>
  <c r="AB296" i="1" s="1"/>
  <c r="AB297" i="1" a="1"/>
  <c r="AB297" i="1" s="1"/>
  <c r="AB298" i="1" a="1"/>
  <c r="AB298" i="1" s="1"/>
  <c r="AB299" i="1" a="1"/>
  <c r="AB299" i="1" s="1"/>
  <c r="AB300" i="1" a="1"/>
  <c r="AB300" i="1" s="1"/>
  <c r="AB301" i="1" a="1"/>
  <c r="AB301" i="1" s="1"/>
  <c r="AB302" i="1" a="1"/>
  <c r="AB302" i="1" s="1"/>
  <c r="AB303" i="1" a="1"/>
  <c r="AB303" i="1" s="1"/>
  <c r="AB304" i="1" a="1"/>
  <c r="AB304" i="1"/>
  <c r="AG304" i="1" s="1"/>
  <c r="AJ304" i="1" s="1"/>
  <c r="AK304" i="1" s="1"/>
  <c r="AB305" i="1" a="1"/>
  <c r="AB305" i="1" s="1"/>
  <c r="AB306" i="1" a="1"/>
  <c r="AB306" i="1" s="1"/>
  <c r="AB307" i="1" a="1"/>
  <c r="AB307" i="1" s="1"/>
  <c r="AB308" i="1" a="1"/>
  <c r="AB308" i="1" s="1"/>
  <c r="AB309" i="1" a="1"/>
  <c r="AB309" i="1" s="1"/>
  <c r="AG309" i="1" s="1"/>
  <c r="AH309" i="1" s="1"/>
  <c r="AB310" i="1" a="1"/>
  <c r="AB310" i="1" s="1"/>
  <c r="AB311" i="1" a="1"/>
  <c r="AB311" i="1" s="1"/>
  <c r="AB312" i="1" a="1"/>
  <c r="AB312" i="1" s="1"/>
  <c r="AB313" i="1" a="1"/>
  <c r="AB313" i="1" s="1"/>
  <c r="AB314" i="1" a="1"/>
  <c r="AB314" i="1" s="1"/>
  <c r="AB315" i="1" a="1"/>
  <c r="AB315" i="1" s="1"/>
  <c r="AB316" i="1" a="1"/>
  <c r="AB316" i="1" s="1"/>
  <c r="AB317" i="1" a="1"/>
  <c r="AB317" i="1" s="1"/>
  <c r="AB318" i="1" a="1"/>
  <c r="AB318" i="1" s="1"/>
  <c r="AB319" i="1" a="1"/>
  <c r="AB319" i="1" s="1"/>
  <c r="AG319" i="1" s="1"/>
  <c r="AL319" i="1" s="1"/>
  <c r="AM319" i="1" s="1"/>
  <c r="AB320" i="1" a="1"/>
  <c r="AB320" i="1"/>
  <c r="AB321" i="1" a="1"/>
  <c r="AB321" i="1" s="1"/>
  <c r="AB322" i="1" a="1"/>
  <c r="AB322" i="1" s="1"/>
  <c r="AB323" i="1" a="1"/>
  <c r="AB323" i="1" s="1"/>
  <c r="AB324" i="1" a="1"/>
  <c r="AB324" i="1" s="1"/>
  <c r="AB325" i="1" a="1"/>
  <c r="AB325" i="1"/>
  <c r="AG325" i="1" s="1"/>
  <c r="AH325" i="1" s="1"/>
  <c r="AI325" i="1" s="1"/>
  <c r="AB326" i="1" a="1"/>
  <c r="AB326" i="1" s="1"/>
  <c r="AB327" i="1" a="1"/>
  <c r="AB327" i="1" s="1"/>
  <c r="AG327" i="1" s="1"/>
  <c r="AL327" i="1" s="1"/>
  <c r="AB328" i="1" a="1"/>
  <c r="AB328" i="1" s="1"/>
  <c r="AB329" i="1" a="1"/>
  <c r="AB329" i="1" s="1"/>
  <c r="AB330" i="1" a="1"/>
  <c r="AB330" i="1" s="1"/>
  <c r="AB331" i="1" a="1"/>
  <c r="AB331" i="1" s="1"/>
  <c r="AB332" i="1" a="1"/>
  <c r="AB332" i="1" s="1"/>
  <c r="AB333" i="1" a="1"/>
  <c r="AB333" i="1" s="1"/>
  <c r="AB334" i="1" a="1"/>
  <c r="AB334" i="1" s="1"/>
  <c r="AB335" i="1" a="1"/>
  <c r="AB335" i="1" s="1"/>
  <c r="AG335" i="1" s="1"/>
  <c r="AL335" i="1" s="1"/>
  <c r="AM335" i="1" s="1"/>
  <c r="AB336" i="1" a="1"/>
  <c r="AB336" i="1" s="1"/>
  <c r="AG336" i="1" s="1"/>
  <c r="AB337" i="1" a="1"/>
  <c r="AB337" i="1" s="1"/>
  <c r="AB338" i="1" a="1"/>
  <c r="AB338" i="1" s="1"/>
  <c r="AB339" i="1" a="1"/>
  <c r="AB339" i="1" s="1"/>
  <c r="AB340" i="1" a="1"/>
  <c r="AB340" i="1" s="1"/>
  <c r="AB341" i="1" a="1"/>
  <c r="AB341" i="1"/>
  <c r="AB342" i="1" a="1"/>
  <c r="AB342" i="1" s="1"/>
  <c r="AB343" i="1" a="1"/>
  <c r="AB343" i="1" s="1"/>
  <c r="AB344" i="1" a="1"/>
  <c r="AB344" i="1" s="1"/>
  <c r="AG344" i="1" s="1"/>
  <c r="AB345" i="1" a="1"/>
  <c r="AB345" i="1" s="1"/>
  <c r="AB346" i="1" a="1"/>
  <c r="AB346" i="1" s="1"/>
  <c r="AB347" i="1" a="1"/>
  <c r="AB347" i="1" s="1"/>
  <c r="AB348" i="1" a="1"/>
  <c r="AB348" i="1" s="1"/>
  <c r="AG348" i="1" s="1"/>
  <c r="AB349" i="1" a="1"/>
  <c r="AB349" i="1" s="1"/>
  <c r="AB350" i="1" a="1"/>
  <c r="AB350" i="1" s="1"/>
  <c r="AB351" i="1" a="1"/>
  <c r="AB351" i="1" s="1"/>
  <c r="AB352" i="1" a="1"/>
  <c r="AB352" i="1"/>
  <c r="AG352" i="1" s="1"/>
  <c r="AB353" i="1" a="1"/>
  <c r="AB353" i="1" s="1"/>
  <c r="AB354" i="1" a="1"/>
  <c r="AB354" i="1" s="1"/>
  <c r="AG354" i="1" s="1"/>
  <c r="AB355" i="1" a="1"/>
  <c r="AB355" i="1" s="1"/>
  <c r="AB356" i="1" a="1"/>
  <c r="AB356" i="1"/>
  <c r="AB357" i="1" a="1"/>
  <c r="AB357" i="1" s="1"/>
  <c r="AB358" i="1" a="1"/>
  <c r="AB358" i="1" s="1"/>
  <c r="AB359" i="1" a="1"/>
  <c r="AB359" i="1" s="1"/>
  <c r="AB360" i="1" a="1"/>
  <c r="AB360" i="1"/>
  <c r="AG360" i="1" s="1"/>
  <c r="AB361" i="1" a="1"/>
  <c r="AB361" i="1" s="1"/>
  <c r="AB362" i="1" a="1"/>
  <c r="AB362" i="1" s="1"/>
  <c r="AB363" i="1" a="1"/>
  <c r="AB363" i="1" s="1"/>
  <c r="AB364" i="1" a="1"/>
  <c r="AB364" i="1"/>
  <c r="AB365" i="1" a="1"/>
  <c r="AB365" i="1" s="1"/>
  <c r="AG365" i="1" s="1"/>
  <c r="AB366" i="1" a="1"/>
  <c r="AB366" i="1" s="1"/>
  <c r="AB367" i="1" a="1"/>
  <c r="AB367" i="1" s="1"/>
  <c r="AG367" i="1" s="1"/>
  <c r="AB368" i="1" a="1"/>
  <c r="AB368" i="1" s="1"/>
  <c r="AG368" i="1" s="1"/>
  <c r="AB369" i="1" a="1"/>
  <c r="AB369" i="1" s="1"/>
  <c r="AB370" i="1" a="1"/>
  <c r="AB370" i="1" s="1"/>
  <c r="AB371" i="1" a="1"/>
  <c r="AB371" i="1" s="1"/>
  <c r="AB372" i="1" a="1"/>
  <c r="AB372" i="1" s="1"/>
  <c r="AG372" i="1" s="1"/>
  <c r="AB373" i="1" a="1"/>
  <c r="AB373" i="1" s="1"/>
  <c r="AG373" i="1" s="1"/>
  <c r="AH373" i="1" s="1"/>
  <c r="AI373" i="1" s="1"/>
  <c r="AB374" i="1" a="1"/>
  <c r="AB374" i="1" s="1"/>
  <c r="AB375" i="1" a="1"/>
  <c r="AB375" i="1"/>
  <c r="AB376" i="1" a="1"/>
  <c r="AB376" i="1"/>
  <c r="AB377" i="1" a="1"/>
  <c r="AB377" i="1" s="1"/>
  <c r="AB378" i="1" a="1"/>
  <c r="AB378" i="1" s="1"/>
  <c r="AB379" i="1" a="1"/>
  <c r="AB379" i="1" s="1"/>
  <c r="AB380" i="1" a="1"/>
  <c r="AB380" i="1" s="1"/>
  <c r="AG380" i="1" s="1"/>
  <c r="AB381" i="1" a="1"/>
  <c r="AB381" i="1" s="1"/>
  <c r="AB382" i="1" a="1"/>
  <c r="AB382" i="1"/>
  <c r="AB383" i="1" a="1"/>
  <c r="AB383" i="1" s="1"/>
  <c r="AG383" i="1" s="1"/>
  <c r="AL383" i="1" s="1"/>
  <c r="AM383" i="1" s="1"/>
  <c r="AB384" i="1" a="1"/>
  <c r="AB384" i="1" s="1"/>
  <c r="AB385" i="1" a="1"/>
  <c r="AB385" i="1" s="1"/>
  <c r="AB386" i="1" a="1"/>
  <c r="AB386" i="1"/>
  <c r="AB387" i="1" a="1"/>
  <c r="AB387" i="1" s="1"/>
  <c r="AB388" i="1" a="1"/>
  <c r="AB388" i="1"/>
  <c r="AG388" i="1" s="1"/>
  <c r="AB389" i="1" a="1"/>
  <c r="AB389" i="1" s="1"/>
  <c r="AB390" i="1" a="1"/>
  <c r="AB390" i="1" s="1"/>
  <c r="AB391" i="1" a="1"/>
  <c r="AB391" i="1" s="1"/>
  <c r="AB392" i="1" a="1"/>
  <c r="AB392" i="1"/>
  <c r="AB393" i="1" a="1"/>
  <c r="AB393" i="1" s="1"/>
  <c r="AB394" i="1" a="1"/>
  <c r="AB394" i="1" s="1"/>
  <c r="AB395" i="1" a="1"/>
  <c r="AB395" i="1" s="1"/>
  <c r="AB396" i="1" a="1"/>
  <c r="AB396" i="1" s="1"/>
  <c r="AG396" i="1" s="1"/>
  <c r="AB397" i="1" a="1"/>
  <c r="AB397" i="1" s="1"/>
  <c r="AB398" i="1" a="1"/>
  <c r="AB398" i="1" s="1"/>
  <c r="AB399" i="1" a="1"/>
  <c r="AB399" i="1" s="1"/>
  <c r="AB400" i="1" a="1"/>
  <c r="AB400" i="1" s="1"/>
  <c r="AG400" i="1" s="1"/>
  <c r="AB401" i="1" a="1"/>
  <c r="AB401" i="1" s="1"/>
  <c r="AB402" i="1" a="1"/>
  <c r="AB402" i="1" s="1"/>
  <c r="AB403" i="1" a="1"/>
  <c r="AB403" i="1" s="1"/>
  <c r="AB404" i="1" a="1"/>
  <c r="AB404" i="1"/>
  <c r="AB405" i="1" a="1"/>
  <c r="AB405" i="1" s="1"/>
  <c r="AG405" i="1" s="1"/>
  <c r="AH405" i="1" s="1"/>
  <c r="AI405" i="1" s="1"/>
  <c r="AB406" i="1" a="1"/>
  <c r="AB406" i="1" s="1"/>
  <c r="AB407" i="1" a="1"/>
  <c r="AB407" i="1" s="1"/>
  <c r="AG407" i="1" s="1"/>
  <c r="AL407" i="1" s="1"/>
  <c r="AM407" i="1" s="1"/>
  <c r="AB408" i="1" a="1"/>
  <c r="AB408" i="1" s="1"/>
  <c r="AG408" i="1" s="1"/>
  <c r="AB409" i="1" a="1"/>
  <c r="AB409" i="1" s="1"/>
  <c r="AB410" i="1" a="1"/>
  <c r="AB410" i="1" s="1"/>
  <c r="AB411" i="1" a="1"/>
  <c r="AB411" i="1" s="1"/>
  <c r="AB412" i="1" a="1"/>
  <c r="AB412" i="1" s="1"/>
  <c r="AG412" i="1" s="1"/>
  <c r="AB413" i="1" a="1"/>
  <c r="AB413" i="1" s="1"/>
  <c r="AG413" i="1" s="1"/>
  <c r="AH413" i="1" s="1"/>
  <c r="AI413" i="1" s="1"/>
  <c r="AB414" i="1" a="1"/>
  <c r="AB414" i="1" s="1"/>
  <c r="AB415" i="1" a="1"/>
  <c r="AB415" i="1" s="1"/>
  <c r="AB416" i="1" a="1"/>
  <c r="AB416" i="1" s="1"/>
  <c r="AG416" i="1" s="1"/>
  <c r="AB417" i="1" a="1"/>
  <c r="AB417" i="1" s="1"/>
  <c r="AB418" i="1" a="1"/>
  <c r="AB418" i="1" s="1"/>
  <c r="AB419" i="1" a="1"/>
  <c r="AB419" i="1" s="1"/>
  <c r="AB420" i="1" a="1"/>
  <c r="AB420" i="1" s="1"/>
  <c r="AB421" i="1" a="1"/>
  <c r="AB421" i="1" s="1"/>
  <c r="AB422" i="1" a="1"/>
  <c r="AB422" i="1" s="1"/>
  <c r="AB423" i="1" a="1"/>
  <c r="AB423" i="1" s="1"/>
  <c r="AB424" i="1" a="1"/>
  <c r="AB424" i="1"/>
  <c r="AG424" i="1" s="1"/>
  <c r="AB425" i="1" a="1"/>
  <c r="AB425" i="1" s="1"/>
  <c r="AB426" i="1" a="1"/>
  <c r="AB426" i="1" s="1"/>
  <c r="AB427" i="1" a="1"/>
  <c r="AB427" i="1" s="1"/>
  <c r="AB428" i="1" a="1"/>
  <c r="AB428" i="1" s="1"/>
  <c r="AG428" i="1" s="1"/>
  <c r="AJ428" i="1" s="1"/>
  <c r="AK428" i="1" s="1"/>
  <c r="AB429" i="1" a="1"/>
  <c r="AB429" i="1" s="1"/>
  <c r="AG429" i="1" s="1"/>
  <c r="AB430" i="1" a="1"/>
  <c r="AB430" i="1" s="1"/>
  <c r="AB431" i="1" a="1"/>
  <c r="AB431" i="1" s="1"/>
  <c r="AB432" i="1" a="1"/>
  <c r="AB432" i="1" s="1"/>
  <c r="AB433" i="1" a="1"/>
  <c r="AB433" i="1" s="1"/>
  <c r="AB434" i="1" a="1"/>
  <c r="AB434" i="1" s="1"/>
  <c r="AB435" i="1" a="1"/>
  <c r="AB435" i="1" s="1"/>
  <c r="AB436" i="1" a="1"/>
  <c r="AB436" i="1" s="1"/>
  <c r="AG436" i="1" s="1"/>
  <c r="AL436" i="1" s="1"/>
  <c r="AM436" i="1" s="1"/>
  <c r="AB437" i="1" a="1"/>
  <c r="AB437" i="1"/>
  <c r="AB438" i="1" a="1"/>
  <c r="AB438" i="1" s="1"/>
  <c r="AB439" i="1" a="1"/>
  <c r="AB439" i="1" s="1"/>
  <c r="AB440" i="1" a="1"/>
  <c r="AB440" i="1" s="1"/>
  <c r="AB441" i="1" a="1"/>
  <c r="AB441" i="1" s="1"/>
  <c r="AB442" i="1" a="1"/>
  <c r="AB442" i="1" s="1"/>
  <c r="AG442" i="1" s="1"/>
  <c r="AB443" i="1" a="1"/>
  <c r="AB443" i="1" s="1"/>
  <c r="AB444" i="1" a="1"/>
  <c r="AB445" i="1" a="1"/>
  <c r="AB445" i="1" s="1"/>
  <c r="AB446" i="1" a="1"/>
  <c r="AB446" i="1" s="1"/>
  <c r="AB447" i="1" a="1"/>
  <c r="AB447" i="1" s="1"/>
  <c r="AB448" i="1" a="1"/>
  <c r="AB448" i="1" s="1"/>
  <c r="AB449" i="1" a="1"/>
  <c r="AB449" i="1" s="1"/>
  <c r="AB450" i="1" a="1"/>
  <c r="AB450" i="1" s="1"/>
  <c r="AG450" i="1" s="1"/>
  <c r="AH450" i="1" s="1"/>
  <c r="AI450" i="1" s="1"/>
  <c r="AB451" i="1" a="1"/>
  <c r="AB451" i="1" s="1"/>
  <c r="AB452" i="1" a="1"/>
  <c r="AB452" i="1" s="1"/>
  <c r="AG452" i="1" s="1"/>
  <c r="AL452" i="1" s="1"/>
  <c r="AM452" i="1" s="1"/>
  <c r="AB453" i="1" a="1"/>
  <c r="AB453" i="1" s="1"/>
  <c r="AB454" i="1" a="1"/>
  <c r="AB454" i="1" s="1"/>
  <c r="AB455" i="1" a="1"/>
  <c r="AB455" i="1" s="1"/>
  <c r="AB456" i="1" a="1"/>
  <c r="AB456" i="1"/>
  <c r="AG456" i="1" s="1"/>
  <c r="AB457" i="1" a="1"/>
  <c r="AB457" i="1" s="1"/>
  <c r="AB458" i="1" a="1"/>
  <c r="AB458" i="1" s="1"/>
  <c r="AG458" i="1" s="1"/>
  <c r="AB459" i="1" a="1"/>
  <c r="AB459" i="1" s="1"/>
  <c r="AB460" i="1" a="1"/>
  <c r="AB460" i="1" s="1"/>
  <c r="AG460" i="1" s="1"/>
  <c r="AB461" i="1" a="1"/>
  <c r="AB461" i="1" s="1"/>
  <c r="AB462" i="1" a="1"/>
  <c r="AB462" i="1" s="1"/>
  <c r="AG462" i="1" s="1"/>
  <c r="AH462" i="1" s="1"/>
  <c r="AB463" i="1" a="1"/>
  <c r="AB463" i="1" s="1"/>
  <c r="AB464" i="1" a="1"/>
  <c r="AB464" i="1" s="1"/>
  <c r="AB465" i="1" a="1"/>
  <c r="AB465" i="1" s="1"/>
  <c r="AB466" i="1" a="1"/>
  <c r="AB466" i="1" s="1"/>
  <c r="AB467" i="1" a="1"/>
  <c r="AB467" i="1" s="1"/>
  <c r="AB468" i="1" a="1"/>
  <c r="AB468" i="1"/>
  <c r="AG468" i="1" s="1"/>
  <c r="AL468" i="1" s="1"/>
  <c r="AM468" i="1" s="1"/>
  <c r="AB469" i="1" a="1"/>
  <c r="AB469" i="1" s="1"/>
  <c r="AB470" i="1" a="1"/>
  <c r="AB470" i="1" s="1"/>
  <c r="AG470" i="1" s="1"/>
  <c r="AB471" i="1" a="1"/>
  <c r="AB471" i="1" s="1"/>
  <c r="AB472" i="1" a="1"/>
  <c r="AB472" i="1" s="1"/>
  <c r="AB473" i="1" a="1"/>
  <c r="AB473" i="1" s="1"/>
  <c r="AB474" i="1" a="1"/>
  <c r="AB474" i="1" s="1"/>
  <c r="AG474" i="1" s="1"/>
  <c r="AB475" i="1" a="1"/>
  <c r="AB475" i="1" s="1"/>
  <c r="AB476" i="1" a="1"/>
  <c r="AB476" i="1" s="1"/>
  <c r="AB477" i="1" a="1"/>
  <c r="AB477" i="1"/>
  <c r="AB478" i="1" a="1"/>
  <c r="AB478" i="1"/>
  <c r="AB479" i="1" a="1"/>
  <c r="AB479" i="1" s="1"/>
  <c r="AB480" i="1" a="1"/>
  <c r="AB480" i="1"/>
  <c r="AB481" i="1" a="1"/>
  <c r="AB481" i="1" s="1"/>
  <c r="AB482" i="1" a="1"/>
  <c r="AB482" i="1" s="1"/>
  <c r="AB483" i="1" a="1"/>
  <c r="AB483" i="1" s="1"/>
  <c r="AB484" i="1" a="1"/>
  <c r="AB484" i="1"/>
  <c r="AB485" i="1" a="1"/>
  <c r="AB485" i="1" s="1"/>
  <c r="AB486" i="1" a="1"/>
  <c r="AB486" i="1" s="1"/>
  <c r="AG486" i="1" s="1"/>
  <c r="AB487" i="1" a="1"/>
  <c r="AB487" i="1" s="1"/>
  <c r="AB488" i="1" a="1"/>
  <c r="AB488" i="1" s="1"/>
  <c r="AB489" i="1" a="1"/>
  <c r="AB489" i="1" s="1"/>
  <c r="AB490" i="1" a="1"/>
  <c r="AB490" i="1" s="1"/>
  <c r="AG490" i="1" s="1"/>
  <c r="AB491" i="1" a="1"/>
  <c r="AB491" i="1" s="1"/>
  <c r="AB492" i="1" a="1"/>
  <c r="AB492" i="1" s="1"/>
  <c r="AG492" i="1" s="1"/>
  <c r="AL492" i="1" s="1"/>
  <c r="AM492" i="1" s="1"/>
  <c r="AB493" i="1" a="1"/>
  <c r="AB493" i="1" s="1"/>
  <c r="AB494" i="1" a="1"/>
  <c r="AB494" i="1" s="1"/>
  <c r="AB495" i="1" a="1"/>
  <c r="AB495" i="1" s="1"/>
  <c r="AB496" i="1" a="1"/>
  <c r="AB496" i="1"/>
  <c r="AB497" i="1" a="1"/>
  <c r="AB497" i="1" s="1"/>
  <c r="AB498" i="1" a="1"/>
  <c r="AB498" i="1" s="1"/>
  <c r="AG498" i="1" s="1"/>
  <c r="AL498" i="1" s="1"/>
  <c r="AM498" i="1" s="1"/>
  <c r="AB499" i="1" a="1"/>
  <c r="AB499" i="1" s="1"/>
  <c r="AB500" i="1" a="1"/>
  <c r="AB500" i="1" s="1"/>
  <c r="AG500" i="1" s="1"/>
  <c r="AJ500" i="1" s="1"/>
  <c r="AK500" i="1" s="1"/>
  <c r="AB501" i="1" a="1"/>
  <c r="AB501" i="1" s="1"/>
  <c r="AB502" i="1" a="1"/>
  <c r="AB502" i="1" s="1"/>
  <c r="AG502" i="1" s="1"/>
  <c r="AB503" i="1" a="1"/>
  <c r="AB503" i="1" s="1"/>
  <c r="AB504" i="1" a="1"/>
  <c r="AB504" i="1" s="1"/>
  <c r="AG504" i="1" s="1"/>
  <c r="AB505" i="1" a="1"/>
  <c r="AB505" i="1" s="1"/>
  <c r="AB506" i="1" a="1"/>
  <c r="AB506" i="1" s="1"/>
  <c r="AB507" i="1" a="1"/>
  <c r="AB507" i="1" s="1"/>
  <c r="AB508" i="1" a="1"/>
  <c r="AB508" i="1"/>
  <c r="AG508" i="1" s="1"/>
  <c r="AB509" i="1" a="1"/>
  <c r="AB509" i="1" s="1"/>
  <c r="AB510" i="1" a="1"/>
  <c r="AB510" i="1" s="1"/>
  <c r="AG510" i="1" s="1"/>
  <c r="AB511" i="1" a="1"/>
  <c r="AB511" i="1" s="1"/>
  <c r="AB512" i="1" a="1"/>
  <c r="AB512" i="1"/>
  <c r="AB513" i="1" a="1"/>
  <c r="AB513" i="1" s="1"/>
  <c r="AB514" i="1" a="1"/>
  <c r="AB514" i="1"/>
  <c r="AG514" i="1" s="1"/>
  <c r="AB515" i="1" a="1"/>
  <c r="AB515" i="1" s="1"/>
  <c r="AB516" i="1" a="1"/>
  <c r="AB516" i="1" s="1"/>
  <c r="AG516" i="1" s="1"/>
  <c r="AB517" i="1" a="1"/>
  <c r="AB517" i="1" s="1"/>
  <c r="AB518" i="1" a="1"/>
  <c r="AB518" i="1" s="1"/>
  <c r="AB519" i="1" a="1"/>
  <c r="AB519" i="1" s="1"/>
  <c r="AB520" i="1" a="1"/>
  <c r="AB520" i="1"/>
  <c r="AG520" i="1" s="1"/>
  <c r="AB521" i="1" a="1"/>
  <c r="AB521" i="1" s="1"/>
  <c r="AB522" i="1" a="1"/>
  <c r="AB522" i="1" s="1"/>
  <c r="AB523" i="1" a="1"/>
  <c r="AB523" i="1" s="1"/>
  <c r="AB524" i="1" a="1"/>
  <c r="AB524" i="1" s="1"/>
  <c r="AG524" i="1" s="1"/>
  <c r="AB525" i="1" a="1"/>
  <c r="AB525" i="1" s="1"/>
  <c r="AB526" i="1" a="1"/>
  <c r="AB526" i="1" s="1"/>
  <c r="AG526" i="1" s="1"/>
  <c r="AB527" i="1" a="1"/>
  <c r="AB527" i="1" s="1"/>
  <c r="AB528" i="1" a="1"/>
  <c r="AB528" i="1" s="1"/>
  <c r="AB529" i="1" a="1"/>
  <c r="AB529" i="1" s="1"/>
  <c r="AB530" i="1" a="1"/>
  <c r="AB530" i="1"/>
  <c r="AB531" i="1" a="1"/>
  <c r="AB531" i="1" s="1"/>
  <c r="AB532" i="1" a="1"/>
  <c r="AB532" i="1" s="1"/>
  <c r="AB533" i="1" a="1"/>
  <c r="AB533" i="1" s="1"/>
  <c r="AB534" i="1" a="1"/>
  <c r="AB534" i="1" s="1"/>
  <c r="AB535" i="1" a="1"/>
  <c r="AB535" i="1" s="1"/>
  <c r="AB536" i="1" a="1"/>
  <c r="AB536" i="1" s="1"/>
  <c r="AB537" i="1" a="1"/>
  <c r="AB537" i="1" s="1"/>
  <c r="AB538" i="1" a="1"/>
  <c r="AB538" i="1" s="1"/>
  <c r="AB539" i="1" a="1"/>
  <c r="AB539" i="1" s="1"/>
  <c r="AB540" i="1" a="1"/>
  <c r="AB540" i="1" s="1"/>
  <c r="AB541" i="1" a="1"/>
  <c r="AB541" i="1" s="1"/>
  <c r="AB542" i="1" a="1"/>
  <c r="AB542" i="1" s="1"/>
  <c r="AB543" i="1" a="1"/>
  <c r="AB543" i="1" s="1"/>
  <c r="AB544" i="1" a="1"/>
  <c r="AB544" i="1" s="1"/>
  <c r="AB545" i="1" a="1"/>
  <c r="AB545" i="1" s="1"/>
  <c r="AB546" i="1" a="1"/>
  <c r="AB546" i="1" s="1"/>
  <c r="AG546" i="1" s="1"/>
  <c r="AJ546" i="1" s="1"/>
  <c r="AK546" i="1" s="1"/>
  <c r="AB547" i="1" a="1"/>
  <c r="AB547" i="1" s="1"/>
  <c r="AB548" i="1" a="1"/>
  <c r="AB548" i="1" s="1"/>
  <c r="AB549" i="1" a="1"/>
  <c r="AB549" i="1" s="1"/>
  <c r="AB550" i="1" a="1"/>
  <c r="AB550" i="1" s="1"/>
  <c r="AG550" i="1" s="1"/>
  <c r="AB551" i="1" a="1"/>
  <c r="AB551" i="1" s="1"/>
  <c r="AB552" i="1" a="1"/>
  <c r="AB552" i="1" s="1"/>
  <c r="AB553" i="1" a="1"/>
  <c r="AB553" i="1" s="1"/>
  <c r="AB554" i="1" a="1"/>
  <c r="AB554" i="1" s="1"/>
  <c r="AB555" i="1" a="1"/>
  <c r="AB555" i="1" s="1"/>
  <c r="AB556" i="1" a="1"/>
  <c r="AB556" i="1" s="1"/>
  <c r="AB557" i="1" a="1"/>
  <c r="AB557" i="1" s="1"/>
  <c r="AB558" i="1" a="1"/>
  <c r="AB558" i="1" s="1"/>
  <c r="AG558" i="1" s="1"/>
  <c r="AL558" i="1" s="1"/>
  <c r="AM558" i="1" s="1"/>
  <c r="AB559" i="1" a="1"/>
  <c r="AB559" i="1" s="1"/>
  <c r="AB560" i="1" a="1"/>
  <c r="AB560" i="1" s="1"/>
  <c r="AB561" i="1" a="1"/>
  <c r="AB561" i="1" s="1"/>
  <c r="AB562" i="1" a="1"/>
  <c r="AB562" i="1"/>
  <c r="AB563" i="1" a="1"/>
  <c r="AB563" i="1" s="1"/>
  <c r="AB564" i="1" a="1"/>
  <c r="AB564" i="1" s="1"/>
  <c r="AB565" i="1" a="1"/>
  <c r="AB565" i="1" s="1"/>
  <c r="AB566" i="1" a="1"/>
  <c r="AB566" i="1" s="1"/>
  <c r="AB567" i="1" a="1"/>
  <c r="AB567" i="1" s="1"/>
  <c r="AB568" i="1" a="1"/>
  <c r="AB568" i="1" s="1"/>
  <c r="AB569" i="1" a="1"/>
  <c r="AB569" i="1" s="1"/>
  <c r="AB570" i="1" a="1"/>
  <c r="AB570" i="1" s="1"/>
  <c r="AB571" i="1" a="1"/>
  <c r="AB571" i="1" s="1"/>
  <c r="AB572" i="1" a="1"/>
  <c r="AB572" i="1" s="1"/>
  <c r="AB573" i="1" a="1"/>
  <c r="AB573" i="1" s="1"/>
  <c r="AB574" i="1" a="1"/>
  <c r="AB574" i="1" s="1"/>
  <c r="AB575" i="1" a="1"/>
  <c r="AB575" i="1" s="1"/>
  <c r="AB576" i="1" a="1"/>
  <c r="AB576" i="1" s="1"/>
  <c r="AB577" i="1" a="1"/>
  <c r="AB577" i="1" s="1"/>
  <c r="AB578" i="1" a="1"/>
  <c r="AB578" i="1"/>
  <c r="AG578" i="1" s="1"/>
  <c r="AL578" i="1" s="1"/>
  <c r="AM578" i="1" s="1"/>
  <c r="AB579" i="1" a="1"/>
  <c r="AB579" i="1" s="1"/>
  <c r="AB580" i="1" a="1"/>
  <c r="AB580" i="1" s="1"/>
  <c r="AB581" i="1" a="1"/>
  <c r="AB581" i="1" s="1"/>
  <c r="AB582" i="1" a="1"/>
  <c r="AB582" i="1" s="1"/>
  <c r="AB583" i="1" a="1"/>
  <c r="AB583" i="1" s="1"/>
  <c r="AB584" i="1" a="1"/>
  <c r="AB584" i="1" s="1"/>
  <c r="AB585" i="1" a="1"/>
  <c r="AB585" i="1" s="1"/>
  <c r="AB586" i="1" a="1"/>
  <c r="AB586" i="1" s="1"/>
  <c r="AG586" i="1" s="1"/>
  <c r="AB587" i="1" a="1"/>
  <c r="AB587" i="1" s="1"/>
  <c r="AB588" i="1" a="1"/>
  <c r="AB588" i="1" s="1"/>
  <c r="AB589" i="1" a="1"/>
  <c r="AB589" i="1" s="1"/>
  <c r="AB590" i="1" a="1"/>
  <c r="AB590" i="1"/>
  <c r="AB591" i="1" a="1"/>
  <c r="AB591" i="1" s="1"/>
  <c r="AB592" i="1" a="1"/>
  <c r="AB592" i="1" s="1"/>
  <c r="AB593" i="1" a="1"/>
  <c r="AB593" i="1" s="1"/>
  <c r="AG593" i="1" s="1"/>
  <c r="AB594" i="1" a="1"/>
  <c r="AB594" i="1"/>
  <c r="AG594" i="1" s="1"/>
  <c r="AB595" i="1" a="1"/>
  <c r="AB595" i="1" s="1"/>
  <c r="AB596" i="1" a="1"/>
  <c r="AB596" i="1" s="1"/>
  <c r="AB597" i="1" a="1"/>
  <c r="AB597" i="1" s="1"/>
  <c r="AB598" i="1" a="1"/>
  <c r="AB598" i="1" s="1"/>
  <c r="AB599" i="1" a="1"/>
  <c r="AB599" i="1" s="1"/>
  <c r="AB600" i="1" a="1"/>
  <c r="AB600" i="1" s="1"/>
  <c r="AG600" i="1" s="1"/>
  <c r="AH600" i="1" s="1"/>
  <c r="AI600" i="1" s="1"/>
  <c r="AB601" i="1" a="1"/>
  <c r="AB601" i="1" s="1"/>
  <c r="AB602" i="1" a="1"/>
  <c r="AB602" i="1" s="1"/>
  <c r="AG602" i="1" s="1"/>
  <c r="AH602" i="1" s="1"/>
  <c r="AI602" i="1" s="1"/>
  <c r="AB603" i="1" a="1"/>
  <c r="AB603" i="1" s="1"/>
  <c r="AB604" i="1" a="1"/>
  <c r="AB604" i="1" s="1"/>
  <c r="AB605" i="1" a="1"/>
  <c r="AB605" i="1" s="1"/>
  <c r="AB606" i="1" a="1"/>
  <c r="AB606" i="1"/>
  <c r="AB607" i="1" a="1"/>
  <c r="AB607" i="1" s="1"/>
  <c r="AB608" i="1" a="1"/>
  <c r="AB608" i="1" s="1"/>
  <c r="AB609" i="1" a="1"/>
  <c r="AB609" i="1" s="1"/>
  <c r="AB610" i="1" a="1"/>
  <c r="AB610" i="1"/>
  <c r="AB611" i="1" a="1"/>
  <c r="AB611" i="1" s="1"/>
  <c r="AB612" i="1" a="1"/>
  <c r="AB612" i="1" s="1"/>
  <c r="AB613" i="1" a="1"/>
  <c r="AB613" i="1" s="1"/>
  <c r="AB614" i="1" a="1"/>
  <c r="AB614" i="1" s="1"/>
  <c r="AB615" i="1" a="1"/>
  <c r="AB615" i="1" s="1"/>
  <c r="AB616" i="1" a="1"/>
  <c r="AB616" i="1" s="1"/>
  <c r="AB617" i="1" a="1"/>
  <c r="AB617" i="1" s="1"/>
  <c r="AB618" i="1" a="1"/>
  <c r="AB618" i="1" s="1"/>
  <c r="AB619" i="1" a="1"/>
  <c r="AB619" i="1" s="1"/>
  <c r="AB620" i="1" a="1"/>
  <c r="AB620" i="1" s="1"/>
  <c r="AB621" i="1" a="1"/>
  <c r="AB621" i="1" s="1"/>
  <c r="AB622" i="1" a="1"/>
  <c r="AB622" i="1" s="1"/>
  <c r="AG622" i="1" s="1"/>
  <c r="AL622" i="1" s="1"/>
  <c r="AM622" i="1" s="1"/>
  <c r="AB623" i="1" a="1"/>
  <c r="AB623" i="1" s="1"/>
  <c r="AB624" i="1" a="1"/>
  <c r="AB624" i="1" s="1"/>
  <c r="AB625" i="1" a="1"/>
  <c r="AB625" i="1" s="1"/>
  <c r="AB626" i="1" a="1"/>
  <c r="AB626" i="1" s="1"/>
  <c r="AG626" i="1" s="1"/>
  <c r="AB627" i="1" a="1"/>
  <c r="AB627" i="1" s="1"/>
  <c r="AB628" i="1" a="1"/>
  <c r="AB628" i="1" s="1"/>
  <c r="AB629" i="1" a="1"/>
  <c r="AB629" i="1" s="1"/>
  <c r="AB630" i="1" a="1"/>
  <c r="AB630" i="1" s="1"/>
  <c r="AB631" i="1" a="1"/>
  <c r="AB631" i="1" s="1"/>
  <c r="AB632" i="1" a="1"/>
  <c r="AB632" i="1" s="1"/>
  <c r="AB633" i="1" a="1"/>
  <c r="AB633" i="1" s="1"/>
  <c r="AB634" i="1" a="1"/>
  <c r="AB634" i="1"/>
  <c r="AB635" i="1" a="1"/>
  <c r="AB635" i="1" s="1"/>
  <c r="AG635" i="1" s="1"/>
  <c r="AB636" i="1" a="1"/>
  <c r="AB636" i="1" s="1"/>
  <c r="AB637" i="1" a="1"/>
  <c r="AB637" i="1" s="1"/>
  <c r="AG637" i="1" s="1"/>
  <c r="AB638" i="1" a="1"/>
  <c r="AB638" i="1"/>
  <c r="AB639" i="1" a="1"/>
  <c r="AB639" i="1" s="1"/>
  <c r="AB640" i="1" a="1"/>
  <c r="AB640" i="1" s="1"/>
  <c r="AB641" i="1" a="1"/>
  <c r="AB641" i="1" s="1"/>
  <c r="AB642" i="1" a="1"/>
  <c r="AB642" i="1" s="1"/>
  <c r="AB643" i="1" a="1"/>
  <c r="AB643" i="1" s="1"/>
  <c r="AG643" i="1" s="1"/>
  <c r="AB644" i="1" a="1"/>
  <c r="AB644" i="1" s="1"/>
  <c r="AG644" i="1" s="1"/>
  <c r="AB645" i="1" a="1"/>
  <c r="AB645" i="1" s="1"/>
  <c r="AB646" i="1" a="1"/>
  <c r="AB646" i="1" s="1"/>
  <c r="AB647" i="1" a="1"/>
  <c r="AB647" i="1" s="1"/>
  <c r="AB648" i="1" a="1"/>
  <c r="AB648" i="1" s="1"/>
  <c r="AB649" i="1" a="1"/>
  <c r="AB649" i="1" s="1"/>
  <c r="AB650" i="1" a="1"/>
  <c r="AB650" i="1" s="1"/>
  <c r="AG650" i="1" s="1"/>
  <c r="AJ650" i="1" s="1"/>
  <c r="AK650" i="1" s="1"/>
  <c r="AB651" i="1" a="1"/>
  <c r="AB651" i="1" s="1"/>
  <c r="AG651" i="1" s="1"/>
  <c r="AL651" i="1" s="1"/>
  <c r="AM651" i="1" s="1"/>
  <c r="AB652" i="1" a="1"/>
  <c r="AB652" i="1" s="1"/>
  <c r="AG652" i="1" s="1"/>
  <c r="AJ652" i="1" s="1"/>
  <c r="AK652" i="1" s="1"/>
  <c r="AB653" i="1" a="1"/>
  <c r="AB653" i="1" s="1"/>
  <c r="AB654" i="1" a="1"/>
  <c r="AB654" i="1" s="1"/>
  <c r="AB655" i="1" a="1"/>
  <c r="AB655" i="1" s="1"/>
  <c r="AB656" i="1" a="1"/>
  <c r="AB656" i="1" s="1"/>
  <c r="AB657" i="1" a="1"/>
  <c r="AB657" i="1" s="1"/>
  <c r="AB658" i="1" a="1"/>
  <c r="AB658" i="1" s="1"/>
  <c r="AB659" i="1" a="1"/>
  <c r="AB659" i="1" s="1"/>
  <c r="AB660" i="1" a="1"/>
  <c r="AB660" i="1" s="1"/>
  <c r="AB661" i="1" a="1"/>
  <c r="AB661" i="1" s="1"/>
  <c r="AB662" i="1" a="1"/>
  <c r="AB662" i="1" s="1"/>
  <c r="AB663" i="1" a="1"/>
  <c r="AB663" i="1" s="1"/>
  <c r="AB664" i="1" a="1"/>
  <c r="AB664" i="1" s="1"/>
  <c r="AB665" i="1" a="1"/>
  <c r="AB665" i="1" s="1"/>
  <c r="AB666" i="1" a="1"/>
  <c r="AB666" i="1" s="1"/>
  <c r="AG666" i="1" s="1"/>
  <c r="AL666" i="1" s="1"/>
  <c r="AM666" i="1" s="1"/>
  <c r="AB667" i="1" a="1"/>
  <c r="AB667" i="1" s="1"/>
  <c r="AB668" i="1" a="1"/>
  <c r="AB668" i="1" s="1"/>
  <c r="AG668" i="1" s="1"/>
  <c r="AB669" i="1" a="1"/>
  <c r="AB669" i="1" s="1"/>
  <c r="AB670" i="1" a="1"/>
  <c r="AB670" i="1" s="1"/>
  <c r="AB671" i="1" a="1"/>
  <c r="AB671" i="1" s="1"/>
  <c r="AB672" i="1" a="1"/>
  <c r="AB672" i="1" s="1"/>
  <c r="AB673" i="1" a="1"/>
  <c r="AB673" i="1" s="1"/>
  <c r="AB674" i="1" a="1"/>
  <c r="AB674" i="1" s="1"/>
  <c r="AG674" i="1" s="1"/>
  <c r="AL674" i="1" s="1"/>
  <c r="AB675" i="1" a="1"/>
  <c r="AB675" i="1" s="1"/>
  <c r="AB676" i="1" a="1"/>
  <c r="AB676" i="1" s="1"/>
  <c r="AG676" i="1" s="1"/>
  <c r="AB677" i="1" a="1"/>
  <c r="AB677" i="1" s="1"/>
  <c r="AB678" i="1" a="1"/>
  <c r="AB678" i="1" s="1"/>
  <c r="AB679" i="1" a="1"/>
  <c r="AB679" i="1" s="1"/>
  <c r="AB680" i="1" a="1"/>
  <c r="AB680" i="1" s="1"/>
  <c r="AB681" i="1" a="1"/>
  <c r="AB681" i="1" s="1"/>
  <c r="AB682" i="1" a="1"/>
  <c r="AB682" i="1" s="1"/>
  <c r="AG682" i="1" s="1"/>
  <c r="AL682" i="1" s="1"/>
  <c r="AM682" i="1" s="1"/>
  <c r="AB683" i="1" a="1"/>
  <c r="AB683" i="1" s="1"/>
  <c r="AB684" i="1" a="1"/>
  <c r="AB684" i="1" s="1"/>
  <c r="AB685" i="1" a="1"/>
  <c r="AB685" i="1" s="1"/>
  <c r="AB686" i="1" a="1"/>
  <c r="AB686" i="1" s="1"/>
  <c r="AB687" i="1" a="1"/>
  <c r="AB687" i="1" s="1"/>
  <c r="AB688" i="1" a="1"/>
  <c r="AB688" i="1" s="1"/>
  <c r="AB689" i="1" a="1"/>
  <c r="AB689" i="1" s="1"/>
  <c r="AB690" i="1" a="1"/>
  <c r="AB690" i="1" s="1"/>
  <c r="AB691" i="1" a="1"/>
  <c r="AB691" i="1" s="1"/>
  <c r="AB692" i="1" a="1"/>
  <c r="AB692" i="1" s="1"/>
  <c r="AB693" i="1" a="1"/>
  <c r="AB693" i="1" s="1"/>
  <c r="AB694" i="1" a="1"/>
  <c r="AB694" i="1" s="1"/>
  <c r="AB695" i="1" a="1"/>
  <c r="AB695" i="1" s="1"/>
  <c r="AB696" i="1" a="1"/>
  <c r="AB696" i="1" s="1"/>
  <c r="AB697" i="1" a="1"/>
  <c r="AB697" i="1" s="1"/>
  <c r="AB698" i="1" a="1"/>
  <c r="AB698" i="1" s="1"/>
  <c r="AG698" i="1" s="1"/>
  <c r="AL698" i="1" s="1"/>
  <c r="AM698" i="1" s="1"/>
  <c r="AB699" i="1" a="1"/>
  <c r="AB699" i="1" s="1"/>
  <c r="AB700" i="1" a="1"/>
  <c r="AB700" i="1" s="1"/>
  <c r="AB701" i="1" a="1"/>
  <c r="AB701" i="1" s="1"/>
  <c r="AB702" i="1" a="1"/>
  <c r="AB702" i="1" s="1"/>
  <c r="AB703" i="1" a="1"/>
  <c r="AB703" i="1" s="1"/>
  <c r="AB704" i="1" a="1"/>
  <c r="AB704" i="1" s="1"/>
  <c r="AB705" i="1" a="1"/>
  <c r="AB705" i="1" s="1"/>
  <c r="AB706" i="1" a="1"/>
  <c r="AB706" i="1" s="1"/>
  <c r="AG706" i="1" s="1"/>
  <c r="AL706" i="1" s="1"/>
  <c r="AM706" i="1" s="1"/>
  <c r="AB707" i="1" a="1"/>
  <c r="AB707" i="1" s="1"/>
  <c r="AB708" i="1" a="1"/>
  <c r="AB708" i="1" s="1"/>
  <c r="AB709" i="1" a="1"/>
  <c r="AB709" i="1" s="1"/>
  <c r="AB710" i="1" a="1"/>
  <c r="AB710" i="1" s="1"/>
  <c r="AB711" i="1" a="1"/>
  <c r="AB711" i="1" s="1"/>
  <c r="AB712" i="1" a="1"/>
  <c r="AB712" i="1" s="1"/>
  <c r="AB713" i="1" a="1"/>
  <c r="AB713" i="1" s="1"/>
  <c r="AB714" i="1" a="1"/>
  <c r="AB714" i="1" s="1"/>
  <c r="AB715" i="1" a="1"/>
  <c r="AB715" i="1" s="1"/>
  <c r="AB716" i="1" a="1"/>
  <c r="AB716" i="1" s="1"/>
  <c r="AB717" i="1" a="1"/>
  <c r="AB717" i="1" s="1"/>
  <c r="AB718" i="1" a="1"/>
  <c r="AB718" i="1" s="1"/>
  <c r="AB719" i="1" a="1"/>
  <c r="AB719" i="1" s="1"/>
  <c r="AB720" i="1" a="1"/>
  <c r="AB720" i="1" s="1"/>
  <c r="AB721" i="1" a="1"/>
  <c r="AB721" i="1" s="1"/>
  <c r="AB722" i="1" a="1"/>
  <c r="AB722" i="1" s="1"/>
  <c r="AB723" i="1" a="1"/>
  <c r="AB723" i="1" s="1"/>
  <c r="AB724" i="1" a="1"/>
  <c r="AB724" i="1" s="1"/>
  <c r="AB725" i="1" a="1"/>
  <c r="AB725" i="1" s="1"/>
  <c r="AB726" i="1" a="1"/>
  <c r="AB726" i="1" s="1"/>
  <c r="AB727" i="1" a="1"/>
  <c r="AB727" i="1" s="1"/>
  <c r="AB728" i="1" a="1"/>
  <c r="AB728" i="1" s="1"/>
  <c r="AB729" i="1" a="1"/>
  <c r="AB729" i="1" s="1"/>
  <c r="AB730" i="1" a="1"/>
  <c r="AB730" i="1" s="1"/>
  <c r="AB731" i="1" a="1"/>
  <c r="AB731" i="1" s="1"/>
  <c r="AB732" i="1" a="1"/>
  <c r="AB732" i="1" s="1"/>
  <c r="AB733" i="1" a="1"/>
  <c r="AB733" i="1" s="1"/>
  <c r="AB734" i="1" a="1"/>
  <c r="AB734" i="1" s="1"/>
  <c r="AB735" i="1" a="1"/>
  <c r="AB735" i="1" s="1"/>
  <c r="AB736" i="1" a="1"/>
  <c r="AB736" i="1" s="1"/>
  <c r="AB737" i="1" a="1"/>
  <c r="AB737" i="1" s="1"/>
  <c r="AB738" i="1" a="1"/>
  <c r="AB738" i="1" s="1"/>
  <c r="AB739" i="1" a="1"/>
  <c r="AB739" i="1" s="1"/>
  <c r="AB740" i="1" a="1"/>
  <c r="AB740" i="1" s="1"/>
  <c r="AB741" i="1" a="1"/>
  <c r="AB741" i="1" s="1"/>
  <c r="AB742" i="1" a="1"/>
  <c r="AB742" i="1" s="1"/>
  <c r="AB743" i="1" a="1"/>
  <c r="AB743" i="1" s="1"/>
  <c r="AB744" i="1" a="1"/>
  <c r="AB744" i="1" s="1"/>
  <c r="AB745" i="1" a="1"/>
  <c r="AB745" i="1" s="1"/>
  <c r="AB746" i="1" a="1"/>
  <c r="AB746" i="1" s="1"/>
  <c r="AB747" i="1" a="1"/>
  <c r="AB747" i="1" s="1"/>
  <c r="AB748" i="1" a="1"/>
  <c r="AB748" i="1" s="1"/>
  <c r="AB749" i="1" a="1"/>
  <c r="AB749" i="1" s="1"/>
  <c r="AB750" i="1" a="1"/>
  <c r="AB750" i="1" s="1"/>
  <c r="AB751" i="1" a="1"/>
  <c r="AB751" i="1" s="1"/>
  <c r="AB752" i="1" a="1"/>
  <c r="AB752" i="1" s="1"/>
  <c r="AB753" i="1" a="1"/>
  <c r="AB753" i="1" s="1"/>
  <c r="AB754" i="1" a="1"/>
  <c r="AB754" i="1" s="1"/>
  <c r="AB755" i="1" a="1"/>
  <c r="AB755" i="1" s="1"/>
  <c r="AB756" i="1" a="1"/>
  <c r="AB756" i="1" s="1"/>
  <c r="AB757" i="1" a="1"/>
  <c r="AB757" i="1" s="1"/>
  <c r="AB758" i="1" a="1"/>
  <c r="AB758" i="1" s="1"/>
  <c r="AB759" i="1" a="1"/>
  <c r="AB759" i="1" s="1"/>
  <c r="AB760" i="1" a="1"/>
  <c r="AB760" i="1" s="1"/>
  <c r="AB761" i="1" a="1"/>
  <c r="AB761" i="1" s="1"/>
  <c r="AB762" i="1" a="1"/>
  <c r="AB762" i="1" s="1"/>
  <c r="AB763" i="1" a="1"/>
  <c r="AB763" i="1" s="1"/>
  <c r="AB764" i="1" a="1"/>
  <c r="AB764" i="1" s="1"/>
  <c r="AB765" i="1" a="1"/>
  <c r="AB765" i="1" s="1"/>
  <c r="AB766" i="1" a="1"/>
  <c r="AB766" i="1" s="1"/>
  <c r="AB767" i="1" a="1"/>
  <c r="AB767" i="1" s="1"/>
  <c r="AB768" i="1" a="1"/>
  <c r="AB768" i="1" s="1"/>
  <c r="AB769" i="1" a="1"/>
  <c r="AB769" i="1" s="1"/>
  <c r="AB770" i="1" a="1"/>
  <c r="AB770" i="1" s="1"/>
  <c r="AG770" i="1" s="1"/>
  <c r="AB771" i="1" a="1"/>
  <c r="AB771" i="1" s="1"/>
  <c r="AG771" i="1" s="1"/>
  <c r="AL771" i="1" s="1"/>
  <c r="AM771" i="1" s="1"/>
  <c r="AB772" i="1" a="1"/>
  <c r="AB772" i="1" s="1"/>
  <c r="AB773" i="1" a="1"/>
  <c r="AB773" i="1" s="1"/>
  <c r="AB774" i="1" a="1"/>
  <c r="AB774" i="1" s="1"/>
  <c r="AB775" i="1" a="1"/>
  <c r="AB775" i="1" s="1"/>
  <c r="AB776" i="1" a="1"/>
  <c r="AB776" i="1" s="1"/>
  <c r="AB777" i="1" a="1"/>
  <c r="AB777" i="1" s="1"/>
  <c r="AB778" i="1" a="1"/>
  <c r="AB778" i="1" s="1"/>
  <c r="AB779" i="1" a="1"/>
  <c r="AB779" i="1" s="1"/>
  <c r="AB780" i="1" a="1"/>
  <c r="AB780" i="1" s="1"/>
  <c r="AB781" i="1" a="1"/>
  <c r="AB781" i="1" s="1"/>
  <c r="AB782" i="1" a="1"/>
  <c r="AB782" i="1" s="1"/>
  <c r="AB783" i="1" a="1"/>
  <c r="AB783" i="1" s="1"/>
  <c r="AB784" i="1" a="1"/>
  <c r="AB784" i="1" s="1"/>
  <c r="AB785" i="1" a="1"/>
  <c r="AB785" i="1" s="1"/>
  <c r="AB786" i="1" a="1"/>
  <c r="AB786" i="1" s="1"/>
  <c r="AB787" i="1" a="1"/>
  <c r="AB787" i="1" s="1"/>
  <c r="AB788" i="1" a="1"/>
  <c r="AB788" i="1" s="1"/>
  <c r="AB789" i="1" a="1"/>
  <c r="AB789" i="1" s="1"/>
  <c r="AB790" i="1" a="1"/>
  <c r="AB790" i="1" s="1"/>
  <c r="AB791" i="1" a="1"/>
  <c r="AB791" i="1" s="1"/>
  <c r="AB792" i="1" a="1"/>
  <c r="AB792" i="1" s="1"/>
  <c r="AB793" i="1" a="1"/>
  <c r="AB793" i="1" s="1"/>
  <c r="AB794" i="1" a="1"/>
  <c r="AB794" i="1" s="1"/>
  <c r="AB795" i="1" a="1"/>
  <c r="AB795" i="1" s="1"/>
  <c r="AB796" i="1" a="1"/>
  <c r="AB796" i="1" s="1"/>
  <c r="AB797" i="1" a="1"/>
  <c r="AB797" i="1" s="1"/>
  <c r="AB798" i="1" a="1"/>
  <c r="AB798" i="1" s="1"/>
  <c r="AB799" i="1" a="1"/>
  <c r="AB799" i="1" s="1"/>
  <c r="AB800" i="1" a="1"/>
  <c r="AB800" i="1" s="1"/>
  <c r="AB801" i="1" a="1"/>
  <c r="AB801" i="1" s="1"/>
  <c r="AB802" i="1" a="1"/>
  <c r="AB802" i="1" s="1"/>
  <c r="AB803" i="1" a="1"/>
  <c r="AB803" i="1" s="1"/>
  <c r="AG803" i="1" s="1"/>
  <c r="AL803" i="1" s="1"/>
  <c r="AM803" i="1" s="1"/>
  <c r="AB804" i="1" a="1"/>
  <c r="AB804" i="1" s="1"/>
  <c r="AB805" i="1" a="1"/>
  <c r="AB805" i="1" s="1"/>
  <c r="AB806" i="1" a="1"/>
  <c r="AB806" i="1" s="1"/>
  <c r="AB807" i="1" a="1"/>
  <c r="AB807" i="1" s="1"/>
  <c r="AB808" i="1" a="1"/>
  <c r="AB808" i="1" s="1"/>
  <c r="AB809" i="1" a="1"/>
  <c r="AB809" i="1" s="1"/>
  <c r="AB810" i="1" a="1"/>
  <c r="AB810" i="1" s="1"/>
  <c r="AB811" i="1" a="1"/>
  <c r="AB811" i="1" s="1"/>
  <c r="AB812" i="1" a="1"/>
  <c r="AB812" i="1" s="1"/>
  <c r="AB813" i="1" a="1"/>
  <c r="AB813" i="1" s="1"/>
  <c r="AB814" i="1" a="1"/>
  <c r="AB814" i="1" s="1"/>
  <c r="AB815" i="1" a="1"/>
  <c r="AB815" i="1" s="1"/>
  <c r="AB816" i="1" a="1"/>
  <c r="AB816" i="1" s="1"/>
  <c r="AB817" i="1" a="1"/>
  <c r="AB817" i="1" s="1"/>
  <c r="AB818" i="1" a="1"/>
  <c r="AB818" i="1" s="1"/>
  <c r="AB819" i="1" a="1"/>
  <c r="AB819" i="1" s="1"/>
  <c r="AG819" i="1" s="1"/>
  <c r="AB820" i="1" a="1"/>
  <c r="AB820" i="1" s="1"/>
  <c r="AB821" i="1" a="1"/>
  <c r="AB821" i="1" s="1"/>
  <c r="AB822" i="1" a="1"/>
  <c r="AB822" i="1" s="1"/>
  <c r="AB823" i="1" a="1"/>
  <c r="AB823" i="1" s="1"/>
  <c r="AB824" i="1" a="1"/>
  <c r="AB824" i="1" s="1"/>
  <c r="AB825" i="1" a="1"/>
  <c r="AB825" i="1" s="1"/>
  <c r="AB826" i="1" a="1"/>
  <c r="AB826" i="1" s="1"/>
  <c r="AB827" i="1" a="1"/>
  <c r="AB827" i="1" s="1"/>
  <c r="AG827" i="1" s="1"/>
  <c r="AL827" i="1" s="1"/>
  <c r="AM827" i="1" s="1"/>
  <c r="AB828" i="1" a="1"/>
  <c r="AB828" i="1" s="1"/>
  <c r="AB829" i="1" a="1"/>
  <c r="AB829" i="1" s="1"/>
  <c r="AB830" i="1" a="1"/>
  <c r="AB830" i="1" s="1"/>
  <c r="AB831" i="1" a="1"/>
  <c r="AB831" i="1" s="1"/>
  <c r="AB832" i="1" a="1"/>
  <c r="AB832" i="1" s="1"/>
  <c r="AB833" i="1" a="1"/>
  <c r="AB833" i="1" s="1"/>
  <c r="AB834" i="1" a="1"/>
  <c r="AB834" i="1" s="1"/>
  <c r="AB835" i="1" a="1"/>
  <c r="AB835" i="1" s="1"/>
  <c r="AG835" i="1" s="1"/>
  <c r="AL835" i="1" s="1"/>
  <c r="AM835" i="1" s="1"/>
  <c r="AB836" i="1" a="1"/>
  <c r="AB836" i="1" s="1"/>
  <c r="AB837" i="1" a="1"/>
  <c r="AB837" i="1" s="1"/>
  <c r="AB838" i="1" a="1"/>
  <c r="AB838" i="1" s="1"/>
  <c r="AB839" i="1" a="1"/>
  <c r="AB839" i="1" s="1"/>
  <c r="AB840" i="1" a="1"/>
  <c r="AB840" i="1" s="1"/>
  <c r="AB841" i="1" a="1"/>
  <c r="AB841" i="1" s="1"/>
  <c r="AB842" i="1" a="1"/>
  <c r="AB842" i="1" s="1"/>
  <c r="AB843" i="1" a="1"/>
  <c r="AB843" i="1" s="1"/>
  <c r="AG843" i="1" s="1"/>
  <c r="AL843" i="1" s="1"/>
  <c r="AM843" i="1" s="1"/>
  <c r="AB844" i="1" a="1"/>
  <c r="AB844" i="1" s="1"/>
  <c r="AG844" i="1" s="1"/>
  <c r="AB845" i="1" a="1"/>
  <c r="AB845" i="1" s="1"/>
  <c r="AB846" i="1" a="1"/>
  <c r="AB846" i="1" s="1"/>
  <c r="AB847" i="1" a="1"/>
  <c r="AB847" i="1" s="1"/>
  <c r="AB848" i="1" a="1"/>
  <c r="AB848" i="1" s="1"/>
  <c r="AB849" i="1" a="1"/>
  <c r="AB849" i="1" s="1"/>
  <c r="AB850" i="1" a="1"/>
  <c r="AB850" i="1" s="1"/>
  <c r="AB851" i="1" a="1"/>
  <c r="AB851" i="1" s="1"/>
  <c r="AB852" i="1" a="1"/>
  <c r="AB852" i="1" s="1"/>
  <c r="AB853" i="1" a="1"/>
  <c r="AB853" i="1" s="1"/>
  <c r="AB854" i="1" a="1"/>
  <c r="AB854" i="1" s="1"/>
  <c r="AB855" i="1" a="1"/>
  <c r="AB855" i="1" s="1"/>
  <c r="AB856" i="1" a="1"/>
  <c r="AB856" i="1" s="1"/>
  <c r="AB857" i="1" a="1"/>
  <c r="AB857" i="1" s="1"/>
  <c r="AB858" i="1" a="1"/>
  <c r="AB858" i="1" s="1"/>
  <c r="AB859" i="1" a="1"/>
  <c r="AB859" i="1" s="1"/>
  <c r="AG859" i="1" s="1"/>
  <c r="AB860" i="1" a="1"/>
  <c r="AB860" i="1" s="1"/>
  <c r="AB861" i="1" a="1"/>
  <c r="AB861" i="1" s="1"/>
  <c r="AB862" i="1" a="1"/>
  <c r="AB862" i="1" s="1"/>
  <c r="AB863" i="1" a="1"/>
  <c r="AB863" i="1" s="1"/>
  <c r="AB864" i="1" a="1"/>
  <c r="AB864" i="1" s="1"/>
  <c r="AB865" i="1" a="1"/>
  <c r="AB865" i="1" s="1"/>
  <c r="AB866" i="1" a="1"/>
  <c r="AB866" i="1" s="1"/>
  <c r="AB867" i="1" a="1"/>
  <c r="AB867" i="1" s="1"/>
  <c r="AB868" i="1" a="1"/>
  <c r="AB868" i="1" s="1"/>
  <c r="AB869" i="1" a="1"/>
  <c r="AB869" i="1" s="1"/>
  <c r="AB870" i="1" a="1"/>
  <c r="AB870" i="1" s="1"/>
  <c r="AB871" i="1" a="1"/>
  <c r="AB871" i="1" s="1"/>
  <c r="AB872" i="1" a="1"/>
  <c r="AB872" i="1" s="1"/>
  <c r="AB873" i="1" a="1"/>
  <c r="AB873" i="1" s="1"/>
  <c r="AB874" i="1" a="1"/>
  <c r="AB874" i="1" s="1"/>
  <c r="AB875" i="1" a="1"/>
  <c r="AB875" i="1"/>
  <c r="AG875" i="1" s="1"/>
  <c r="AB876" i="1" a="1"/>
  <c r="AB876" i="1" s="1"/>
  <c r="AB877" i="1" a="1"/>
  <c r="AB877" i="1" s="1"/>
  <c r="AB878" i="1" a="1"/>
  <c r="AB878" i="1" s="1"/>
  <c r="AB879" i="1" a="1"/>
  <c r="AB879" i="1" s="1"/>
  <c r="AB880" i="1" a="1"/>
  <c r="AB880" i="1" s="1"/>
  <c r="AB881" i="1" a="1"/>
  <c r="AB881" i="1" s="1"/>
  <c r="AB882" i="1" a="1"/>
  <c r="AB882" i="1" s="1"/>
  <c r="AB883" i="1" a="1"/>
  <c r="AB883" i="1" s="1"/>
  <c r="AG883" i="1" s="1"/>
  <c r="AB884" i="1" a="1"/>
  <c r="AB884" i="1" s="1"/>
  <c r="AB885" i="1" a="1"/>
  <c r="AB885" i="1" s="1"/>
  <c r="AB886" i="1" a="1"/>
  <c r="AB886" i="1" s="1"/>
  <c r="AB887" i="1" a="1"/>
  <c r="AB887" i="1" s="1"/>
  <c r="AB888" i="1" a="1"/>
  <c r="AB888" i="1" s="1"/>
  <c r="AB889" i="1" a="1"/>
  <c r="AB889" i="1" s="1"/>
  <c r="AG889" i="1" s="1"/>
  <c r="AB890" i="1" a="1"/>
  <c r="AB890" i="1" s="1"/>
  <c r="AG890" i="1" s="1"/>
  <c r="AB891" i="1" a="1"/>
  <c r="AB891" i="1" s="1"/>
  <c r="AG891" i="1" s="1"/>
  <c r="AH891" i="1" s="1"/>
  <c r="AI891" i="1" s="1"/>
  <c r="AB892" i="1" a="1"/>
  <c r="AB892" i="1" s="1"/>
  <c r="AB893" i="1" a="1"/>
  <c r="AB893" i="1" s="1"/>
  <c r="AB894" i="1" a="1"/>
  <c r="AB894" i="1" s="1"/>
  <c r="AB895" i="1" a="1"/>
  <c r="AB895" i="1" s="1"/>
  <c r="AB896" i="1" a="1"/>
  <c r="AB896" i="1" s="1"/>
  <c r="AB897" i="1" a="1"/>
  <c r="AB897" i="1" s="1"/>
  <c r="AB898" i="1" a="1"/>
  <c r="AB898" i="1" s="1"/>
  <c r="AB899" i="1" a="1"/>
  <c r="AB899" i="1" s="1"/>
  <c r="AG899" i="1" s="1"/>
  <c r="AB900" i="1" a="1"/>
  <c r="AB900" i="1" s="1"/>
  <c r="AB901" i="1" a="1"/>
  <c r="AB901" i="1" s="1"/>
  <c r="AG901" i="1" s="1"/>
  <c r="AB902" i="1" a="1"/>
  <c r="AB902" i="1" s="1"/>
  <c r="AG902" i="1" s="1"/>
  <c r="AL902" i="1" s="1"/>
  <c r="AM902" i="1" s="1"/>
  <c r="AB903" i="1" a="1"/>
  <c r="AB903" i="1" s="1"/>
  <c r="AB904" i="1" a="1"/>
  <c r="AB904" i="1" s="1"/>
  <c r="AB905" i="1" a="1"/>
  <c r="AB905" i="1" s="1"/>
  <c r="AB906" i="1" a="1"/>
  <c r="AB906" i="1" s="1"/>
  <c r="AB907" i="1" a="1"/>
  <c r="AB907" i="1"/>
  <c r="AG907" i="1" s="1"/>
  <c r="AL907" i="1" s="1"/>
  <c r="AM907" i="1" s="1"/>
  <c r="AB908" i="1" a="1"/>
  <c r="AB908" i="1" s="1"/>
  <c r="AB909" i="1" a="1"/>
  <c r="AB909" i="1" s="1"/>
  <c r="AG909" i="1" s="1"/>
  <c r="AB910" i="1" a="1"/>
  <c r="AB910" i="1" s="1"/>
  <c r="AB911" i="1" a="1"/>
  <c r="AB911" i="1"/>
  <c r="AB912" i="1" a="1"/>
  <c r="AB912" i="1" s="1"/>
  <c r="AB913" i="1" a="1"/>
  <c r="AB913" i="1" s="1"/>
  <c r="AB914" i="1" a="1"/>
  <c r="AB914" i="1" s="1"/>
  <c r="AG914" i="1" s="1"/>
  <c r="AJ914" i="1" s="1"/>
  <c r="AK914" i="1" s="1"/>
  <c r="AB915" i="1" a="1"/>
  <c r="AB915" i="1"/>
  <c r="AG915" i="1" s="1"/>
  <c r="AB916" i="1" a="1"/>
  <c r="AB916" i="1" s="1"/>
  <c r="AB917" i="1" a="1"/>
  <c r="AB917" i="1" s="1"/>
  <c r="AG917" i="1" s="1"/>
  <c r="AH917" i="1" s="1"/>
  <c r="AI917" i="1" s="1"/>
  <c r="AB918" i="1" a="1"/>
  <c r="AB918" i="1" s="1"/>
  <c r="AB919" i="1" a="1"/>
  <c r="AB919" i="1" s="1"/>
  <c r="AB920" i="1" a="1"/>
  <c r="AB920" i="1" s="1"/>
  <c r="AB921" i="1" a="1"/>
  <c r="AB921" i="1" s="1"/>
  <c r="AB922" i="1" a="1"/>
  <c r="AB922" i="1" s="1"/>
  <c r="AG922" i="1" s="1"/>
  <c r="AB923" i="1" a="1"/>
  <c r="AB923" i="1"/>
  <c r="AB924" i="1" a="1"/>
  <c r="AB924" i="1" s="1"/>
  <c r="AB925" i="1" a="1"/>
  <c r="AB925" i="1" s="1"/>
  <c r="AB926" i="1" a="1"/>
  <c r="AB926" i="1" s="1"/>
  <c r="AB927" i="1" a="1"/>
  <c r="AB927" i="1" s="1"/>
  <c r="AB928" i="1" a="1"/>
  <c r="AB928" i="1" s="1"/>
  <c r="AB929" i="1" a="1"/>
  <c r="AB929" i="1"/>
  <c r="AB930" i="1" a="1"/>
  <c r="AB930" i="1" s="1"/>
  <c r="AB931" i="1" a="1"/>
  <c r="AB931" i="1"/>
  <c r="AG931" i="1" s="1"/>
  <c r="AB932" i="1" a="1"/>
  <c r="AB932" i="1" s="1"/>
  <c r="AB933" i="1" a="1"/>
  <c r="AB933" i="1" s="1"/>
  <c r="AG933" i="1" s="1"/>
  <c r="AB934" i="1" a="1"/>
  <c r="AB934" i="1" s="1"/>
  <c r="AB935" i="1" a="1"/>
  <c r="AB935" i="1"/>
  <c r="AB936" i="1" a="1"/>
  <c r="AB936" i="1" s="1"/>
  <c r="AB937" i="1" a="1"/>
  <c r="AB937" i="1"/>
  <c r="AB938" i="1" a="1"/>
  <c r="AB938" i="1" s="1"/>
  <c r="AB939" i="1" a="1"/>
  <c r="AB939" i="1" s="1"/>
  <c r="AG939" i="1" s="1"/>
  <c r="AB940" i="1" a="1"/>
  <c r="AB940" i="1" s="1"/>
  <c r="AB941" i="1" a="1"/>
  <c r="AB941" i="1" s="1"/>
  <c r="AB942" i="1" a="1"/>
  <c r="AB942" i="1" s="1"/>
  <c r="AB943" i="1" a="1"/>
  <c r="AB943" i="1"/>
  <c r="AB944" i="1" a="1"/>
  <c r="AB944" i="1" s="1"/>
  <c r="AB945" i="1" a="1"/>
  <c r="AB945" i="1" s="1"/>
  <c r="AB946" i="1" a="1"/>
  <c r="AB946" i="1" s="1"/>
  <c r="AB947" i="1" a="1"/>
  <c r="AB947" i="1"/>
  <c r="AB948" i="1" a="1"/>
  <c r="AB948" i="1" s="1"/>
  <c r="AB949" i="1" a="1"/>
  <c r="AB949" i="1" s="1"/>
  <c r="AB950" i="1" a="1"/>
  <c r="AB950" i="1" s="1"/>
  <c r="AG950" i="1" s="1"/>
  <c r="AL950" i="1" s="1"/>
  <c r="AB951" i="1" a="1"/>
  <c r="AB951" i="1"/>
  <c r="AB952" i="1" a="1"/>
  <c r="AB952" i="1" s="1"/>
  <c r="AB953" i="1" a="1"/>
  <c r="AB953" i="1"/>
  <c r="AB954" i="1" a="1"/>
  <c r="AB954" i="1" s="1"/>
  <c r="AB955" i="1" a="1"/>
  <c r="AB955" i="1"/>
  <c r="AG955" i="1" s="1"/>
  <c r="AJ955" i="1" s="1"/>
  <c r="AK955" i="1" s="1"/>
  <c r="AB956" i="1" a="1"/>
  <c r="AB956" i="1" s="1"/>
  <c r="AB957" i="1" a="1"/>
  <c r="AB957" i="1" s="1"/>
  <c r="AG957" i="1" s="1"/>
  <c r="AB958" i="1" a="1"/>
  <c r="AB958" i="1" s="1"/>
  <c r="AB959" i="1" a="1"/>
  <c r="AB959" i="1"/>
  <c r="AB960" i="1" a="1"/>
  <c r="AB960" i="1" s="1"/>
  <c r="AB961" i="1" a="1"/>
  <c r="AB961" i="1" s="1"/>
  <c r="AB962" i="1" a="1"/>
  <c r="AB962" i="1" s="1"/>
  <c r="AG962" i="1" s="1"/>
  <c r="AB963" i="1" a="1"/>
  <c r="AB963" i="1"/>
  <c r="AB964" i="1" a="1"/>
  <c r="AB964" i="1"/>
  <c r="AB965" i="1" a="1"/>
  <c r="AB965" i="1" s="1"/>
  <c r="AB966" i="1" a="1"/>
  <c r="AB966" i="1" s="1"/>
  <c r="AB967" i="1" a="1"/>
  <c r="AB967" i="1"/>
  <c r="AG967" i="1" s="1"/>
  <c r="AB968" i="1" a="1"/>
  <c r="AB968" i="1" s="1"/>
  <c r="AB969" i="1" a="1"/>
  <c r="AB969" i="1" s="1"/>
  <c r="AG969" i="1" s="1"/>
  <c r="AB970" i="1" a="1"/>
  <c r="AB970" i="1" s="1"/>
  <c r="AB971" i="1" a="1"/>
  <c r="AB971" i="1"/>
  <c r="AB972" i="1" a="1"/>
  <c r="AB972" i="1" s="1"/>
  <c r="AB973" i="1" a="1"/>
  <c r="AB973" i="1"/>
  <c r="AB974" i="1" a="1"/>
  <c r="AB974" i="1" s="1"/>
  <c r="AB975" i="1" a="1"/>
  <c r="AB975" i="1" s="1"/>
  <c r="AG975" i="1" s="1"/>
  <c r="AB976" i="1" a="1"/>
  <c r="AB976" i="1" s="1"/>
  <c r="AB977" i="1" a="1"/>
  <c r="AB977" i="1" s="1"/>
  <c r="AB978" i="1" a="1"/>
  <c r="AB978" i="1" s="1"/>
  <c r="AB979" i="1" a="1"/>
  <c r="AB979" i="1" s="1"/>
  <c r="AG979" i="1" s="1"/>
  <c r="AB980" i="1" a="1"/>
  <c r="AB980" i="1" s="1"/>
  <c r="AB981" i="1" a="1"/>
  <c r="AB981" i="1" s="1"/>
  <c r="AB982" i="1" a="1"/>
  <c r="AB982" i="1" s="1"/>
  <c r="AB983" i="1" a="1"/>
  <c r="AB983" i="1" s="1"/>
  <c r="AG983" i="1" s="1"/>
  <c r="AB984" i="1" a="1"/>
  <c r="AB984" i="1" s="1"/>
  <c r="AB985" i="1" a="1"/>
  <c r="AB985" i="1" s="1"/>
  <c r="AG985" i="1" s="1"/>
  <c r="AL985" i="1" s="1"/>
  <c r="AM985" i="1" s="1"/>
  <c r="AB986" i="1" a="1"/>
  <c r="AB986" i="1" s="1"/>
  <c r="AG986" i="1" s="1"/>
  <c r="AL986" i="1" s="1"/>
  <c r="AM986" i="1" s="1"/>
  <c r="AB987" i="1" a="1"/>
  <c r="AB987" i="1" s="1"/>
  <c r="AG987" i="1" s="1"/>
  <c r="AB988" i="1" a="1"/>
  <c r="AB988" i="1" s="1"/>
  <c r="AB989" i="1" a="1"/>
  <c r="AB989" i="1" s="1"/>
  <c r="AB990" i="1" a="1"/>
  <c r="AB990" i="1" s="1"/>
  <c r="AB991" i="1" a="1"/>
  <c r="AB991" i="1" s="1"/>
  <c r="AG991" i="1" s="1"/>
  <c r="AL991" i="1" s="1"/>
  <c r="AM991" i="1" s="1"/>
  <c r="AB992" i="1" a="1"/>
  <c r="AB992" i="1" s="1"/>
  <c r="AB993" i="1" a="1"/>
  <c r="AB993" i="1" s="1"/>
  <c r="AG993" i="1" s="1"/>
  <c r="AH993" i="1" s="1"/>
  <c r="AI993" i="1" s="1"/>
  <c r="AB994" i="1" a="1"/>
  <c r="AB994" i="1" s="1"/>
  <c r="AB995" i="1" a="1"/>
  <c r="AB995" i="1" s="1"/>
  <c r="AG995" i="1" s="1"/>
  <c r="AL995" i="1" s="1"/>
  <c r="AM995" i="1" s="1"/>
  <c r="AB996" i="1" a="1"/>
  <c r="AB996" i="1" s="1"/>
  <c r="AB997" i="1" a="1"/>
  <c r="AB997" i="1" s="1"/>
  <c r="AB998" i="1" a="1"/>
  <c r="AB998" i="1" s="1"/>
  <c r="AB999" i="1" a="1"/>
  <c r="AB999" i="1" s="1"/>
  <c r="AG999" i="1" s="1"/>
  <c r="AB1000" i="1" a="1"/>
  <c r="AB1000" i="1" s="1"/>
  <c r="AB1001" i="1" a="1"/>
  <c r="AB1001" i="1" s="1"/>
  <c r="AG1001" i="1" s="1"/>
  <c r="AB1002" i="1" a="1"/>
  <c r="AB1002" i="1" s="1"/>
  <c r="AB1003" i="1" a="1"/>
  <c r="AB1003" i="1"/>
  <c r="AG1003" i="1" s="1"/>
  <c r="AL1003" i="1" s="1"/>
  <c r="AM1003" i="1" s="1"/>
  <c r="AB1004" i="1" a="1"/>
  <c r="AB1004" i="1" s="1"/>
  <c r="AB1005" i="1" a="1"/>
  <c r="AB1005" i="1" s="1"/>
  <c r="AB1006" i="1" a="1"/>
  <c r="AB1006" i="1" s="1"/>
  <c r="AB1007" i="1" a="1"/>
  <c r="AB1007" i="1" s="1"/>
  <c r="AG1007" i="1" s="1"/>
  <c r="AL1007" i="1" s="1"/>
  <c r="AM1007" i="1" s="1"/>
  <c r="AB1008" i="1" a="1"/>
  <c r="AB1008" i="1" s="1"/>
  <c r="AB1009" i="1" a="1"/>
  <c r="AB1009" i="1" s="1"/>
  <c r="AG1009" i="1" s="1"/>
  <c r="AH1009" i="1" s="1"/>
  <c r="AI1009" i="1" s="1"/>
  <c r="AB1010" i="1" a="1"/>
  <c r="AB1010" i="1" s="1"/>
  <c r="AB1011" i="1" a="1"/>
  <c r="AB1011" i="1" s="1"/>
  <c r="AG1011" i="1" s="1"/>
  <c r="AB1012" i="1" a="1"/>
  <c r="AB1012" i="1" s="1"/>
  <c r="AB1013" i="1" a="1"/>
  <c r="AB1013" i="1" s="1"/>
  <c r="AG1013" i="1" s="1"/>
  <c r="AB1014" i="1" a="1"/>
  <c r="AB1014" i="1" s="1"/>
  <c r="AB1015" i="1" a="1"/>
  <c r="AB1015" i="1" s="1"/>
  <c r="AB1016" i="1" a="1"/>
  <c r="AB1016" i="1" s="1"/>
  <c r="AB1017" i="1" a="1"/>
  <c r="AB1017" i="1" s="1"/>
  <c r="AG1017" i="1" s="1"/>
  <c r="AB1018" i="1" a="1"/>
  <c r="AB1018" i="1" s="1"/>
  <c r="AG1018" i="1" s="1"/>
  <c r="AL1018" i="1" s="1"/>
  <c r="AM1018" i="1" s="1"/>
  <c r="AB1019" i="1" a="1"/>
  <c r="AB1019" i="1" s="1"/>
  <c r="AB1020" i="1" a="1"/>
  <c r="AB1020" i="1" s="1"/>
  <c r="AB1021" i="1" a="1"/>
  <c r="AB1021" i="1" s="1"/>
  <c r="AG1021" i="1" s="1"/>
  <c r="AB1022" i="1" a="1"/>
  <c r="AB1022" i="1" s="1"/>
  <c r="AB1023" i="1" a="1"/>
  <c r="AB1023" i="1" s="1"/>
  <c r="AG1023" i="1" s="1"/>
  <c r="AB1024" i="1" a="1"/>
  <c r="AB1024" i="1" s="1"/>
  <c r="AG1024" i="1" s="1"/>
  <c r="AB1025" i="1" a="1"/>
  <c r="AB1025" i="1" s="1"/>
  <c r="AG1025" i="1" s="1"/>
  <c r="AL1025" i="1" s="1"/>
  <c r="AM1025" i="1" s="1"/>
  <c r="AB1026" i="1" a="1"/>
  <c r="AB1026" i="1" s="1"/>
  <c r="AB1027" i="1" a="1"/>
  <c r="AB1027" i="1" s="1"/>
  <c r="AG1027" i="1" s="1"/>
  <c r="AB1028" i="1" a="1"/>
  <c r="AB1028" i="1" s="1"/>
  <c r="AB1029" i="1" a="1"/>
  <c r="AB1029" i="1" s="1"/>
  <c r="AB1030" i="1" a="1"/>
  <c r="AB1030" i="1" s="1"/>
  <c r="AB1031" i="1" a="1"/>
  <c r="AB1031" i="1" s="1"/>
  <c r="AB1032" i="1" a="1"/>
  <c r="AB1032" i="1" s="1"/>
  <c r="AB1033" i="1" a="1"/>
  <c r="AB1033" i="1" s="1"/>
  <c r="AG1033" i="1" s="1"/>
  <c r="AB1034" i="1" a="1"/>
  <c r="AB1034" i="1" s="1"/>
  <c r="AB1035" i="1" a="1"/>
  <c r="AB1035" i="1" s="1"/>
  <c r="AB1036" i="1" a="1"/>
  <c r="AB1036" i="1" s="1"/>
  <c r="AB1037" i="1" a="1"/>
  <c r="AB1037" i="1"/>
  <c r="AB1038" i="1" a="1"/>
  <c r="AB1038" i="1" s="1"/>
  <c r="AB1039" i="1" a="1"/>
  <c r="AB1039" i="1" s="1"/>
  <c r="AG1039" i="1" s="1"/>
  <c r="AB1040" i="1" a="1"/>
  <c r="AB1040" i="1" s="1"/>
  <c r="AB1041" i="1" a="1"/>
  <c r="AB1041" i="1" s="1"/>
  <c r="AB1042" i="1" a="1"/>
  <c r="AB1042" i="1" s="1"/>
  <c r="AB1043" i="1" a="1"/>
  <c r="AB1043" i="1" s="1"/>
  <c r="AG1043" i="1" s="1"/>
  <c r="AJ1043" i="1" s="1"/>
  <c r="AK1043" i="1" s="1"/>
  <c r="AB1044" i="1" a="1"/>
  <c r="AB1044" i="1" s="1"/>
  <c r="AB1045" i="1" a="1"/>
  <c r="AB1045" i="1" s="1"/>
  <c r="AB1046" i="1" a="1"/>
  <c r="AB1046" i="1" s="1"/>
  <c r="AB1047" i="1" a="1"/>
  <c r="AB1047" i="1" s="1"/>
  <c r="AG1047" i="1" s="1"/>
  <c r="AJ1047" i="1" s="1"/>
  <c r="AB1048" i="1" a="1"/>
  <c r="AB1048" i="1" s="1"/>
  <c r="AB1049" i="1" a="1"/>
  <c r="AB1049" i="1" s="1"/>
  <c r="AG1049" i="1" s="1"/>
  <c r="AJ1049" i="1" s="1"/>
  <c r="AK1049" i="1" s="1"/>
  <c r="AB1050" i="1" a="1"/>
  <c r="AB1050" i="1" s="1"/>
  <c r="AB1051" i="1" a="1"/>
  <c r="AB1051" i="1" s="1"/>
  <c r="AG1051" i="1" s="1"/>
  <c r="AJ1051" i="1" s="1"/>
  <c r="AB1052" i="1" a="1"/>
  <c r="AB1052" i="1" s="1"/>
  <c r="AB1053" i="1" a="1"/>
  <c r="AB1053" i="1"/>
  <c r="AB1054" i="1" a="1"/>
  <c r="AB1054" i="1" s="1"/>
  <c r="AB1055" i="1" a="1"/>
  <c r="AB1055" i="1" s="1"/>
  <c r="AG1055" i="1" s="1"/>
  <c r="AJ1055" i="1" s="1"/>
  <c r="AB1056" i="1" a="1"/>
  <c r="AB1056" i="1" s="1"/>
  <c r="AB1057" i="1" a="1"/>
  <c r="AB1057" i="1" s="1"/>
  <c r="AB1058" i="1" a="1"/>
  <c r="AB1058" i="1" s="1"/>
  <c r="AB1059" i="1" a="1"/>
  <c r="AB1059" i="1" s="1"/>
  <c r="AG1059" i="1" s="1"/>
  <c r="AB1060" i="1" a="1"/>
  <c r="AB1060" i="1" s="1"/>
  <c r="AB1061" i="1" a="1"/>
  <c r="AB1061" i="1" s="1"/>
  <c r="AG1061" i="1" s="1"/>
  <c r="AL1061" i="1" s="1"/>
  <c r="AM1061" i="1" s="1"/>
  <c r="AB1062" i="1" a="1"/>
  <c r="AB1062" i="1" s="1"/>
  <c r="AG1062" i="1" s="1"/>
  <c r="AL1062" i="1" s="1"/>
  <c r="AM1062" i="1" s="1"/>
  <c r="AB1063" i="1" a="1"/>
  <c r="AB1063" i="1" s="1"/>
  <c r="AB1064" i="1" a="1"/>
  <c r="AB1064" i="1" s="1"/>
  <c r="AB1065" i="1" a="1"/>
  <c r="AB1065" i="1"/>
  <c r="AB1066" i="1" a="1"/>
  <c r="AB1066" i="1" s="1"/>
  <c r="AB1067" i="1" a="1"/>
  <c r="AB1067" i="1" s="1"/>
  <c r="AG1067" i="1" s="1"/>
  <c r="AH1067" i="1" s="1"/>
  <c r="AI1067" i="1" s="1"/>
  <c r="AB1068" i="1" a="1"/>
  <c r="AB1068" i="1" s="1"/>
  <c r="AG1068" i="1" s="1"/>
  <c r="AB1069" i="1" a="1"/>
  <c r="AB1069" i="1"/>
  <c r="AG1069" i="1" s="1"/>
  <c r="AL1069" i="1" s="1"/>
  <c r="AM1069" i="1" s="1"/>
  <c r="AB1070" i="1" a="1"/>
  <c r="AB1070" i="1" s="1"/>
  <c r="AB1071" i="1" a="1"/>
  <c r="AB1071" i="1" s="1"/>
  <c r="AB1072" i="1" a="1"/>
  <c r="AB1072" i="1" s="1"/>
  <c r="AB1073" i="1" a="1"/>
  <c r="AB1073" i="1" s="1"/>
  <c r="AB1074" i="1" a="1"/>
  <c r="AB1074" i="1" s="1"/>
  <c r="AB1075" i="1" a="1"/>
  <c r="AB1075" i="1" s="1"/>
  <c r="AG1075" i="1" s="1"/>
  <c r="AL1075" i="1" s="1"/>
  <c r="AB1076" i="1" a="1"/>
  <c r="AB1076" i="1" s="1"/>
  <c r="AG1076" i="1" s="1"/>
  <c r="AJ1076" i="1" s="1"/>
  <c r="AK1076" i="1" s="1"/>
  <c r="AB1077" i="1" a="1"/>
  <c r="AB1077" i="1" s="1"/>
  <c r="AG1077" i="1" s="1"/>
  <c r="AL1077" i="1" s="1"/>
  <c r="AM1077" i="1" s="1"/>
  <c r="AB1078" i="1" a="1"/>
  <c r="AB1078" i="1" s="1"/>
  <c r="AG1078" i="1" s="1"/>
  <c r="AB1079" i="1" a="1"/>
  <c r="AB1079" i="1" s="1"/>
  <c r="AB1080" i="1" a="1"/>
  <c r="AB1080" i="1" s="1"/>
  <c r="AB1081" i="1" a="1"/>
  <c r="AB1081" i="1" s="1"/>
  <c r="AB1082" i="1" a="1"/>
  <c r="AB1082" i="1" s="1"/>
  <c r="AB1083" i="1" a="1"/>
  <c r="AB1083" i="1" s="1"/>
  <c r="AG1083" i="1" s="1"/>
  <c r="AB1084" i="1" a="1"/>
  <c r="AB1084" i="1" s="1"/>
  <c r="AG1084" i="1" s="1"/>
  <c r="AB1085" i="1" a="1"/>
  <c r="AB1085" i="1" s="1"/>
  <c r="AG1085" i="1" s="1"/>
  <c r="AL1085" i="1" s="1"/>
  <c r="AB1086" i="1" a="1"/>
  <c r="AB1086" i="1" s="1"/>
  <c r="AB1087" i="1" a="1"/>
  <c r="AB1087" i="1" s="1"/>
  <c r="AB1088" i="1" a="1"/>
  <c r="AB1088" i="1" s="1"/>
  <c r="AB1089" i="1" a="1"/>
  <c r="AB1089" i="1" s="1"/>
  <c r="AB1090" i="1" a="1"/>
  <c r="AB1090" i="1" s="1"/>
  <c r="AG1090" i="1" s="1"/>
  <c r="AB1091" i="1" a="1"/>
  <c r="AB1091" i="1" s="1"/>
  <c r="AG1091" i="1" s="1"/>
  <c r="AB1092" i="1" a="1"/>
  <c r="AB1092" i="1" s="1"/>
  <c r="AG1092" i="1" s="1"/>
  <c r="AJ1092" i="1" s="1"/>
  <c r="AK1092" i="1" s="1"/>
  <c r="AB1093" i="1" a="1"/>
  <c r="AB1093" i="1" s="1"/>
  <c r="AB1094" i="1" a="1"/>
  <c r="AB1094" i="1" s="1"/>
  <c r="AG1094" i="1" s="1"/>
  <c r="AL1094" i="1" s="1"/>
  <c r="AM1094" i="1" s="1"/>
  <c r="AB1095" i="1" a="1"/>
  <c r="AB1095" i="1" s="1"/>
  <c r="AB1096" i="1" a="1"/>
  <c r="AB1096" i="1" s="1"/>
  <c r="AB1097" i="1" a="1"/>
  <c r="AB1097" i="1" s="1"/>
  <c r="AB1098" i="1" a="1"/>
  <c r="AB1098" i="1" s="1"/>
  <c r="AB1099" i="1" a="1"/>
  <c r="AB1099" i="1" s="1"/>
  <c r="AG1099" i="1" s="1"/>
  <c r="AB1100" i="1" a="1"/>
  <c r="AB1100" i="1" s="1"/>
  <c r="AG1100" i="1" s="1"/>
  <c r="AB1101" i="1" a="1"/>
  <c r="AB1101" i="1"/>
  <c r="AG1101" i="1" s="1"/>
  <c r="AB1102" i="1" a="1"/>
  <c r="AB1102" i="1" s="1"/>
  <c r="AB1103" i="1" a="1"/>
  <c r="AB1103" i="1" s="1"/>
  <c r="AB1104" i="1" a="1"/>
  <c r="AB1104" i="1" s="1"/>
  <c r="AB1105" i="1" a="1"/>
  <c r="AB1105" i="1" s="1"/>
  <c r="AB1106" i="1" a="1"/>
  <c r="AB1106" i="1" s="1"/>
  <c r="AG1106" i="1" s="1"/>
  <c r="AB1107" i="1" a="1"/>
  <c r="AB1107" i="1" s="1"/>
  <c r="AG1107" i="1" s="1"/>
  <c r="AB1108" i="1" a="1"/>
  <c r="AB1108" i="1" s="1"/>
  <c r="AG1108" i="1" s="1"/>
  <c r="AB1109" i="1" a="1"/>
  <c r="AB1109" i="1" s="1"/>
  <c r="AB1110" i="1" a="1"/>
  <c r="AB1110" i="1" s="1"/>
  <c r="AG1110" i="1" s="1"/>
  <c r="AB1111" i="1" a="1"/>
  <c r="AB1111" i="1" s="1"/>
  <c r="AG1111" i="1" s="1"/>
  <c r="AB1112" i="1" a="1"/>
  <c r="AB1112" i="1" s="1"/>
  <c r="AG1112" i="1" s="1"/>
  <c r="AB1113" i="1" a="1"/>
  <c r="AB1113" i="1"/>
  <c r="AB1114" i="1" a="1"/>
  <c r="AB1114" i="1" s="1"/>
  <c r="AB1115" i="1" a="1"/>
  <c r="AB1115" i="1" s="1"/>
  <c r="AB1116" i="1" a="1"/>
  <c r="AB1116" i="1" s="1"/>
  <c r="AB1117" i="1" a="1"/>
  <c r="AB1117" i="1" s="1"/>
  <c r="AG1117" i="1" s="1"/>
  <c r="AL1117" i="1" s="1"/>
  <c r="AM1117" i="1" s="1"/>
  <c r="AB1118" i="1" a="1"/>
  <c r="AB1118" i="1" s="1"/>
  <c r="AG1118" i="1" s="1"/>
  <c r="AH1118" i="1" s="1"/>
  <c r="AI1118" i="1" s="1"/>
  <c r="AB1119" i="1" a="1"/>
  <c r="AB1119" i="1" s="1"/>
  <c r="AB1120" i="1" a="1"/>
  <c r="AB1120" i="1" s="1"/>
  <c r="AB1121" i="1" a="1"/>
  <c r="AB1121" i="1" s="1"/>
  <c r="AB1122" i="1" a="1"/>
  <c r="AB1122" i="1" s="1"/>
  <c r="AG1122" i="1" s="1"/>
  <c r="AB1123" i="1" a="1"/>
  <c r="AB1123" i="1" s="1"/>
  <c r="AB1124" i="1" a="1"/>
  <c r="AB1124" i="1" s="1"/>
  <c r="AB1125" i="1" a="1"/>
  <c r="AB1125" i="1" s="1"/>
  <c r="AG1125" i="1" s="1"/>
  <c r="AL1125" i="1" s="1"/>
  <c r="AM1125" i="1" s="1"/>
  <c r="AB1126" i="1" a="1"/>
  <c r="AB1126" i="1" s="1"/>
  <c r="AG1126" i="1" s="1"/>
  <c r="AB1127" i="1" a="1"/>
  <c r="AB1127" i="1" s="1"/>
  <c r="AB1128" i="1" a="1"/>
  <c r="AB1128" i="1" s="1"/>
  <c r="AB1129" i="1" a="1"/>
  <c r="AB1129" i="1" s="1"/>
  <c r="AB1130" i="1" a="1"/>
  <c r="AB1130" i="1" s="1"/>
  <c r="AB1131" i="1" a="1"/>
  <c r="AB1131" i="1" s="1"/>
  <c r="AB1132" i="1" a="1"/>
  <c r="AB1132" i="1" s="1"/>
  <c r="AB1133" i="1" a="1"/>
  <c r="AB1133" i="1"/>
  <c r="AG1133" i="1" s="1"/>
  <c r="AL1133" i="1" s="1"/>
  <c r="AB1134" i="1" a="1"/>
  <c r="AB1134" i="1" s="1"/>
  <c r="AG1134" i="1" s="1"/>
  <c r="AB1135" i="1" a="1"/>
  <c r="AB1135" i="1" s="1"/>
  <c r="AB1136" i="1" a="1"/>
  <c r="AB1136" i="1" s="1"/>
  <c r="AB1137" i="1" a="1"/>
  <c r="AB1137" i="1" s="1"/>
  <c r="AB1138" i="1" a="1"/>
  <c r="AB1138" i="1" s="1"/>
  <c r="AG1138" i="1" s="1"/>
  <c r="AB1139" i="1" a="1"/>
  <c r="AB1139" i="1" s="1"/>
  <c r="AB1140" i="1" a="1"/>
  <c r="AB1140" i="1" s="1"/>
  <c r="AB1141" i="1" a="1"/>
  <c r="AB1141" i="1" s="1"/>
  <c r="AG1141" i="1" s="1"/>
  <c r="AJ1141" i="1" s="1"/>
  <c r="AK1141" i="1" s="1"/>
  <c r="AB1142" i="1" a="1"/>
  <c r="AB1142" i="1" s="1"/>
  <c r="AG1142" i="1" s="1"/>
  <c r="AB1143" i="1" a="1"/>
  <c r="AB1143" i="1" s="1"/>
  <c r="AB1144" i="1" a="1"/>
  <c r="AB1144" i="1" s="1"/>
  <c r="AB1145" i="1" a="1"/>
  <c r="AB1145" i="1" s="1"/>
  <c r="AG1145" i="1" s="1"/>
  <c r="AB1146" i="1" a="1"/>
  <c r="AB1146" i="1" s="1"/>
  <c r="AB1147" i="1" a="1"/>
  <c r="AB1147" i="1" s="1"/>
  <c r="AB1148" i="1" a="1"/>
  <c r="AB1148" i="1" s="1"/>
  <c r="AG1148" i="1" s="1"/>
  <c r="AB1149" i="1" a="1"/>
  <c r="AB1149" i="1" s="1"/>
  <c r="AG1149" i="1" s="1"/>
  <c r="AL1149" i="1" s="1"/>
  <c r="AM1149" i="1" s="1"/>
  <c r="AB1150" i="1" a="1"/>
  <c r="AB1150" i="1" s="1"/>
  <c r="AG1150" i="1" s="1"/>
  <c r="AB1151" i="1" a="1"/>
  <c r="AB1151" i="1" s="1"/>
  <c r="AB1152" i="1" a="1"/>
  <c r="AB1152" i="1" s="1"/>
  <c r="AB1153" i="1" a="1"/>
  <c r="AB1153" i="1" s="1"/>
  <c r="AB1154" i="1" a="1"/>
  <c r="AB1154" i="1" s="1"/>
  <c r="AB1155" i="1" a="1"/>
  <c r="AB1155" i="1" s="1"/>
  <c r="AB1156" i="1" a="1"/>
  <c r="AB1156" i="1" s="1"/>
  <c r="AG1156" i="1" s="1"/>
  <c r="AB1157" i="1" a="1"/>
  <c r="AB1157" i="1" s="1"/>
  <c r="AG1157" i="1" s="1"/>
  <c r="AB1158" i="1" a="1"/>
  <c r="AB1158" i="1" s="1"/>
  <c r="AG1158" i="1" s="1"/>
  <c r="AB1159" i="1" a="1"/>
  <c r="AB1159" i="1" s="1"/>
  <c r="AB1160" i="1" a="1"/>
  <c r="AB1160" i="1" s="1"/>
  <c r="AB1161" i="1" a="1"/>
  <c r="AB1161" i="1" s="1"/>
  <c r="AB1162" i="1" a="1"/>
  <c r="AB1162" i="1" s="1"/>
  <c r="AB1163" i="1" a="1"/>
  <c r="AB1163" i="1" s="1"/>
  <c r="AB1164" i="1" a="1"/>
  <c r="AB1164" i="1" s="1"/>
  <c r="AG1164" i="1" s="1"/>
  <c r="AB1165" i="1" a="1"/>
  <c r="AB1165" i="1"/>
  <c r="AG1165" i="1" s="1"/>
  <c r="AB1166" i="1" a="1"/>
  <c r="AB1166" i="1" s="1"/>
  <c r="AG1166" i="1" s="1"/>
  <c r="AJ1166" i="1" s="1"/>
  <c r="AK1166" i="1" s="1"/>
  <c r="AB1167" i="1" a="1"/>
  <c r="AB1167" i="1" s="1"/>
  <c r="AB1168" i="1" a="1"/>
  <c r="AB1168" i="1" s="1"/>
  <c r="AB1169" i="1" a="1"/>
  <c r="AB1169" i="1" s="1"/>
  <c r="AB1170" i="1" a="1"/>
  <c r="AB1170" i="1" s="1"/>
  <c r="AB1171" i="1" a="1"/>
  <c r="AB1171" i="1" s="1"/>
  <c r="AG1171" i="1" s="1"/>
  <c r="AL1171" i="1" s="1"/>
  <c r="AM1171" i="1" s="1"/>
  <c r="AB1172" i="1" a="1"/>
  <c r="AB1172" i="1" s="1"/>
  <c r="AG1172" i="1" s="1"/>
  <c r="AH1172" i="1" s="1"/>
  <c r="AI1172" i="1" s="1"/>
  <c r="AB1173" i="1" a="1"/>
  <c r="AB1173" i="1" s="1"/>
  <c r="AG1173" i="1" s="1"/>
  <c r="AB1174" i="1" a="1"/>
  <c r="AB1174" i="1" s="1"/>
  <c r="AB1175" i="1" a="1"/>
  <c r="AB1175" i="1" s="1"/>
  <c r="AB1176" i="1" a="1"/>
  <c r="AB1176" i="1" s="1"/>
  <c r="AB1177" i="1" a="1"/>
  <c r="AB1177" i="1" s="1"/>
  <c r="AB1178" i="1" a="1"/>
  <c r="AB1178" i="1" s="1"/>
  <c r="AB1179" i="1" a="1"/>
  <c r="AB1179" i="1" s="1"/>
  <c r="AB1180" i="1" a="1"/>
  <c r="AB1180" i="1" s="1"/>
  <c r="AG1180" i="1" s="1"/>
  <c r="AB1181" i="1" a="1"/>
  <c r="AB1181" i="1"/>
  <c r="AG1181" i="1" s="1"/>
  <c r="AB1182" i="1" a="1"/>
  <c r="AB1182" i="1" s="1"/>
  <c r="AB1183" i="1" a="1"/>
  <c r="AB1183" i="1" s="1"/>
  <c r="AB1184" i="1" a="1"/>
  <c r="AB1184" i="1" s="1"/>
  <c r="AB1185" i="1" a="1"/>
  <c r="AB1185" i="1" s="1"/>
  <c r="AB1186" i="1" a="1"/>
  <c r="AB1186" i="1" s="1"/>
  <c r="AB1187" i="1" a="1"/>
  <c r="AB1187" i="1" s="1"/>
  <c r="AG1187" i="1" s="1"/>
  <c r="AB1188" i="1" a="1"/>
  <c r="AB1188" i="1" s="1"/>
  <c r="AG1188" i="1" s="1"/>
  <c r="AB1189" i="1" a="1"/>
  <c r="AB1189" i="1" s="1"/>
  <c r="AB1190" i="1" a="1"/>
  <c r="AB1190" i="1" s="1"/>
  <c r="AB1191" i="1" a="1"/>
  <c r="AB1191" i="1" s="1"/>
  <c r="AB1192" i="1" a="1"/>
  <c r="AB1192" i="1" s="1"/>
  <c r="AG1192" i="1" s="1"/>
  <c r="AB1193" i="1" a="1"/>
  <c r="AB1193" i="1" s="1"/>
  <c r="AB1194" i="1" a="1"/>
  <c r="AB1194" i="1" s="1"/>
  <c r="AB1195" i="1" a="1"/>
  <c r="AB1195" i="1" s="1"/>
  <c r="AG1195" i="1" s="1"/>
  <c r="AL1195" i="1" s="1"/>
  <c r="AM1195" i="1" s="1"/>
  <c r="AB1196" i="1" a="1"/>
  <c r="AB1196" i="1" s="1"/>
  <c r="AB1197" i="1" a="1"/>
  <c r="AB1197" i="1" s="1"/>
  <c r="AB1198" i="1" a="1"/>
  <c r="AB1198" i="1" s="1"/>
  <c r="AB1199" i="1" a="1"/>
  <c r="AB1199" i="1" s="1"/>
  <c r="AB1200" i="1" a="1"/>
  <c r="AB1200" i="1" s="1"/>
  <c r="AG1200" i="1" s="1"/>
  <c r="AJ1200" i="1" s="1"/>
  <c r="AK1200" i="1" s="1"/>
  <c r="AB1201" i="1" a="1"/>
  <c r="AB1201" i="1" s="1"/>
  <c r="AB1202" i="1" a="1"/>
  <c r="AB1202" i="1" s="1"/>
  <c r="AB1203" i="1" a="1"/>
  <c r="AB1203" i="1" s="1"/>
  <c r="AG1203" i="1" s="1"/>
  <c r="AB1204" i="1" a="1"/>
  <c r="AB1204" i="1" s="1"/>
  <c r="AB1205" i="1" a="1"/>
  <c r="AB1205" i="1" s="1"/>
  <c r="AB1206" i="1" a="1"/>
  <c r="AB1206" i="1" s="1"/>
  <c r="AB1207" i="1" a="1"/>
  <c r="AB1207" i="1" s="1"/>
  <c r="AB1208" i="1" a="1"/>
  <c r="AB1208" i="1" s="1"/>
  <c r="AG1208" i="1" s="1"/>
  <c r="AB1209" i="1" a="1"/>
  <c r="AB1209" i="1" s="1"/>
  <c r="AB1210" i="1" a="1"/>
  <c r="AB1210" i="1" s="1"/>
  <c r="AG1210" i="1" s="1"/>
  <c r="AB1211" i="1" a="1"/>
  <c r="AB1211" i="1" s="1"/>
  <c r="AB1212" i="1" a="1"/>
  <c r="AB1212" i="1" s="1"/>
  <c r="AB1213" i="1" a="1"/>
  <c r="AB1213" i="1" s="1"/>
  <c r="AB1214" i="1" a="1"/>
  <c r="AB1214" i="1" s="1"/>
  <c r="AB1215" i="1" a="1"/>
  <c r="AB1215" i="1" s="1"/>
  <c r="AB1216" i="1" a="1"/>
  <c r="AB1216" i="1" s="1"/>
  <c r="AG1216" i="1" s="1"/>
  <c r="AJ1216" i="1" s="1"/>
  <c r="AK1216" i="1" s="1"/>
  <c r="AB1217" i="1" a="1"/>
  <c r="AB1217" i="1" s="1"/>
  <c r="AG1217" i="1" s="1"/>
  <c r="AB1218" i="1" a="1"/>
  <c r="AB1218" i="1" s="1"/>
  <c r="AB1219" i="1" a="1"/>
  <c r="AB1219" i="1" s="1"/>
  <c r="AG1219" i="1" s="1"/>
  <c r="AL1219" i="1" s="1"/>
  <c r="AM1219" i="1" s="1"/>
  <c r="AB1220" i="1" a="1"/>
  <c r="AB1220" i="1" s="1"/>
  <c r="AB1221" i="1" a="1"/>
  <c r="AB1221" i="1" s="1"/>
  <c r="AB1222" i="1" a="1"/>
  <c r="AB1222" i="1" s="1"/>
  <c r="AB1223" i="1" a="1"/>
  <c r="AB1223" i="1" s="1"/>
  <c r="AB1224" i="1" a="1"/>
  <c r="AB1224" i="1" s="1"/>
  <c r="AB1225" i="1" a="1"/>
  <c r="AB1225" i="1" s="1"/>
  <c r="AB1226" i="1" a="1"/>
  <c r="AB1226" i="1" s="1"/>
  <c r="AB1227" i="1" a="1"/>
  <c r="AB1227" i="1" s="1"/>
  <c r="AB1228" i="1" a="1"/>
  <c r="AB1228" i="1" s="1"/>
  <c r="AB1229" i="1" a="1"/>
  <c r="AB1229" i="1"/>
  <c r="AB1230" i="1" a="1"/>
  <c r="AB1230" i="1" s="1"/>
  <c r="AB1231" i="1" a="1"/>
  <c r="AB1231" i="1" s="1"/>
  <c r="AB1232" i="1" a="1"/>
  <c r="AB1232" i="1" s="1"/>
  <c r="AB1233" i="1" a="1"/>
  <c r="AB1233" i="1" s="1"/>
  <c r="AB1234" i="1" a="1"/>
  <c r="AB1234" i="1" s="1"/>
  <c r="AB1235" i="1" a="1"/>
  <c r="AB1235" i="1" s="1"/>
  <c r="AG1235" i="1" s="1"/>
  <c r="AB1236" i="1" a="1"/>
  <c r="AB1236" i="1" s="1"/>
  <c r="AB1237" i="1" a="1"/>
  <c r="AB1237" i="1" s="1"/>
  <c r="AB1238" i="1" a="1"/>
  <c r="AB1238" i="1" s="1"/>
  <c r="AB1239" i="1" a="1"/>
  <c r="AB1239" i="1" s="1"/>
  <c r="AB1240" i="1" a="1"/>
  <c r="AB1240" i="1" s="1"/>
  <c r="AB1241" i="1" a="1"/>
  <c r="AB1241" i="1" s="1"/>
  <c r="AB1242" i="1" a="1"/>
  <c r="AB1242" i="1" s="1"/>
  <c r="AG1242" i="1" s="1"/>
  <c r="AB1243" i="1" a="1"/>
  <c r="AB1243" i="1" s="1"/>
  <c r="AB1244" i="1" a="1"/>
  <c r="AB1244" i="1" s="1"/>
  <c r="AG1244" i="1" s="1"/>
  <c r="AL1244" i="1" s="1"/>
  <c r="AM1244" i="1" s="1"/>
  <c r="AB1245" i="1" a="1"/>
  <c r="AB1245" i="1"/>
  <c r="AG1245" i="1" s="1"/>
  <c r="AL1245" i="1" s="1"/>
  <c r="AM1245" i="1" s="1"/>
  <c r="AB1246" i="1" a="1"/>
  <c r="AB1246" i="1" s="1"/>
  <c r="AB1247" i="1" a="1"/>
  <c r="AB1247" i="1" s="1"/>
  <c r="AB1248" i="1" a="1"/>
  <c r="AB1248" i="1" s="1"/>
  <c r="AB1249" i="1" a="1"/>
  <c r="AB1249" i="1" s="1"/>
  <c r="AB1250" i="1" a="1"/>
  <c r="AB1250" i="1" s="1"/>
  <c r="AB1251" i="1" a="1"/>
  <c r="AB1251" i="1" s="1"/>
  <c r="AG1251" i="1" s="1"/>
  <c r="AB1252" i="1" a="1"/>
  <c r="AB1252" i="1" s="1"/>
  <c r="AB1253" i="1" a="1"/>
  <c r="AB1253" i="1" s="1"/>
  <c r="AG1253" i="1" s="1"/>
  <c r="AL1253" i="1" s="1"/>
  <c r="AM1253" i="1" s="1"/>
  <c r="AB1254" i="1" a="1"/>
  <c r="AB1254" i="1" s="1"/>
  <c r="AB1255" i="1" a="1"/>
  <c r="AB1255" i="1" s="1"/>
  <c r="AB1256" i="1" a="1"/>
  <c r="AB1256" i="1" s="1"/>
  <c r="AB1257" i="1" a="1"/>
  <c r="AB1257" i="1" s="1"/>
  <c r="AB1258" i="1" a="1"/>
  <c r="AB1258" i="1" s="1"/>
  <c r="AB1259" i="1" a="1"/>
  <c r="AB1259" i="1" s="1"/>
  <c r="AG1259" i="1" s="1"/>
  <c r="AB1260" i="1" a="1"/>
  <c r="AB1260" i="1"/>
  <c r="AG1260" i="1" s="1"/>
  <c r="AB1261" i="1" a="1"/>
  <c r="AB1261" i="1" s="1"/>
  <c r="AB1262" i="1" a="1"/>
  <c r="AB1262" i="1" s="1"/>
  <c r="AG1262" i="1" s="1"/>
  <c r="AB1263" i="1" a="1"/>
  <c r="AB1263" i="1" s="1"/>
  <c r="AB1264" i="1" a="1"/>
  <c r="AB1264" i="1" s="1"/>
  <c r="AB1265" i="1" a="1"/>
  <c r="AB1265" i="1" s="1"/>
  <c r="AB1266" i="1" a="1"/>
  <c r="AB1266" i="1" s="1"/>
  <c r="AB1267" i="1" a="1"/>
  <c r="AB1267" i="1" s="1"/>
  <c r="AG1267" i="1" s="1"/>
  <c r="AB1268" i="1" a="1"/>
  <c r="AB1268" i="1" s="1"/>
  <c r="AG1268" i="1" s="1"/>
  <c r="AL1268" i="1" s="1"/>
  <c r="AB1269" i="1" a="1"/>
  <c r="AB1269" i="1" s="1"/>
  <c r="AG1269" i="1" s="1"/>
  <c r="AL1269" i="1" s="1"/>
  <c r="AM1269" i="1" s="1"/>
  <c r="AB1270" i="1" a="1"/>
  <c r="AB1270" i="1" s="1"/>
  <c r="AB1271" i="1" a="1"/>
  <c r="AB1271" i="1" s="1"/>
  <c r="AB1272" i="1" a="1"/>
  <c r="AB1272" i="1" s="1"/>
  <c r="AB1273" i="1" a="1"/>
  <c r="AB1273" i="1" s="1"/>
  <c r="AB1274" i="1" a="1"/>
  <c r="AB1274" i="1" s="1"/>
  <c r="AG1274" i="1" s="1"/>
  <c r="AB1275" i="1" a="1"/>
  <c r="AB1275" i="1" s="1"/>
  <c r="AG1275" i="1" s="1"/>
  <c r="AH1275" i="1" s="1"/>
  <c r="AI1275" i="1" s="1"/>
  <c r="AB1276" i="1" a="1"/>
  <c r="AB1276" i="1" s="1"/>
  <c r="AB1277" i="1" a="1"/>
  <c r="AB1277" i="1" s="1"/>
  <c r="AG1277" i="1" s="1"/>
  <c r="AB1278" i="1" a="1"/>
  <c r="AB1278" i="1" s="1"/>
  <c r="AB1279" i="1" a="1"/>
  <c r="AB1279" i="1" s="1"/>
  <c r="AG1279" i="1" s="1"/>
  <c r="AB1280" i="1" a="1"/>
  <c r="AB1280" i="1" s="1"/>
  <c r="AB1281" i="1" a="1"/>
  <c r="AB1281" i="1" s="1"/>
  <c r="AB1282" i="1" a="1"/>
  <c r="AB1282" i="1" s="1"/>
  <c r="AB1283" i="1" a="1"/>
  <c r="AB1283" i="1"/>
  <c r="AG1283" i="1" s="1"/>
  <c r="AB1284" i="1" a="1"/>
  <c r="AB1284" i="1" s="1"/>
  <c r="AB1285" i="1" a="1"/>
  <c r="AB1285" i="1" s="1"/>
  <c r="AB1286" i="1" a="1"/>
  <c r="AB1286" i="1" s="1"/>
  <c r="AB1287" i="1" a="1"/>
  <c r="AB1287" i="1" s="1"/>
  <c r="AG1287" i="1" s="1"/>
  <c r="AJ1287" i="1" s="1"/>
  <c r="AK1287" i="1" s="1"/>
  <c r="AB1288" i="1" a="1"/>
  <c r="AB1288" i="1" s="1"/>
  <c r="AB1289" i="1" a="1"/>
  <c r="AB1289" i="1" s="1"/>
  <c r="AG1289" i="1" s="1"/>
  <c r="AB1290" i="1" a="1"/>
  <c r="AB1290" i="1" s="1"/>
  <c r="AB1291" i="1" a="1"/>
  <c r="AB1291" i="1" s="1"/>
  <c r="AG1291" i="1" s="1"/>
  <c r="AB1292" i="1" a="1"/>
  <c r="AB1292" i="1"/>
  <c r="AB1293" i="1" a="1"/>
  <c r="AB1293" i="1" s="1"/>
  <c r="AB1294" i="1" a="1"/>
  <c r="AB1294" i="1" s="1"/>
  <c r="AB1295" i="1" a="1"/>
  <c r="AB1295" i="1"/>
  <c r="AG1295" i="1" s="1"/>
  <c r="AJ1295" i="1" s="1"/>
  <c r="AK1295" i="1" s="1"/>
  <c r="AB1296" i="1" a="1"/>
  <c r="AB1296" i="1" s="1"/>
  <c r="AB1297" i="1" a="1"/>
  <c r="AB1297" i="1" s="1"/>
  <c r="AG1297" i="1" s="1"/>
  <c r="AL1297" i="1" s="1"/>
  <c r="AM1297" i="1" s="1"/>
  <c r="AB1298" i="1" a="1"/>
  <c r="AB1298" i="1" s="1"/>
  <c r="AB1299" i="1" a="1"/>
  <c r="AB1299" i="1" s="1"/>
  <c r="AB1300" i="1" a="1"/>
  <c r="AB1300" i="1" s="1"/>
  <c r="AB1301" i="1" a="1"/>
  <c r="AB1301" i="1" s="1"/>
  <c r="AG1301" i="1" s="1"/>
  <c r="AH1301" i="1" s="1"/>
  <c r="AI1301" i="1" s="1"/>
  <c r="AB1302" i="1" a="1"/>
  <c r="AB1302" i="1" s="1"/>
  <c r="AG1302" i="1" s="1"/>
  <c r="AL1302" i="1" s="1"/>
  <c r="AM1302" i="1" s="1"/>
  <c r="AB1303" i="1" a="1"/>
  <c r="AB1303" i="1" s="1"/>
  <c r="AG1303" i="1" s="1"/>
  <c r="AB1304" i="1" a="1"/>
  <c r="AB1304" i="1" s="1"/>
  <c r="AB1305" i="1" a="1"/>
  <c r="AB1305" i="1" s="1"/>
  <c r="AB1306" i="1" a="1"/>
  <c r="AB1306" i="1" s="1"/>
  <c r="AB1307" i="1" a="1"/>
  <c r="AB1307" i="1" s="1"/>
  <c r="AB1308" i="1" a="1"/>
  <c r="AB1308" i="1" s="1"/>
  <c r="AB1309" i="1" a="1"/>
  <c r="AB1309" i="1" s="1"/>
  <c r="AG1309" i="1" s="1"/>
  <c r="AH1309" i="1" s="1"/>
  <c r="AI1309" i="1" s="1"/>
  <c r="AB1310" i="1" a="1"/>
  <c r="AB1310" i="1" s="1"/>
  <c r="AG1310" i="1" s="1"/>
  <c r="AB1311" i="1" a="1"/>
  <c r="AB1311" i="1" s="1"/>
  <c r="AG1311" i="1" s="1"/>
  <c r="AJ1311" i="1" s="1"/>
  <c r="AK1311" i="1" s="1"/>
  <c r="AB1312" i="1" a="1"/>
  <c r="AB1312" i="1" s="1"/>
  <c r="AB1313" i="1" a="1"/>
  <c r="AB1313" i="1" s="1"/>
  <c r="AG1313" i="1" s="1"/>
  <c r="AL1313" i="1" s="1"/>
  <c r="AM1313" i="1" s="1"/>
  <c r="AB1314" i="1" a="1"/>
  <c r="AB1314" i="1" s="1"/>
  <c r="AB1315" i="1" a="1"/>
  <c r="AB1315" i="1"/>
  <c r="AG1315" i="1" s="1"/>
  <c r="AB1316" i="1" a="1"/>
  <c r="AB1316" i="1" s="1"/>
  <c r="AB1317" i="1" a="1"/>
  <c r="AB1317" i="1" s="1"/>
  <c r="AG1317" i="1" s="1"/>
  <c r="AB1318" i="1" a="1"/>
  <c r="AB1318" i="1" s="1"/>
  <c r="AG1318" i="1" s="1"/>
  <c r="AB1319" i="1" a="1"/>
  <c r="AB1319" i="1" s="1"/>
  <c r="AG1319" i="1" s="1"/>
  <c r="AB1320" i="1" a="1"/>
  <c r="AB1320" i="1" s="1"/>
  <c r="AB1321" i="1" a="1"/>
  <c r="AB1321" i="1" s="1"/>
  <c r="AB1322" i="1" a="1"/>
  <c r="AB1322" i="1" s="1"/>
  <c r="AB1323" i="1" a="1"/>
  <c r="AB1323" i="1" s="1"/>
  <c r="AG1323" i="1" s="1"/>
  <c r="AB1324" i="1" a="1"/>
  <c r="AB1324" i="1"/>
  <c r="AG1324" i="1" s="1"/>
  <c r="AB1325" i="1" a="1"/>
  <c r="AB1325" i="1" s="1"/>
  <c r="AB1326" i="1" a="1"/>
  <c r="AB1326" i="1" s="1"/>
  <c r="AB1327" i="1" a="1"/>
  <c r="AB1327" i="1"/>
  <c r="AG1327" i="1" s="1"/>
  <c r="AB1328" i="1" a="1"/>
  <c r="AB1328" i="1"/>
  <c r="AB1329" i="1" a="1"/>
  <c r="AB1329" i="1" s="1"/>
  <c r="AG1329" i="1" s="1"/>
  <c r="AL1329" i="1" s="1"/>
  <c r="AM1329" i="1" s="1"/>
  <c r="AB1330" i="1" a="1"/>
  <c r="AB1330" i="1" s="1"/>
  <c r="AB1331" i="1" a="1"/>
  <c r="AB1331" i="1" s="1"/>
  <c r="AB1332" i="1" a="1"/>
  <c r="AB1332" i="1" s="1"/>
  <c r="AB1333" i="1" a="1"/>
  <c r="AB1333" i="1" s="1"/>
  <c r="AG1333" i="1" s="1"/>
  <c r="AB1334" i="1" a="1"/>
  <c r="AB1334" i="1" s="1"/>
  <c r="AB1335" i="1" a="1"/>
  <c r="AB1335" i="1" s="1"/>
  <c r="AG1335" i="1" s="1"/>
  <c r="AB1336" i="1" a="1"/>
  <c r="AB1336" i="1"/>
  <c r="AB1337" i="1" a="1"/>
  <c r="AB1337" i="1" s="1"/>
  <c r="AB1338" i="1" a="1"/>
  <c r="AB1338" i="1" s="1"/>
  <c r="AB1339" i="1" a="1"/>
  <c r="AB1339" i="1" s="1"/>
  <c r="AG1339" i="1" s="1"/>
  <c r="AB1340" i="1" a="1"/>
  <c r="AB1340" i="1" s="1"/>
  <c r="AB1341" i="1" a="1"/>
  <c r="AB1341" i="1" s="1"/>
  <c r="AG1341" i="1" s="1"/>
  <c r="AB1342" i="1" a="1"/>
  <c r="AB1342" i="1" s="1"/>
  <c r="AG1342" i="1" s="1"/>
  <c r="AL1342" i="1" s="1"/>
  <c r="AM1342" i="1" s="1"/>
  <c r="AB1343" i="1" a="1"/>
  <c r="AB1343" i="1" s="1"/>
  <c r="AG1343" i="1" s="1"/>
  <c r="AB1344" i="1" a="1"/>
  <c r="AB1344" i="1" s="1"/>
  <c r="AG1344" i="1" s="1"/>
  <c r="AJ1344" i="1" s="1"/>
  <c r="AK1344" i="1" s="1"/>
  <c r="AB1345" i="1" a="1"/>
  <c r="AB1345" i="1"/>
  <c r="AB1346" i="1" a="1"/>
  <c r="AB1346" i="1" s="1"/>
  <c r="AG1346" i="1" s="1"/>
  <c r="AB1347" i="1" a="1"/>
  <c r="AB1347" i="1" s="1"/>
  <c r="AG1347" i="1" s="1"/>
  <c r="AL1347" i="1" s="1"/>
  <c r="AB1348" i="1" a="1"/>
  <c r="AB1348" i="1" s="1"/>
  <c r="AB1349" i="1" a="1"/>
  <c r="AB1349" i="1" s="1"/>
  <c r="AB1350" i="1" a="1"/>
  <c r="AB1350" i="1" s="1"/>
  <c r="AB1351" i="1" a="1"/>
  <c r="AB1351" i="1" s="1"/>
  <c r="AB1352" i="1" a="1"/>
  <c r="AB1352" i="1" s="1"/>
  <c r="AG1352" i="1" s="1"/>
  <c r="AB1353" i="1" a="1"/>
  <c r="AB1353" i="1" s="1"/>
  <c r="AB1354" i="1" a="1"/>
  <c r="AB1354" i="1" s="1"/>
  <c r="AG1354" i="1" s="1"/>
  <c r="AL1354" i="1" s="1"/>
  <c r="AM1354" i="1" s="1"/>
  <c r="AB1355" i="1" a="1"/>
  <c r="AB1355" i="1" s="1"/>
  <c r="AB1356" i="1" a="1"/>
  <c r="AB1356" i="1" s="1"/>
  <c r="AB1357" i="1" a="1"/>
  <c r="AB1357" i="1" s="1"/>
  <c r="AB1358" i="1" a="1"/>
  <c r="AB1358" i="1" s="1"/>
  <c r="AB1359" i="1" a="1"/>
  <c r="AB1359" i="1" s="1"/>
  <c r="AG1359" i="1" s="1"/>
  <c r="AL1359" i="1" s="1"/>
  <c r="AM1359" i="1" s="1"/>
  <c r="AB1360" i="1" a="1"/>
  <c r="AB1360" i="1" s="1"/>
  <c r="AB1361" i="1" a="1"/>
  <c r="AB1361" i="1" s="1"/>
  <c r="AB1362" i="1" a="1"/>
  <c r="AB1362" i="1" s="1"/>
  <c r="AG1362" i="1" s="1"/>
  <c r="AL1362" i="1" s="1"/>
  <c r="AM1362" i="1" s="1"/>
  <c r="AB1363" i="1" a="1"/>
  <c r="AB1363" i="1" s="1"/>
  <c r="AG1363" i="1" s="1"/>
  <c r="AL1363" i="1" s="1"/>
  <c r="AB1364" i="1" a="1"/>
  <c r="AB1364" i="1" s="1"/>
  <c r="AB1365" i="1" a="1"/>
  <c r="AB1365" i="1"/>
  <c r="AB1366" i="1" a="1"/>
  <c r="AB1366" i="1" s="1"/>
  <c r="AB1367" i="1" a="1"/>
  <c r="AB1367" i="1" s="1"/>
  <c r="AB1368" i="1" a="1"/>
  <c r="AB1368" i="1"/>
  <c r="AG1368" i="1" s="1"/>
  <c r="AB1369" i="1" a="1"/>
  <c r="AB1369" i="1" s="1"/>
  <c r="AG1369" i="1" s="1"/>
  <c r="AB1370" i="1" a="1"/>
  <c r="AB1370" i="1" s="1"/>
  <c r="AG1370" i="1" s="1"/>
  <c r="AB1371" i="1" a="1"/>
  <c r="AB1371" i="1" s="1"/>
  <c r="AG1371" i="1" s="1"/>
  <c r="AB1372" i="1" a="1"/>
  <c r="AB1372" i="1" s="1"/>
  <c r="AG1372" i="1" s="1"/>
  <c r="AB1373" i="1" a="1"/>
  <c r="AB1373" i="1" s="1"/>
  <c r="AB1374" i="1" a="1"/>
  <c r="AB1374" i="1" s="1"/>
  <c r="AB1375" i="1" a="1"/>
  <c r="AB1375" i="1" s="1"/>
  <c r="AB1376" i="1" a="1"/>
  <c r="AB1376" i="1" s="1"/>
  <c r="AB1377" i="1" a="1"/>
  <c r="AB1377" i="1"/>
  <c r="AB1378" i="1" a="1"/>
  <c r="AB1378" i="1" s="1"/>
  <c r="AB1379" i="1" a="1"/>
  <c r="AB1379" i="1" s="1"/>
  <c r="AG1379" i="1" s="1"/>
  <c r="AB1380" i="1" a="1"/>
  <c r="AB1380" i="1" s="1"/>
  <c r="AB1381" i="1" a="1"/>
  <c r="AB1381" i="1" s="1"/>
  <c r="AG1381" i="1" s="1"/>
  <c r="AH1381" i="1" s="1"/>
  <c r="AI1381" i="1" s="1"/>
  <c r="AB1382" i="1" a="1"/>
  <c r="AB1382" i="1" s="1"/>
  <c r="AB1383" i="1" a="1"/>
  <c r="AB1383" i="1" s="1"/>
  <c r="AB1384" i="1" a="1"/>
  <c r="AB1384" i="1" s="1"/>
  <c r="AG1384" i="1" s="1"/>
  <c r="AB1385" i="1" a="1"/>
  <c r="AB1385" i="1" s="1"/>
  <c r="AG1385" i="1" s="1"/>
  <c r="AL1385" i="1" s="1"/>
  <c r="AM1385" i="1" s="1"/>
  <c r="AB1386" i="1" a="1"/>
  <c r="AB1386" i="1" s="1"/>
  <c r="AB1387" i="1" a="1"/>
  <c r="AB1387" i="1" s="1"/>
  <c r="AB1388" i="1" a="1"/>
  <c r="AB1388" i="1" s="1"/>
  <c r="AB1389" i="1" a="1"/>
  <c r="AB1389" i="1" s="1"/>
  <c r="AB1390" i="1" a="1"/>
  <c r="AB1390" i="1" s="1"/>
  <c r="AB1391" i="1" a="1"/>
  <c r="AB1391" i="1" s="1"/>
  <c r="AG1391" i="1" s="1"/>
  <c r="AH1391" i="1" s="1"/>
  <c r="AB1392" i="1" a="1"/>
  <c r="AB1392" i="1" s="1"/>
  <c r="AB1393" i="1" a="1"/>
  <c r="AB1393" i="1" s="1"/>
  <c r="AG1393" i="1" s="1"/>
  <c r="AL1393" i="1" s="1"/>
  <c r="AM1393" i="1" s="1"/>
  <c r="AB1394" i="1" a="1"/>
  <c r="AB1394" i="1" s="1"/>
  <c r="AG1394" i="1" s="1"/>
  <c r="AJ1394" i="1" s="1"/>
  <c r="AB1395" i="1" a="1"/>
  <c r="AB1395" i="1" s="1"/>
  <c r="AG1395" i="1" s="1"/>
  <c r="AB1396" i="1" a="1"/>
  <c r="AB1396" i="1" s="1"/>
  <c r="AG1396" i="1" s="1"/>
  <c r="AL1396" i="1" s="1"/>
  <c r="AM1396" i="1" s="1"/>
  <c r="AB1397" i="1" a="1"/>
  <c r="AB1397" i="1"/>
  <c r="AB1398" i="1" a="1"/>
  <c r="AB1398" i="1" s="1"/>
  <c r="AB1399" i="1" a="1"/>
  <c r="AB1399" i="1" s="1"/>
  <c r="AB1400" i="1" a="1"/>
  <c r="AB1400" i="1"/>
  <c r="AB1401" i="1" a="1"/>
  <c r="AB1401" i="1" s="1"/>
  <c r="AB1402" i="1" a="1"/>
  <c r="AB1402" i="1" s="1"/>
  <c r="AG1402" i="1" s="1"/>
  <c r="AB1403" i="1" a="1"/>
  <c r="AB1403" i="1" s="1"/>
  <c r="AB1404" i="1" a="1"/>
  <c r="AB1404" i="1" s="1"/>
  <c r="AG1404" i="1" s="1"/>
  <c r="AJ1404" i="1" s="1"/>
  <c r="AK1404" i="1" s="1"/>
  <c r="AB1405" i="1" a="1"/>
  <c r="AB1405" i="1" s="1"/>
  <c r="AB1406" i="1" a="1"/>
  <c r="AB1406" i="1" s="1"/>
  <c r="AB1407" i="1" a="1"/>
  <c r="AB1407" i="1" s="1"/>
  <c r="AG1407" i="1" s="1"/>
  <c r="AL1407" i="1" s="1"/>
  <c r="AM1407" i="1" s="1"/>
  <c r="AB1408" i="1" a="1"/>
  <c r="AB1408" i="1" s="1"/>
  <c r="AG1408" i="1" s="1"/>
  <c r="AJ1408" i="1" s="1"/>
  <c r="AK1408" i="1" s="1"/>
  <c r="AB1409" i="1" a="1"/>
  <c r="AB1409" i="1"/>
  <c r="AG1409" i="1" s="1"/>
  <c r="AB1410" i="1" a="1"/>
  <c r="AB1410" i="1" s="1"/>
  <c r="AB1411" i="1" a="1"/>
  <c r="AB1411" i="1" s="1"/>
  <c r="AB1412" i="1" a="1"/>
  <c r="AB1412" i="1" s="1"/>
  <c r="AG1412" i="1" s="1"/>
  <c r="AJ1412" i="1" s="1"/>
  <c r="AK1412" i="1" s="1"/>
  <c r="AB1413" i="1" a="1"/>
  <c r="AB1413" i="1" s="1"/>
  <c r="AG1413" i="1" s="1"/>
  <c r="AB1414" i="1" a="1"/>
  <c r="AB1414" i="1" s="1"/>
  <c r="AG1414" i="1" s="1"/>
  <c r="AH1414" i="1" s="1"/>
  <c r="AI1414" i="1" s="1"/>
  <c r="AB1415" i="1" a="1"/>
  <c r="AB1415" i="1" s="1"/>
  <c r="AB1416" i="1" a="1"/>
  <c r="AB1416" i="1" s="1"/>
  <c r="AG1416" i="1" s="1"/>
  <c r="AB1417" i="1" a="1"/>
  <c r="AB1417" i="1" s="1"/>
  <c r="AG1417" i="1" s="1"/>
  <c r="AB1418" i="1" a="1"/>
  <c r="AB1418" i="1" s="1"/>
  <c r="AG1418" i="1" s="1"/>
  <c r="AB1419" i="1" a="1"/>
  <c r="AB1419" i="1" s="1"/>
  <c r="AB1420" i="1" a="1"/>
  <c r="AB1420" i="1" s="1"/>
  <c r="AG1420" i="1" s="1"/>
  <c r="AL1420" i="1" s="1"/>
  <c r="AM1420" i="1" s="1"/>
  <c r="AB1421" i="1" a="1"/>
  <c r="AB1421" i="1" s="1"/>
  <c r="AB1422" i="1" a="1"/>
  <c r="AB1422" i="1" s="1"/>
  <c r="AB1423" i="1" a="1"/>
  <c r="AB1423" i="1"/>
  <c r="AB1424" i="1" a="1"/>
  <c r="AB1424" i="1" s="1"/>
  <c r="AB1425" i="1" a="1"/>
  <c r="AB1425" i="1" s="1"/>
  <c r="AG1425" i="1" s="1"/>
  <c r="AB1426" i="1" a="1"/>
  <c r="AB1426" i="1" s="1"/>
  <c r="AG1426" i="1" s="1"/>
  <c r="AJ1426" i="1" s="1"/>
  <c r="AK1426" i="1" s="1"/>
  <c r="AB1427" i="1" a="1"/>
  <c r="AB1427" i="1" s="1"/>
  <c r="AB1428" i="1" a="1"/>
  <c r="AB1428" i="1" s="1"/>
  <c r="AB1429" i="1" a="1"/>
  <c r="AB1429" i="1" s="1"/>
  <c r="AB1430" i="1" a="1"/>
  <c r="AB1430" i="1" s="1"/>
  <c r="AB1431" i="1" a="1"/>
  <c r="AB1431" i="1" s="1"/>
  <c r="AB1432" i="1" a="1"/>
  <c r="AB1432" i="1" s="1"/>
  <c r="AG1432" i="1" s="1"/>
  <c r="AH1432" i="1" s="1"/>
  <c r="AI1432" i="1" s="1"/>
  <c r="AB1433" i="1" a="1"/>
  <c r="AB1433" i="1" s="1"/>
  <c r="AG1433" i="1" s="1"/>
  <c r="AL1433" i="1" s="1"/>
  <c r="AM1433" i="1" s="1"/>
  <c r="AB1434" i="1" a="1"/>
  <c r="AB1434" i="1" s="1"/>
  <c r="AG1434" i="1" s="1"/>
  <c r="AB1435" i="1" a="1"/>
  <c r="AB1435" i="1" s="1"/>
  <c r="AB1436" i="1" a="1"/>
  <c r="AB1436" i="1" s="1"/>
  <c r="AB1437" i="1" a="1"/>
  <c r="AB1437" i="1" s="1"/>
  <c r="AB1438" i="1" a="1"/>
  <c r="AB1438" i="1" s="1"/>
  <c r="AB1439" i="1" a="1"/>
  <c r="AB1439" i="1" s="1"/>
  <c r="AB1440" i="1" a="1"/>
  <c r="AB1440" i="1" s="1"/>
  <c r="AB1441" i="1" a="1"/>
  <c r="AB1441" i="1" s="1"/>
  <c r="AG1441" i="1" s="1"/>
  <c r="AB1442" i="1" a="1"/>
  <c r="AB1442" i="1" s="1"/>
  <c r="AB1443" i="1" a="1"/>
  <c r="AB1443" i="1"/>
  <c r="AB1444" i="1" a="1"/>
  <c r="AB1444" i="1" s="1"/>
  <c r="AB1445" i="1" a="1"/>
  <c r="AB1445" i="1" s="1"/>
  <c r="AB1446" i="1" a="1"/>
  <c r="AB1446" i="1" s="1"/>
  <c r="AB1447" i="1" a="1"/>
  <c r="AB1447" i="1" s="1"/>
  <c r="AB1448" i="1" a="1"/>
  <c r="AB1448" i="1" s="1"/>
  <c r="AG1448" i="1" s="1"/>
  <c r="AH1448" i="1" s="1"/>
  <c r="AI1448" i="1" s="1"/>
  <c r="AB1449" i="1" a="1"/>
  <c r="AB1449" i="1" s="1"/>
  <c r="AG1449" i="1" s="1"/>
  <c r="AB1450" i="1" a="1"/>
  <c r="AB1450" i="1" s="1"/>
  <c r="AG1450" i="1" s="1"/>
  <c r="AB1451" i="1" a="1"/>
  <c r="AB1451" i="1" s="1"/>
  <c r="AB1452" i="1" a="1"/>
  <c r="AB1452" i="1"/>
  <c r="AB1453" i="1" a="1"/>
  <c r="AB1453" i="1" s="1"/>
  <c r="AB1454" i="1" a="1"/>
  <c r="AB1454" i="1" s="1"/>
  <c r="AB1455" i="1" a="1"/>
  <c r="AB1455" i="1"/>
  <c r="AB1456" i="1" a="1"/>
  <c r="AB1456" i="1"/>
  <c r="AG1456" i="1" s="1"/>
  <c r="AB1457" i="1" a="1"/>
  <c r="AB1457" i="1" s="1"/>
  <c r="AB1458" i="1" a="1"/>
  <c r="AB1458" i="1" s="1"/>
  <c r="AB1459" i="1" a="1"/>
  <c r="AB1459" i="1" s="1"/>
  <c r="AG1459" i="1" s="1"/>
  <c r="AB1460" i="1" a="1"/>
  <c r="AB1460" i="1" s="1"/>
  <c r="AB1461" i="1" a="1"/>
  <c r="AB1461" i="1"/>
  <c r="AB1462" i="1" a="1"/>
  <c r="AB1462" i="1" s="1"/>
  <c r="AB1463" i="1" a="1"/>
  <c r="AB1463" i="1" s="1"/>
  <c r="AB1464" i="1" a="1"/>
  <c r="AB1464" i="1"/>
  <c r="AB1465" i="1" a="1"/>
  <c r="AB1465" i="1"/>
  <c r="AB1466" i="1" a="1"/>
  <c r="AB1466" i="1" s="1"/>
  <c r="AB1467" i="1" a="1"/>
  <c r="AB1467" i="1" s="1"/>
  <c r="AB1468" i="1" a="1"/>
  <c r="AB1468" i="1" s="1"/>
  <c r="AB1469" i="1" a="1"/>
  <c r="AB1469" i="1" s="1"/>
  <c r="AB1470" i="1" a="1"/>
  <c r="AB1470" i="1" s="1"/>
  <c r="AB1471" i="1" a="1"/>
  <c r="AB1471" i="1" s="1"/>
  <c r="AG1471" i="1" s="1"/>
  <c r="AB1472" i="1" a="1"/>
  <c r="AB1472" i="1" s="1"/>
  <c r="AB1473" i="1" a="1"/>
  <c r="AB1473" i="1" s="1"/>
  <c r="AB1474" i="1" a="1"/>
  <c r="AB1474" i="1" s="1"/>
  <c r="AB1475" i="1" a="1"/>
  <c r="AB1475" i="1" s="1"/>
  <c r="AG1475" i="1" s="1"/>
  <c r="AL1475" i="1" s="1"/>
  <c r="AM1475" i="1" s="1"/>
  <c r="AB1476" i="1" a="1"/>
  <c r="AB1476" i="1" s="1"/>
  <c r="AB1477" i="1" a="1"/>
  <c r="AB1477" i="1" s="1"/>
  <c r="AB1478" i="1" a="1"/>
  <c r="AB1478" i="1" s="1"/>
  <c r="AB1479" i="1" a="1"/>
  <c r="AB1479" i="1"/>
  <c r="AG1479" i="1" s="1"/>
  <c r="AB1480" i="1" a="1"/>
  <c r="AB1480" i="1" s="1"/>
  <c r="AG1480" i="1" s="1"/>
  <c r="AL1480" i="1" s="1"/>
  <c r="AM1480" i="1" s="1"/>
  <c r="AB1481" i="1" a="1"/>
  <c r="AB1481" i="1" s="1"/>
  <c r="AB1482" i="1" a="1"/>
  <c r="AB1482" i="1" s="1"/>
  <c r="AB1483" i="1" a="1"/>
  <c r="AB1483" i="1" s="1"/>
  <c r="AB1484" i="1" a="1"/>
  <c r="AB1484" i="1" s="1"/>
  <c r="AB1485" i="1" a="1"/>
  <c r="AB1485" i="1" s="1"/>
  <c r="AB1486" i="1" a="1"/>
  <c r="AB1486" i="1" s="1"/>
  <c r="AG1486" i="1" s="1"/>
  <c r="AB1487" i="1" a="1"/>
  <c r="AB1487" i="1" s="1"/>
  <c r="AG1487" i="1" s="1"/>
  <c r="AH1487" i="1" s="1"/>
  <c r="AI1487" i="1" s="1"/>
  <c r="AB1488" i="1" a="1"/>
  <c r="AB1488" i="1" s="1"/>
  <c r="AG1488" i="1" s="1"/>
  <c r="AL1488" i="1" s="1"/>
  <c r="AM1488" i="1" s="1"/>
  <c r="AB1489" i="1" a="1"/>
  <c r="AB1489" i="1" s="1"/>
  <c r="AB1490" i="1" a="1"/>
  <c r="AB1490" i="1" s="1"/>
  <c r="AG1490" i="1" s="1"/>
  <c r="AB1491" i="1" a="1"/>
  <c r="AB1491" i="1" s="1"/>
  <c r="AB1492" i="1" a="1"/>
  <c r="AB1492" i="1" s="1"/>
  <c r="AG1492" i="1" s="1"/>
  <c r="AB1493" i="1" a="1"/>
  <c r="AB1493" i="1" s="1"/>
  <c r="AB1494" i="1" a="1"/>
  <c r="AB1494" i="1" s="1"/>
  <c r="AG1494" i="1" s="1"/>
  <c r="AB1495" i="1" a="1"/>
  <c r="AB1495" i="1" s="1"/>
  <c r="AG1495" i="1" s="1"/>
  <c r="AB1496" i="1" a="1"/>
  <c r="AB1496" i="1"/>
  <c r="AB1497" i="1" a="1"/>
  <c r="AB1497" i="1"/>
  <c r="AB1498" i="1" a="1"/>
  <c r="AB1498" i="1" s="1"/>
  <c r="AB1499" i="1" a="1"/>
  <c r="AB1499" i="1" s="1"/>
  <c r="AB1500" i="1" a="1"/>
  <c r="AB1500" i="1" s="1"/>
  <c r="AG1500" i="1" s="1"/>
  <c r="AH1500" i="1" s="1"/>
  <c r="AI1500" i="1" s="1"/>
  <c r="AB1501" i="1" a="1"/>
  <c r="AB1501" i="1" s="1"/>
  <c r="AG1501" i="1" s="1"/>
  <c r="AB1502" i="1" a="1"/>
  <c r="AB1502" i="1" s="1"/>
  <c r="AG1502" i="1" s="1"/>
  <c r="AL1502" i="1" s="1"/>
  <c r="AM1502" i="1" s="1"/>
  <c r="AB1503" i="1" a="1"/>
  <c r="AB1503" i="1" s="1"/>
  <c r="AB1504" i="1" a="1"/>
  <c r="AB1504" i="1" s="1"/>
  <c r="AG1504" i="1" s="1"/>
  <c r="AL1504" i="1" s="1"/>
  <c r="AM1504" i="1" s="1"/>
  <c r="AB1505" i="1" a="1"/>
  <c r="AB1505" i="1" s="1"/>
  <c r="AB1506" i="1" a="1"/>
  <c r="AB1506" i="1" s="1"/>
  <c r="AG1506" i="1" s="1"/>
  <c r="AL1506" i="1" s="1"/>
  <c r="AM1506" i="1" s="1"/>
  <c r="AB1507" i="1" a="1"/>
  <c r="AB1507" i="1" s="1"/>
  <c r="AB1508" i="1" a="1"/>
  <c r="AB1508" i="1" s="1"/>
  <c r="AB1509" i="1" a="1"/>
  <c r="AB1509" i="1" s="1"/>
  <c r="AB1510" i="1" a="1"/>
  <c r="AB1510" i="1" s="1"/>
  <c r="AG1510" i="1" s="1"/>
  <c r="AB1511" i="1" a="1"/>
  <c r="AB1511" i="1" s="1"/>
  <c r="AB1512" i="1" a="1"/>
  <c r="AB1512" i="1" s="1"/>
  <c r="AG1512" i="1" s="1"/>
  <c r="AL1512" i="1" s="1"/>
  <c r="AM1512" i="1" s="1"/>
  <c r="AB1513" i="1" a="1"/>
  <c r="AB1513" i="1" s="1"/>
  <c r="AB1514" i="1" a="1"/>
  <c r="AB1514" i="1" s="1"/>
  <c r="AB1515" i="1" a="1"/>
  <c r="AB1515" i="1" s="1"/>
  <c r="AB1516" i="1" a="1"/>
  <c r="AB1516" i="1" s="1"/>
  <c r="AG1516" i="1" s="1"/>
  <c r="AJ1516" i="1" s="1"/>
  <c r="AK1516" i="1" s="1"/>
  <c r="AB1517" i="1" a="1"/>
  <c r="AB1517" i="1" s="1"/>
  <c r="AB1518" i="1" a="1"/>
  <c r="AB1518" i="1" s="1"/>
  <c r="AG1518" i="1" s="1"/>
  <c r="AJ1518" i="1" s="1"/>
  <c r="AK1518" i="1" s="1"/>
  <c r="AB1519" i="1" a="1"/>
  <c r="AB1519" i="1" s="1"/>
  <c r="AG1519" i="1" s="1"/>
  <c r="AB1520" i="1" a="1"/>
  <c r="AB1521" i="1" a="1"/>
  <c r="AB1521" i="1" s="1"/>
  <c r="AG1521" i="1" s="1"/>
  <c r="AL1521" i="1" s="1"/>
  <c r="AB1522" i="1" a="1"/>
  <c r="AB1522" i="1" s="1"/>
  <c r="AB1523" i="1" a="1"/>
  <c r="AB1523" i="1" s="1"/>
  <c r="AB1524" i="1" a="1"/>
  <c r="AB1524" i="1" s="1"/>
  <c r="AG1524" i="1" s="1"/>
  <c r="AL1524" i="1" s="1"/>
  <c r="AM1524" i="1" s="1"/>
  <c r="AB1525" i="1" a="1"/>
  <c r="AB1525" i="1" s="1"/>
  <c r="AB1526" i="1" a="1"/>
  <c r="AB1526" i="1" s="1"/>
  <c r="AG1526" i="1" s="1"/>
  <c r="AL1526" i="1" s="1"/>
  <c r="AM1526" i="1" s="1"/>
  <c r="AB1527" i="1" a="1"/>
  <c r="AB1527" i="1" s="1"/>
  <c r="AB1528" i="1" a="1"/>
  <c r="AB1528" i="1" s="1"/>
  <c r="AG1528" i="1" s="1"/>
  <c r="AL1528" i="1" s="1"/>
  <c r="AB1529" i="1" a="1"/>
  <c r="AB1529" i="1" s="1"/>
  <c r="AG1529" i="1" s="1"/>
  <c r="AL1529" i="1" s="1"/>
  <c r="AM1529" i="1" s="1"/>
  <c r="AB1530" i="1" a="1"/>
  <c r="AB1530" i="1" s="1"/>
  <c r="AG1530" i="1" s="1"/>
  <c r="AL1530" i="1" s="1"/>
  <c r="AM1530" i="1" s="1"/>
  <c r="AB1531" i="1" a="1"/>
  <c r="AB1531" i="1" s="1"/>
  <c r="AB1532" i="1" a="1"/>
  <c r="AB1532" i="1" s="1"/>
  <c r="AB1533" i="1" a="1"/>
  <c r="AB1533" i="1" s="1"/>
  <c r="AB1534" i="1" a="1"/>
  <c r="AB1534" i="1" s="1"/>
  <c r="AB1535" i="1" a="1"/>
  <c r="AB1535" i="1" s="1"/>
  <c r="AG1535" i="1" s="1"/>
  <c r="AJ1535" i="1" s="1"/>
  <c r="AK1535" i="1" s="1"/>
  <c r="AB1536" i="1" a="1"/>
  <c r="AB1536" i="1" s="1"/>
  <c r="AG1536" i="1" s="1"/>
  <c r="AB1537" i="1" a="1"/>
  <c r="AB1537" i="1" s="1"/>
  <c r="AB1538" i="1" a="1"/>
  <c r="AB1538" i="1" s="1"/>
  <c r="AG1538" i="1" s="1"/>
  <c r="AB1539" i="1" a="1"/>
  <c r="AB1539" i="1" s="1"/>
  <c r="AB1540" i="1" a="1"/>
  <c r="AB1540" i="1" s="1"/>
  <c r="AG1540" i="1" s="1"/>
  <c r="AJ1540" i="1" s="1"/>
  <c r="AK1540" i="1" s="1"/>
  <c r="AB1541" i="1" a="1"/>
  <c r="AB1541" i="1" s="1"/>
  <c r="AG1541" i="1" s="1"/>
  <c r="AH1541" i="1" s="1"/>
  <c r="AI1541" i="1" s="1"/>
  <c r="AB1542" i="1" a="1"/>
  <c r="AB1542" i="1" s="1"/>
  <c r="AB1543" i="1" a="1"/>
  <c r="AB1543" i="1" s="1"/>
  <c r="AB1544" i="1" a="1"/>
  <c r="AB1544" i="1" s="1"/>
  <c r="AG1544" i="1" s="1"/>
  <c r="AB1545" i="1" a="1"/>
  <c r="AB1545" i="1" s="1"/>
  <c r="AG1545" i="1" s="1"/>
  <c r="AB1546" i="1" a="1"/>
  <c r="AB1546" i="1" s="1"/>
  <c r="AB1547" i="1" a="1"/>
  <c r="AB1547" i="1" s="1"/>
  <c r="AB1548" i="1" a="1"/>
  <c r="AB1548" i="1" s="1"/>
  <c r="AB1549" i="1" a="1"/>
  <c r="AB1549" i="1" s="1"/>
  <c r="AG1549" i="1" s="1"/>
  <c r="AH1549" i="1" s="1"/>
  <c r="AI1549" i="1" s="1"/>
  <c r="AB1550" i="1" a="1"/>
  <c r="AB1550" i="1" s="1"/>
  <c r="AG1550" i="1" s="1"/>
  <c r="AB1551" i="1" a="1"/>
  <c r="AB1551" i="1" s="1"/>
  <c r="AB1552" i="1" a="1"/>
  <c r="AB1552" i="1" s="1"/>
  <c r="AB1553" i="1" a="1"/>
  <c r="AB1553" i="1" s="1"/>
  <c r="AB1554" i="1" a="1"/>
  <c r="AB1554" i="1" s="1"/>
  <c r="AB1555" i="1" a="1"/>
  <c r="AB1555" i="1" s="1"/>
  <c r="AB1556" i="1" a="1"/>
  <c r="AB1556" i="1" s="1"/>
  <c r="AG1556" i="1" s="1"/>
  <c r="AH1556" i="1" s="1"/>
  <c r="AI1556" i="1" s="1"/>
  <c r="AB1557" i="1" a="1"/>
  <c r="AB1557" i="1" s="1"/>
  <c r="AB1558" i="1" a="1"/>
  <c r="AB1558" i="1" s="1"/>
  <c r="AG1558" i="1" s="1"/>
  <c r="AB1559" i="1" a="1"/>
  <c r="AB1559" i="1"/>
  <c r="AG1559" i="1" s="1"/>
  <c r="AB1560" i="1" a="1"/>
  <c r="AB1560" i="1" s="1"/>
  <c r="AB1561" i="1" a="1"/>
  <c r="AB1561" i="1" s="1"/>
  <c r="AG1561" i="1" s="1"/>
  <c r="AH1561" i="1" s="1"/>
  <c r="AI1561" i="1" s="1"/>
  <c r="AB1562" i="1" a="1"/>
  <c r="AB1562" i="1" s="1"/>
  <c r="AB1563" i="1" a="1"/>
  <c r="AB1563" i="1" s="1"/>
  <c r="AB1564" i="1" a="1"/>
  <c r="AB1564" i="1" s="1"/>
  <c r="AG1564" i="1" s="1"/>
  <c r="AL1564" i="1" s="1"/>
  <c r="AM1564" i="1" s="1"/>
  <c r="AB1565" i="1" a="1"/>
  <c r="AB1565" i="1" s="1"/>
  <c r="AG1565" i="1" s="1"/>
  <c r="AB1566" i="1" a="1"/>
  <c r="AB1566" i="1" s="1"/>
  <c r="AG1566" i="1" s="1"/>
  <c r="AB1567" i="1" a="1"/>
  <c r="AB1567" i="1" s="1"/>
  <c r="AG1567" i="1" s="1"/>
  <c r="AJ1567" i="1" s="1"/>
  <c r="AB1568" i="1" a="1"/>
  <c r="AB1568" i="1" s="1"/>
  <c r="AG1568" i="1" s="1"/>
  <c r="AH1568" i="1" s="1"/>
  <c r="AI1568" i="1" s="1"/>
  <c r="AB1569" i="1" a="1"/>
  <c r="AB1569" i="1" s="1"/>
  <c r="AB1570" i="1" a="1"/>
  <c r="AB1570" i="1" s="1"/>
  <c r="AG1570" i="1" s="1"/>
  <c r="AJ1570" i="1" s="1"/>
  <c r="AK1570" i="1" s="1"/>
  <c r="AB1571" i="1" a="1"/>
  <c r="AB1571" i="1" s="1"/>
  <c r="AB1572" i="1" a="1"/>
  <c r="AB1572" i="1" s="1"/>
  <c r="AG1572" i="1" s="1"/>
  <c r="AJ1572" i="1" s="1"/>
  <c r="AK1572" i="1" s="1"/>
  <c r="AB1573" i="1" a="1"/>
  <c r="AB1573" i="1" s="1"/>
  <c r="AG1573" i="1" s="1"/>
  <c r="AH1573" i="1" s="1"/>
  <c r="AI1573" i="1" s="1"/>
  <c r="AB1574" i="1" a="1"/>
  <c r="AB1574" i="1" s="1"/>
  <c r="AG1574" i="1" s="1"/>
  <c r="AL1574" i="1" s="1"/>
  <c r="AM1574" i="1" s="1"/>
  <c r="AB1575" i="1" a="1"/>
  <c r="AB1575" i="1" s="1"/>
  <c r="AB1576" i="1" a="1"/>
  <c r="AB1576" i="1" s="1"/>
  <c r="AB1577" i="1" a="1"/>
  <c r="AB1577" i="1" s="1"/>
  <c r="AG1577" i="1" s="1"/>
  <c r="AB1578" i="1" a="1"/>
  <c r="AB1578" i="1" s="1"/>
  <c r="AB1579" i="1" a="1"/>
  <c r="AB1579" i="1" s="1"/>
  <c r="AG1579" i="1" s="1"/>
  <c r="AL1579" i="1" s="1"/>
  <c r="AM1579" i="1" s="1"/>
  <c r="AB1580" i="1" a="1"/>
  <c r="AB1580" i="1" s="1"/>
  <c r="AG1580" i="1" s="1"/>
  <c r="AB1581" i="1" a="1"/>
  <c r="AB1581" i="1" s="1"/>
  <c r="AG1581" i="1" s="1"/>
  <c r="AB1582" i="1" a="1"/>
  <c r="AB1582" i="1" s="1"/>
  <c r="AB1583" i="1" a="1"/>
  <c r="AB1583" i="1" s="1"/>
  <c r="AG1583" i="1" s="1"/>
  <c r="AL1583" i="1" s="1"/>
  <c r="AM1583" i="1" s="1"/>
  <c r="AB1584" i="1" a="1"/>
  <c r="AB1584" i="1" s="1"/>
  <c r="AB1585" i="1" a="1"/>
  <c r="AB1585" i="1" s="1"/>
  <c r="AG1585" i="1" s="1"/>
  <c r="AB1586" i="1" a="1"/>
  <c r="AB1586" i="1" s="1"/>
  <c r="AB1587" i="1" a="1"/>
  <c r="AB1587" i="1" s="1"/>
  <c r="AG1587" i="1" s="1"/>
  <c r="AL1587" i="1" s="1"/>
  <c r="AM1587" i="1" s="1"/>
  <c r="AB1588" i="1" a="1"/>
  <c r="AB1588" i="1" s="1"/>
  <c r="AG1588" i="1" s="1"/>
  <c r="AB1589" i="1" a="1"/>
  <c r="AB1589" i="1" s="1"/>
  <c r="AG1589" i="1" s="1"/>
  <c r="AB1590" i="1" a="1"/>
  <c r="AB1590" i="1" s="1"/>
  <c r="AG1590" i="1" s="1"/>
  <c r="AB1591" i="1" a="1"/>
  <c r="AB1591" i="1" s="1"/>
  <c r="AG1591" i="1" s="1"/>
  <c r="AL1591" i="1" s="1"/>
  <c r="AM1591" i="1" s="1"/>
  <c r="AB1592" i="1" a="1"/>
  <c r="AB1592" i="1" s="1"/>
  <c r="AB1593" i="1" a="1"/>
  <c r="AB1593" i="1" s="1"/>
  <c r="AG1593" i="1" s="1"/>
  <c r="AB1594" i="1" a="1"/>
  <c r="AB1594" i="1" s="1"/>
  <c r="AB1595" i="1" a="1"/>
  <c r="AB1595" i="1" s="1"/>
  <c r="AG1595" i="1" s="1"/>
  <c r="AL1595" i="1" s="1"/>
  <c r="AM1595" i="1" s="1"/>
  <c r="AB1596" i="1" a="1"/>
  <c r="AB1596" i="1" s="1"/>
  <c r="AB1597" i="1" a="1"/>
  <c r="AB1597" i="1" s="1"/>
  <c r="AG1597" i="1" s="1"/>
  <c r="AB1598" i="1" a="1"/>
  <c r="AB1598" i="1" s="1"/>
  <c r="AB1599" i="1" a="1"/>
  <c r="AB1599" i="1" s="1"/>
  <c r="AG1599" i="1" s="1"/>
  <c r="AB1600" i="1" a="1"/>
  <c r="AB1600" i="1" s="1"/>
  <c r="AB1601" i="1" a="1"/>
  <c r="AB1601" i="1" s="1"/>
  <c r="AG1601" i="1" s="1"/>
  <c r="AB1602" i="1" a="1"/>
  <c r="AB1602" i="1" s="1"/>
  <c r="AB1603" i="1" a="1"/>
  <c r="AB1603" i="1" s="1"/>
  <c r="AB1604" i="1" a="1"/>
  <c r="AB1604" i="1" s="1"/>
  <c r="AB1605" i="1" a="1"/>
  <c r="AB1605" i="1" s="1"/>
  <c r="AG1605" i="1" s="1"/>
  <c r="AB1606" i="1" a="1"/>
  <c r="AB1606" i="1" s="1"/>
  <c r="AB1607" i="1" a="1"/>
  <c r="AB1607" i="1" s="1"/>
  <c r="AB1608" i="1" a="1"/>
  <c r="AB1608" i="1" s="1"/>
  <c r="AB1609" i="1" a="1"/>
  <c r="AB1609" i="1" s="1"/>
  <c r="AG1609" i="1" s="1"/>
  <c r="AB1610" i="1" a="1"/>
  <c r="AB1610" i="1" s="1"/>
  <c r="AB1611" i="1" a="1"/>
  <c r="AB1611" i="1" s="1"/>
  <c r="AB1612" i="1" a="1"/>
  <c r="AB1612" i="1" s="1"/>
  <c r="AB1613" i="1" a="1"/>
  <c r="AB1613" i="1" s="1"/>
  <c r="AG1613" i="1" s="1"/>
  <c r="AB1614" i="1" a="1"/>
  <c r="AB1614" i="1" s="1"/>
  <c r="AB1615" i="1" a="1"/>
  <c r="AB1615" i="1" s="1"/>
  <c r="AB1616" i="1" a="1"/>
  <c r="AB1616" i="1" s="1"/>
  <c r="AB1617" i="1" a="1"/>
  <c r="AB1617" i="1" s="1"/>
  <c r="AG1617" i="1" s="1"/>
  <c r="AB1618" i="1" a="1"/>
  <c r="AB1618" i="1" s="1"/>
  <c r="AB1619" i="1" a="1"/>
  <c r="AB1619" i="1" s="1"/>
  <c r="AG1619" i="1" s="1"/>
  <c r="AB1620" i="1" a="1"/>
  <c r="AB1620" i="1" s="1"/>
  <c r="AB1621" i="1" a="1"/>
  <c r="AB1621" i="1"/>
  <c r="AG1621" i="1" s="1"/>
  <c r="AB1622" i="1" a="1"/>
  <c r="AB1622" i="1" s="1"/>
  <c r="AB1623" i="1" a="1"/>
  <c r="AB1623" i="1" s="1"/>
  <c r="AB1624" i="1" a="1"/>
  <c r="AB1624" i="1" s="1"/>
  <c r="AG1624" i="1" s="1"/>
  <c r="AB1625" i="1" a="1"/>
  <c r="AB1625" i="1" s="1"/>
  <c r="AG1625" i="1" s="1"/>
  <c r="AB1626" i="1" a="1"/>
  <c r="AB1626" i="1" s="1"/>
  <c r="AB1627" i="1" a="1"/>
  <c r="AB1627" i="1" s="1"/>
  <c r="AG1627" i="1" s="1"/>
  <c r="AL1627" i="1" s="1"/>
  <c r="AM1627" i="1" s="1"/>
  <c r="AB1628" i="1" a="1"/>
  <c r="AB1628" i="1" s="1"/>
  <c r="AB1629" i="1" a="1"/>
  <c r="AB1629" i="1"/>
  <c r="AB1630" i="1" a="1"/>
  <c r="AB1630" i="1" s="1"/>
  <c r="AB1631" i="1" a="1"/>
  <c r="AB1631" i="1" s="1"/>
  <c r="AB1632" i="1" a="1"/>
  <c r="AB1632" i="1" s="1"/>
  <c r="AG1632" i="1" s="1"/>
  <c r="AB1633" i="1" a="1"/>
  <c r="AB1633" i="1" s="1"/>
  <c r="AG1633" i="1" s="1"/>
  <c r="AB1634" i="1" a="1"/>
  <c r="AB1634" i="1" s="1"/>
  <c r="AB1635" i="1" a="1"/>
  <c r="AB1635" i="1" s="1"/>
  <c r="AG1635" i="1" s="1"/>
  <c r="AL1635" i="1" s="1"/>
  <c r="AM1635" i="1" s="1"/>
  <c r="AB1636" i="1" a="1"/>
  <c r="AB1636" i="1" s="1"/>
  <c r="AB1637" i="1" a="1"/>
  <c r="AB1637" i="1" s="1"/>
  <c r="AB1638" i="1" a="1"/>
  <c r="AB1638" i="1" s="1"/>
  <c r="AB1639" i="1" a="1"/>
  <c r="AB1639" i="1" s="1"/>
  <c r="AB1640" i="1" a="1"/>
  <c r="AB1640" i="1" s="1"/>
  <c r="AB1" i="1" a="1"/>
  <c r="AB1" i="1" s="1"/>
  <c r="AG1640" i="1"/>
  <c r="AG1611" i="1"/>
  <c r="AJ1611" i="1" s="1"/>
  <c r="AK1611" i="1" s="1"/>
  <c r="AG1603" i="1"/>
  <c r="AL1603" i="1" s="1"/>
  <c r="AM1603" i="1" s="1"/>
  <c r="AG1547" i="1"/>
  <c r="AJ1547" i="1" s="1"/>
  <c r="AK1547" i="1" s="1"/>
  <c r="AG1546" i="1"/>
  <c r="AG1542" i="1"/>
  <c r="AJ1542" i="1" s="1"/>
  <c r="AK1542" i="1" s="1"/>
  <c r="AG1534" i="1"/>
  <c r="AG1514" i="1"/>
  <c r="AG1508" i="1"/>
  <c r="AH1508" i="1" s="1"/>
  <c r="AI1508" i="1" s="1"/>
  <c r="AJ1504" i="1"/>
  <c r="AK1504" i="1" s="1"/>
  <c r="AG1503" i="1"/>
  <c r="AG1496" i="1"/>
  <c r="AL1496" i="1" s="1"/>
  <c r="AM1496" i="1" s="1"/>
  <c r="AG1482" i="1"/>
  <c r="AG1472" i="1"/>
  <c r="AG1466" i="1"/>
  <c r="AL1466" i="1" s="1"/>
  <c r="AM1466" i="1" s="1"/>
  <c r="AG1464" i="1"/>
  <c r="AG1458" i="1"/>
  <c r="AL1458" i="1" s="1"/>
  <c r="AM1458" i="1" s="1"/>
  <c r="AG1457" i="1"/>
  <c r="AL1457" i="1" s="1"/>
  <c r="AM1457" i="1" s="1"/>
  <c r="AG1442" i="1"/>
  <c r="AG1440" i="1"/>
  <c r="AL1440" i="1" s="1"/>
  <c r="AM1440" i="1" s="1"/>
  <c r="AH1424" i="1"/>
  <c r="AG1424" i="1"/>
  <c r="AL1424" i="1" s="1"/>
  <c r="AM1424" i="1" s="1"/>
  <c r="AG1415" i="1"/>
  <c r="AL1412" i="1"/>
  <c r="AM1412" i="1" s="1"/>
  <c r="AL1408" i="1"/>
  <c r="AM1408" i="1" s="1"/>
  <c r="AH1408" i="1"/>
  <c r="AI1408" i="1" s="1"/>
  <c r="AG1401" i="1"/>
  <c r="AH1401" i="1"/>
  <c r="AI1401" i="1" s="1"/>
  <c r="AG1400" i="1"/>
  <c r="AL1400" i="1" s="1"/>
  <c r="AM1400" i="1" s="1"/>
  <c r="AH1395" i="1"/>
  <c r="AI1395" i="1" s="1"/>
  <c r="AL1395" i="1"/>
  <c r="AM1395" i="1" s="1"/>
  <c r="AG1392" i="1"/>
  <c r="AG1378" i="1"/>
  <c r="AH1378" i="1" s="1"/>
  <c r="AL1371" i="1"/>
  <c r="AM1371" i="1" s="1"/>
  <c r="AG1367" i="1"/>
  <c r="AG1360" i="1"/>
  <c r="AJ1360" i="1" s="1"/>
  <c r="AK1360" i="1" s="1"/>
  <c r="AG1351" i="1"/>
  <c r="AG1337" i="1"/>
  <c r="AG1334" i="1"/>
  <c r="AL1334" i="1" s="1"/>
  <c r="AM1334" i="1" s="1"/>
  <c r="AG1331" i="1"/>
  <c r="AJ1327" i="1"/>
  <c r="AK1327" i="1" s="1"/>
  <c r="AG1326" i="1"/>
  <c r="AL1326" i="1" s="1"/>
  <c r="AM1326" i="1" s="1"/>
  <c r="AG1325" i="1"/>
  <c r="AL1318" i="1"/>
  <c r="AM1318" i="1" s="1"/>
  <c r="AG1316" i="1"/>
  <c r="AG1307" i="1"/>
  <c r="AG1294" i="1"/>
  <c r="AG1293" i="1"/>
  <c r="AL1287" i="1"/>
  <c r="AM1287" i="1" s="1"/>
  <c r="AG1285" i="1"/>
  <c r="AJ1285" i="1" s="1"/>
  <c r="AK1285" i="1" s="1"/>
  <c r="AG1281" i="1"/>
  <c r="AH1281" i="1" s="1"/>
  <c r="AI1281" i="1" s="1"/>
  <c r="AG1266" i="1"/>
  <c r="AG1261" i="1"/>
  <c r="AL1259" i="1"/>
  <c r="AM1259" i="1" s="1"/>
  <c r="AG1258" i="1"/>
  <c r="AG1252" i="1"/>
  <c r="AL1252" i="1" s="1"/>
  <c r="AM1252" i="1" s="1"/>
  <c r="AG1250" i="1"/>
  <c r="AG1243" i="1"/>
  <c r="AG1236" i="1"/>
  <c r="AL1236" i="1" s="1"/>
  <c r="AM1236" i="1" s="1"/>
  <c r="AG1234" i="1"/>
  <c r="AH1234" i="1" s="1"/>
  <c r="AI1234" i="1" s="1"/>
  <c r="AG1233" i="1"/>
  <c r="AH1233" i="1" s="1"/>
  <c r="AI1233" i="1" s="1"/>
  <c r="AG1228" i="1"/>
  <c r="AG1227" i="1"/>
  <c r="AG1226" i="1"/>
  <c r="AG1218" i="1"/>
  <c r="AG1212" i="1"/>
  <c r="AJ1212" i="1" s="1"/>
  <c r="AK1212" i="1" s="1"/>
  <c r="AG1211" i="1"/>
  <c r="AG1204" i="1"/>
  <c r="AJ1204" i="1" s="1"/>
  <c r="AG1196" i="1"/>
  <c r="AJ1188" i="1"/>
  <c r="AG1184" i="1"/>
  <c r="AH1184" i="1" s="1"/>
  <c r="AI1184" i="1" s="1"/>
  <c r="AG1183" i="1"/>
  <c r="AH1183" i="1" s="1"/>
  <c r="AI1183" i="1" s="1"/>
  <c r="AG1182" i="1"/>
  <c r="AG1179" i="1"/>
  <c r="AL1179" i="1" s="1"/>
  <c r="AM1179" i="1" s="1"/>
  <c r="AG1168" i="1"/>
  <c r="AL1168" i="1" s="1"/>
  <c r="AM1168" i="1" s="1"/>
  <c r="AG1162" i="1"/>
  <c r="AL1157" i="1"/>
  <c r="AM1157" i="1" s="1"/>
  <c r="AJ1157" i="1"/>
  <c r="AK1157" i="1" s="1"/>
  <c r="AH1156" i="1"/>
  <c r="AI1156" i="1" s="1"/>
  <c r="AG1154" i="1"/>
  <c r="AG1146" i="1"/>
  <c r="AG1140" i="1"/>
  <c r="AG1132" i="1"/>
  <c r="AG1130" i="1"/>
  <c r="AG1124" i="1"/>
  <c r="AG1116" i="1"/>
  <c r="AG1114" i="1"/>
  <c r="AG1109" i="1"/>
  <c r="AH1106" i="1"/>
  <c r="AI1106" i="1" s="1"/>
  <c r="AL1101" i="1"/>
  <c r="AG1098" i="1"/>
  <c r="AH1094" i="1"/>
  <c r="AI1094" i="1" s="1"/>
  <c r="AG1093" i="1"/>
  <c r="AL1093" i="1" s="1"/>
  <c r="AM1093" i="1" s="1"/>
  <c r="AG1086" i="1"/>
  <c r="AL1086" i="1" s="1"/>
  <c r="AG1082" i="1"/>
  <c r="AJ1082" i="1" s="1"/>
  <c r="AK1082" i="1" s="1"/>
  <c r="AL1082" i="1"/>
  <c r="AL1078" i="1"/>
  <c r="AM1078" i="1" s="1"/>
  <c r="AG1074" i="1"/>
  <c r="AL1067" i="1"/>
  <c r="AM1067" i="1" s="1"/>
  <c r="AM1066" i="1"/>
  <c r="AH1066" i="1"/>
  <c r="AI1066" i="1" s="1"/>
  <c r="AG1066" i="1"/>
  <c r="AL1066" i="1" s="1"/>
  <c r="AG1065" i="1"/>
  <c r="AG1060" i="1"/>
  <c r="AG1057" i="1"/>
  <c r="AJ1057" i="1" s="1"/>
  <c r="AK1057" i="1" s="1"/>
  <c r="AG1050" i="1"/>
  <c r="AL1050" i="1" s="1"/>
  <c r="AM1050" i="1" s="1"/>
  <c r="AH1049" i="1"/>
  <c r="AI1049" i="1" s="1"/>
  <c r="AG1042" i="1"/>
  <c r="AL1042" i="1" s="1"/>
  <c r="AM1042" i="1" s="1"/>
  <c r="AG1041" i="1"/>
  <c r="AJ1039" i="1"/>
  <c r="AG1035" i="1"/>
  <c r="AG1034" i="1"/>
  <c r="AL1034" i="1" s="1"/>
  <c r="AM1034" i="1" s="1"/>
  <c r="AG1031" i="1"/>
  <c r="AG1026" i="1"/>
  <c r="AL1026" i="1" s="1"/>
  <c r="AM1026" i="1" s="1"/>
  <c r="AH1026" i="1"/>
  <c r="AI1026" i="1" s="1"/>
  <c r="AG1022" i="1"/>
  <c r="AG1019" i="1"/>
  <c r="AG1015" i="1"/>
  <c r="AG1002" i="1"/>
  <c r="AL1002" i="1" s="1"/>
  <c r="AM1002" i="1" s="1"/>
  <c r="AG994" i="1"/>
  <c r="AL994" i="1" s="1"/>
  <c r="AM994" i="1" s="1"/>
  <c r="AG980" i="1"/>
  <c r="AG978" i="1"/>
  <c r="AL978" i="1" s="1"/>
  <c r="AM978" i="1" s="1"/>
  <c r="AG977" i="1"/>
  <c r="AG971" i="1"/>
  <c r="AJ971" i="1" s="1"/>
  <c r="AK971" i="1" s="1"/>
  <c r="AG963" i="1"/>
  <c r="AG961" i="1"/>
  <c r="AG959" i="1"/>
  <c r="AH959" i="1" s="1"/>
  <c r="AI959" i="1" s="1"/>
  <c r="AG949" i="1"/>
  <c r="AH949" i="1" s="1"/>
  <c r="AG947" i="1"/>
  <c r="AL947" i="1" s="1"/>
  <c r="AG942" i="1"/>
  <c r="AL942" i="1" s="1"/>
  <c r="AM942" i="1" s="1"/>
  <c r="AG941" i="1"/>
  <c r="AH941" i="1" s="1"/>
  <c r="AI941" i="1" s="1"/>
  <c r="AG936" i="1"/>
  <c r="AG935" i="1"/>
  <c r="AG934" i="1"/>
  <c r="AG926" i="1"/>
  <c r="AL926" i="1" s="1"/>
  <c r="AM926" i="1" s="1"/>
  <c r="AG925" i="1"/>
  <c r="AG923" i="1"/>
  <c r="AL923" i="1" s="1"/>
  <c r="AM923" i="1" s="1"/>
  <c r="AH923" i="1"/>
  <c r="AI923" i="1" s="1"/>
  <c r="AG918" i="1"/>
  <c r="AL918" i="1" s="1"/>
  <c r="AM918" i="1" s="1"/>
  <c r="AG910" i="1"/>
  <c r="AL910" i="1" s="1"/>
  <c r="AM910" i="1" s="1"/>
  <c r="AG898" i="1"/>
  <c r="AJ898" i="1" s="1"/>
  <c r="AG894" i="1"/>
  <c r="AL894" i="1" s="1"/>
  <c r="AM894" i="1" s="1"/>
  <c r="AG893" i="1"/>
  <c r="AG892" i="1"/>
  <c r="AG885" i="1"/>
  <c r="AG881" i="1"/>
  <c r="AL881" i="1" s="1"/>
  <c r="AM881" i="1" s="1"/>
  <c r="AG877" i="1"/>
  <c r="AG869" i="1"/>
  <c r="AH869" i="1" s="1"/>
  <c r="AI869" i="1" s="1"/>
  <c r="AG867" i="1"/>
  <c r="AG861" i="1"/>
  <c r="AL861" i="1" s="1"/>
  <c r="AM861" i="1" s="1"/>
  <c r="AG853" i="1"/>
  <c r="AL853" i="1" s="1"/>
  <c r="AG851" i="1"/>
  <c r="AJ851" i="1" s="1"/>
  <c r="AK851" i="1" s="1"/>
  <c r="AG842" i="1"/>
  <c r="AG841" i="1"/>
  <c r="AJ841" i="1" s="1"/>
  <c r="AK841" i="1" s="1"/>
  <c r="AG840" i="1"/>
  <c r="AL840" i="1" s="1"/>
  <c r="AM840" i="1" s="1"/>
  <c r="AG833" i="1"/>
  <c r="AG811" i="1"/>
  <c r="AL811" i="1" s="1"/>
  <c r="AM811" i="1" s="1"/>
  <c r="AG800" i="1"/>
  <c r="AG799" i="1"/>
  <c r="AG798" i="1"/>
  <c r="AG797" i="1"/>
  <c r="AG795" i="1"/>
  <c r="AJ795" i="1" s="1"/>
  <c r="AH795" i="1"/>
  <c r="AI795" i="1" s="1"/>
  <c r="AG790" i="1"/>
  <c r="AL790" i="1" s="1"/>
  <c r="AM790" i="1" s="1"/>
  <c r="AG789" i="1"/>
  <c r="AG787" i="1"/>
  <c r="AL787" i="1" s="1"/>
  <c r="AM787" i="1" s="1"/>
  <c r="AG779" i="1"/>
  <c r="AL779" i="1" s="1"/>
  <c r="AM779" i="1" s="1"/>
  <c r="AG774" i="1"/>
  <c r="AL774" i="1" s="1"/>
  <c r="AM774" i="1" s="1"/>
  <c r="AG767" i="1"/>
  <c r="AG766" i="1"/>
  <c r="AL766" i="1" s="1"/>
  <c r="AM766" i="1" s="1"/>
  <c r="AG761" i="1"/>
  <c r="AH761" i="1" s="1"/>
  <c r="AI761" i="1" s="1"/>
  <c r="AG760" i="1"/>
  <c r="AJ760" i="1" s="1"/>
  <c r="AK760" i="1" s="1"/>
  <c r="AG758" i="1"/>
  <c r="AH758" i="1" s="1"/>
  <c r="AI758" i="1" s="1"/>
  <c r="AG753" i="1"/>
  <c r="AH753" i="1" s="1"/>
  <c r="AI753" i="1" s="1"/>
  <c r="AG752" i="1"/>
  <c r="AG751" i="1"/>
  <c r="AG745" i="1"/>
  <c r="AH745" i="1" s="1"/>
  <c r="AI745" i="1" s="1"/>
  <c r="AG744" i="1"/>
  <c r="AJ744" i="1" s="1"/>
  <c r="AG743" i="1"/>
  <c r="AG737" i="1"/>
  <c r="AG736" i="1"/>
  <c r="AG735" i="1"/>
  <c r="AG734" i="1"/>
  <c r="AG729" i="1"/>
  <c r="AH729" i="1" s="1"/>
  <c r="AI729" i="1" s="1"/>
  <c r="AG728" i="1"/>
  <c r="AJ728" i="1" s="1"/>
  <c r="AH728" i="1"/>
  <c r="AI728" i="1" s="1"/>
  <c r="AG727" i="1"/>
  <c r="AL727" i="1" s="1"/>
  <c r="AG726" i="1"/>
  <c r="AG721" i="1"/>
  <c r="AH721" i="1" s="1"/>
  <c r="AI721" i="1" s="1"/>
  <c r="AG720" i="1"/>
  <c r="AJ720" i="1" s="1"/>
  <c r="AK720" i="1" s="1"/>
  <c r="AH720" i="1"/>
  <c r="AI720" i="1" s="1"/>
  <c r="AG719" i="1"/>
  <c r="AL719" i="1" s="1"/>
  <c r="AM719" i="1" s="1"/>
  <c r="AG714" i="1"/>
  <c r="AG713" i="1"/>
  <c r="AH713" i="1" s="1"/>
  <c r="AI713" i="1" s="1"/>
  <c r="AG712" i="1"/>
  <c r="AJ712" i="1" s="1"/>
  <c r="AK712" i="1" s="1"/>
  <c r="AG711" i="1"/>
  <c r="AL711" i="1" s="1"/>
  <c r="AM711" i="1" s="1"/>
  <c r="AG704" i="1"/>
  <c r="AJ704" i="1" s="1"/>
  <c r="AK704" i="1" s="1"/>
  <c r="AG703" i="1"/>
  <c r="AL703" i="1" s="1"/>
  <c r="AM703" i="1" s="1"/>
  <c r="AG697" i="1"/>
  <c r="AH697" i="1" s="1"/>
  <c r="AI697" i="1" s="1"/>
  <c r="AG696" i="1"/>
  <c r="AJ696" i="1" s="1"/>
  <c r="AK696" i="1" s="1"/>
  <c r="AG695" i="1"/>
  <c r="AL695" i="1" s="1"/>
  <c r="AM695" i="1" s="1"/>
  <c r="AG690" i="1"/>
  <c r="AL690" i="1" s="1"/>
  <c r="AG688" i="1"/>
  <c r="AJ688" i="1" s="1"/>
  <c r="AK688" i="1" s="1"/>
  <c r="AG687" i="1"/>
  <c r="AL687" i="1" s="1"/>
  <c r="AM687" i="1" s="1"/>
  <c r="AG681" i="1"/>
  <c r="AG680" i="1"/>
  <c r="AH680" i="1" s="1"/>
  <c r="AI680" i="1" s="1"/>
  <c r="AG679" i="1"/>
  <c r="AG678" i="1"/>
  <c r="AL678" i="1" s="1"/>
  <c r="AG672" i="1"/>
  <c r="AG670" i="1"/>
  <c r="AG664" i="1"/>
  <c r="AG663" i="1"/>
  <c r="AL663" i="1" s="1"/>
  <c r="AM663" i="1" s="1"/>
  <c r="AG661" i="1"/>
  <c r="AG657" i="1"/>
  <c r="AL657" i="1" s="1"/>
  <c r="AM657" i="1" s="1"/>
  <c r="AG656" i="1"/>
  <c r="AL656" i="1" s="1"/>
  <c r="AM656" i="1" s="1"/>
  <c r="AG655" i="1"/>
  <c r="AL654" i="1"/>
  <c r="AM654" i="1" s="1"/>
  <c r="AJ654" i="1"/>
  <c r="AK654" i="1" s="1"/>
  <c r="AH654" i="1"/>
  <c r="AI654" i="1" s="1"/>
  <c r="AG654" i="1"/>
  <c r="AG649" i="1"/>
  <c r="AH649" i="1" s="1"/>
  <c r="AI649" i="1" s="1"/>
  <c r="AG648" i="1"/>
  <c r="AG642" i="1"/>
  <c r="AJ642" i="1" s="1"/>
  <c r="AK642" i="1" s="1"/>
  <c r="AG641" i="1"/>
  <c r="AG640" i="1"/>
  <c r="AG636" i="1"/>
  <c r="AG634" i="1"/>
  <c r="AG633" i="1"/>
  <c r="AG632" i="1"/>
  <c r="AH632" i="1" s="1"/>
  <c r="AG627" i="1"/>
  <c r="AL627" i="1" s="1"/>
  <c r="AM627" i="1" s="1"/>
  <c r="AG619" i="1"/>
  <c r="AL619" i="1" s="1"/>
  <c r="AM619" i="1" s="1"/>
  <c r="AG618" i="1"/>
  <c r="AG611" i="1"/>
  <c r="AL611" i="1" s="1"/>
  <c r="AM611" i="1" s="1"/>
  <c r="AG610" i="1"/>
  <c r="AH610" i="1" s="1"/>
  <c r="AI610" i="1" s="1"/>
  <c r="AG603" i="1"/>
  <c r="AL603" i="1" s="1"/>
  <c r="AM603" i="1" s="1"/>
  <c r="AG595" i="1"/>
  <c r="AL595" i="1" s="1"/>
  <c r="AM595" i="1" s="1"/>
  <c r="AG592" i="1"/>
  <c r="AG591" i="1"/>
  <c r="AG590" i="1"/>
  <c r="AH590" i="1" s="1"/>
  <c r="AI590" i="1" s="1"/>
  <c r="AG587" i="1"/>
  <c r="AL587" i="1" s="1"/>
  <c r="AG582" i="1"/>
  <c r="AG576" i="1"/>
  <c r="AJ576" i="1" s="1"/>
  <c r="AK576" i="1" s="1"/>
  <c r="AG574" i="1"/>
  <c r="AL574" i="1" s="1"/>
  <c r="AM574" i="1" s="1"/>
  <c r="AG570" i="1"/>
  <c r="AH570" i="1" s="1"/>
  <c r="AI570" i="1" s="1"/>
  <c r="AG566" i="1"/>
  <c r="AL566" i="1" s="1"/>
  <c r="AM566" i="1" s="1"/>
  <c r="AG562" i="1"/>
  <c r="AH562" i="1" s="1"/>
  <c r="AI562" i="1" s="1"/>
  <c r="AG560" i="1"/>
  <c r="AL560" i="1" s="1"/>
  <c r="AM560" i="1" s="1"/>
  <c r="AG554" i="1"/>
  <c r="AH554" i="1" s="1"/>
  <c r="AG552" i="1"/>
  <c r="AL552" i="1" s="1"/>
  <c r="AH552" i="1"/>
  <c r="AI552" i="1" s="1"/>
  <c r="AG549" i="1"/>
  <c r="AG548" i="1"/>
  <c r="AJ548" i="1" s="1"/>
  <c r="AK548" i="1" s="1"/>
  <c r="AG547" i="1"/>
  <c r="AL547" i="1" s="1"/>
  <c r="AM547" i="1" s="1"/>
  <c r="AG544" i="1"/>
  <c r="AL544" i="1" s="1"/>
  <c r="AM544" i="1" s="1"/>
  <c r="AG542" i="1"/>
  <c r="AG540" i="1"/>
  <c r="AJ540" i="1" s="1"/>
  <c r="AK540" i="1" s="1"/>
  <c r="AG538" i="1"/>
  <c r="AG534" i="1"/>
  <c r="AL534" i="1" s="1"/>
  <c r="AM534" i="1" s="1"/>
  <c r="AG530" i="1"/>
  <c r="AG519" i="1"/>
  <c r="AL519" i="1" s="1"/>
  <c r="AM519" i="1" s="1"/>
  <c r="AG518" i="1"/>
  <c r="AG512" i="1"/>
  <c r="AG511" i="1"/>
  <c r="AL511" i="1" s="1"/>
  <c r="AM511" i="1" s="1"/>
  <c r="AG506" i="1"/>
  <c r="AL506" i="1" s="1"/>
  <c r="AM506" i="1" s="1"/>
  <c r="AG505" i="1"/>
  <c r="AG503" i="1"/>
  <c r="AG495" i="1"/>
  <c r="AL495" i="1" s="1"/>
  <c r="AM495" i="1" s="1"/>
  <c r="AG494" i="1"/>
  <c r="AL494" i="1" s="1"/>
  <c r="AM494" i="1" s="1"/>
  <c r="AG484" i="1"/>
  <c r="AL484" i="1" s="1"/>
  <c r="AM484" i="1" s="1"/>
  <c r="AG482" i="1"/>
  <c r="AH482" i="1" s="1"/>
  <c r="AI482" i="1" s="1"/>
  <c r="AG478" i="1"/>
  <c r="AH478" i="1" s="1"/>
  <c r="AI478" i="1" s="1"/>
  <c r="AG466" i="1"/>
  <c r="AH466" i="1" s="1"/>
  <c r="AG457" i="1"/>
  <c r="AG455" i="1"/>
  <c r="AG454" i="1"/>
  <c r="AL454" i="1" s="1"/>
  <c r="AM454" i="1" s="1"/>
  <c r="AG446" i="1"/>
  <c r="AL446" i="1" s="1"/>
  <c r="AM446" i="1" s="1"/>
  <c r="AG438" i="1"/>
  <c r="AL438" i="1" s="1"/>
  <c r="AM438" i="1" s="1"/>
  <c r="AG437" i="1"/>
  <c r="AL437" i="1" s="1"/>
  <c r="AM437" i="1" s="1"/>
  <c r="AG433" i="1"/>
  <c r="AL433" i="1" s="1"/>
  <c r="AM433" i="1" s="1"/>
  <c r="AG430" i="1"/>
  <c r="AL430" i="1" s="1"/>
  <c r="AM430" i="1" s="1"/>
  <c r="AG423" i="1"/>
  <c r="AL423" i="1" s="1"/>
  <c r="AM423" i="1" s="1"/>
  <c r="AG422" i="1"/>
  <c r="AH422" i="1" s="1"/>
  <c r="AI422" i="1" s="1"/>
  <c r="AG415" i="1"/>
  <c r="AL415" i="1" s="1"/>
  <c r="AM415" i="1" s="1"/>
  <c r="AG414" i="1"/>
  <c r="AH414" i="1" s="1"/>
  <c r="AI414" i="1" s="1"/>
  <c r="AG409" i="1"/>
  <c r="AG406" i="1"/>
  <c r="AG404" i="1"/>
  <c r="AG399" i="1"/>
  <c r="AL399" i="1" s="1"/>
  <c r="AM399" i="1" s="1"/>
  <c r="AG398" i="1"/>
  <c r="AG397" i="1"/>
  <c r="AH397" i="1" s="1"/>
  <c r="AI397" i="1" s="1"/>
  <c r="AG392" i="1"/>
  <c r="AJ392" i="1" s="1"/>
  <c r="AG391" i="1"/>
  <c r="AL391" i="1" s="1"/>
  <c r="AM391" i="1" s="1"/>
  <c r="AG390" i="1"/>
  <c r="AG382" i="1"/>
  <c r="AG381" i="1"/>
  <c r="AH381" i="1" s="1"/>
  <c r="AI381" i="1" s="1"/>
  <c r="AG376" i="1"/>
  <c r="AJ376" i="1"/>
  <c r="AK376" i="1" s="1"/>
  <c r="AG375" i="1"/>
  <c r="AL375" i="1" s="1"/>
  <c r="AM375" i="1" s="1"/>
  <c r="AG366" i="1"/>
  <c r="AG364" i="1"/>
  <c r="AH363" i="1"/>
  <c r="AI363" i="1" s="1"/>
  <c r="AG363" i="1"/>
  <c r="AG362" i="1"/>
  <c r="AG359" i="1"/>
  <c r="AJ359" i="1" s="1"/>
  <c r="AG358" i="1"/>
  <c r="AG356" i="1"/>
  <c r="AG351" i="1"/>
  <c r="AL351" i="1" s="1"/>
  <c r="AM351" i="1" s="1"/>
  <c r="AG350" i="1"/>
  <c r="AH350" i="1" s="1"/>
  <c r="AI350" i="1" s="1"/>
  <c r="AG349" i="1"/>
  <c r="AH349" i="1" s="1"/>
  <c r="AI349" i="1" s="1"/>
  <c r="AL349" i="1"/>
  <c r="AM349" i="1" s="1"/>
  <c r="AG343" i="1"/>
  <c r="AL343" i="1" s="1"/>
  <c r="AM343" i="1" s="1"/>
  <c r="AG342" i="1"/>
  <c r="AG334" i="1"/>
  <c r="AG332" i="1"/>
  <c r="AG326" i="1"/>
  <c r="AG324" i="1"/>
  <c r="AG321" i="1"/>
  <c r="AG320" i="1"/>
  <c r="AG318" i="1"/>
  <c r="AG317" i="1"/>
  <c r="AH317" i="1" s="1"/>
  <c r="AI317" i="1" s="1"/>
  <c r="AG316" i="1"/>
  <c r="AG312" i="1"/>
  <c r="AG311" i="1"/>
  <c r="AL311" i="1" s="1"/>
  <c r="AM311" i="1" s="1"/>
  <c r="AG310" i="1"/>
  <c r="AG308" i="1"/>
  <c r="AG303" i="1"/>
  <c r="AL303" i="1" s="1"/>
  <c r="AM303" i="1" s="1"/>
  <c r="AG302" i="1"/>
  <c r="AH302" i="1" s="1"/>
  <c r="AI302" i="1" s="1"/>
  <c r="AG301" i="1"/>
  <c r="AL301" i="1" s="1"/>
  <c r="AM301" i="1" s="1"/>
  <c r="AG300" i="1"/>
  <c r="AG296" i="1"/>
  <c r="AG295" i="1"/>
  <c r="AL295" i="1" s="1"/>
  <c r="AM295" i="1" s="1"/>
  <c r="AG287" i="1"/>
  <c r="AL287" i="1" s="1"/>
  <c r="AM287" i="1" s="1"/>
  <c r="AG286" i="1"/>
  <c r="AG284" i="1"/>
  <c r="AG280" i="1"/>
  <c r="AG279" i="1"/>
  <c r="AL279" i="1" s="1"/>
  <c r="AM279" i="1" s="1"/>
  <c r="AG278" i="1"/>
  <c r="AH278" i="1" s="1"/>
  <c r="AI278" i="1" s="1"/>
  <c r="AG275" i="1"/>
  <c r="AH275" i="1" s="1"/>
  <c r="AI275" i="1" s="1"/>
  <c r="AG274" i="1"/>
  <c r="AG270" i="1"/>
  <c r="AH270" i="1" s="1"/>
  <c r="AI270" i="1" s="1"/>
  <c r="AG268" i="1"/>
  <c r="AG266" i="1"/>
  <c r="AG264" i="1"/>
  <c r="AJ264" i="1"/>
  <c r="AK264" i="1" s="1"/>
  <c r="AG262" i="1"/>
  <c r="AH262" i="1" s="1"/>
  <c r="AI262" i="1" s="1"/>
  <c r="AG260" i="1"/>
  <c r="AG254" i="1"/>
  <c r="AG252" i="1"/>
  <c r="AG247" i="1"/>
  <c r="AL247" i="1" s="1"/>
  <c r="AM247" i="1" s="1"/>
  <c r="AG244" i="1"/>
  <c r="AG239" i="1"/>
  <c r="AL239" i="1" s="1"/>
  <c r="AM239" i="1" s="1"/>
  <c r="AG238" i="1"/>
  <c r="AG232" i="1"/>
  <c r="AG231" i="1"/>
  <c r="AL231" i="1" s="1"/>
  <c r="AM231" i="1" s="1"/>
  <c r="AG230" i="1"/>
  <c r="AG223" i="1"/>
  <c r="AL223" i="1" s="1"/>
  <c r="AM223" i="1" s="1"/>
  <c r="AG222" i="1"/>
  <c r="AG220" i="1"/>
  <c r="AG216" i="1"/>
  <c r="AL216" i="1" s="1"/>
  <c r="AM216" i="1" s="1"/>
  <c r="AL215" i="1"/>
  <c r="AM215" i="1" s="1"/>
  <c r="AG215" i="1"/>
  <c r="AJ215" i="1"/>
  <c r="AK215" i="1" s="1"/>
  <c r="AG199" i="1"/>
  <c r="AL199" i="1" s="1"/>
  <c r="AM199" i="1" s="1"/>
  <c r="AG191" i="1"/>
  <c r="AL191" i="1" s="1"/>
  <c r="AM191" i="1" s="1"/>
  <c r="AG190" i="1"/>
  <c r="AJ190" i="1" s="1"/>
  <c r="AK190" i="1" s="1"/>
  <c r="AG180" i="1"/>
  <c r="AH180" i="1" s="1"/>
  <c r="AI180" i="1" s="1"/>
  <c r="AG179" i="1"/>
  <c r="AH179" i="1" s="1"/>
  <c r="AI179" i="1" s="1"/>
  <c r="AG177" i="1"/>
  <c r="AG175" i="1"/>
  <c r="AG173" i="1"/>
  <c r="AG172" i="1"/>
  <c r="AH172" i="1" s="1"/>
  <c r="AI172" i="1" s="1"/>
  <c r="AG164" i="1"/>
  <c r="AH164" i="1" s="1"/>
  <c r="AI164" i="1" s="1"/>
  <c r="AG163" i="1"/>
  <c r="AH163" i="1"/>
  <c r="AI163" i="1" s="1"/>
  <c r="AG161" i="1"/>
  <c r="AG156" i="1"/>
  <c r="AH156" i="1" s="1"/>
  <c r="AI156" i="1" s="1"/>
  <c r="AG149" i="1"/>
  <c r="AG147" i="1"/>
  <c r="AG145" i="1"/>
  <c r="AG142" i="1"/>
  <c r="AG140" i="1"/>
  <c r="AG139" i="1"/>
  <c r="AG137" i="1"/>
  <c r="AG132" i="1"/>
  <c r="AH132" i="1" s="1"/>
  <c r="AI132" i="1" s="1"/>
  <c r="AG131" i="1"/>
  <c r="AG129" i="1"/>
  <c r="AG125" i="1"/>
  <c r="AL125" i="1" s="1"/>
  <c r="AG124" i="1"/>
  <c r="AH124" i="1" s="1"/>
  <c r="AI124" i="1" s="1"/>
  <c r="AG123" i="1"/>
  <c r="AG116" i="1"/>
  <c r="AH116" i="1" s="1"/>
  <c r="AI116" i="1" s="1"/>
  <c r="AG115" i="1"/>
  <c r="AG113" i="1"/>
  <c r="AG109" i="1"/>
  <c r="AL109" i="1" s="1"/>
  <c r="AM109" i="1" s="1"/>
  <c r="AG99" i="1"/>
  <c r="AG97" i="1"/>
  <c r="AG95" i="1"/>
  <c r="AG92" i="1"/>
  <c r="AH92" i="1" s="1"/>
  <c r="AI92" i="1" s="1"/>
  <c r="AG87" i="1"/>
  <c r="AG84" i="1"/>
  <c r="AH84" i="1" s="1"/>
  <c r="AI84" i="1" s="1"/>
  <c r="AG83" i="1"/>
  <c r="AG76" i="1"/>
  <c r="AH76" i="1" s="1"/>
  <c r="AI76" i="1" s="1"/>
  <c r="AG75" i="1"/>
  <c r="AG68" i="1"/>
  <c r="AL68" i="1" s="1"/>
  <c r="AM68" i="1" s="1"/>
  <c r="AG67" i="1"/>
  <c r="AG54" i="1"/>
  <c r="AG52" i="1"/>
  <c r="AG51" i="1"/>
  <c r="AG49" i="1"/>
  <c r="AG45" i="1"/>
  <c r="AL45" i="1" s="1"/>
  <c r="AM45" i="1" s="1"/>
  <c r="AG43" i="1"/>
  <c r="AG42" i="1"/>
  <c r="AL42" i="1" s="1"/>
  <c r="AM42" i="1" s="1"/>
  <c r="AG35" i="1"/>
  <c r="AG26" i="1"/>
  <c r="AL26" i="1" s="1"/>
  <c r="AM26" i="1" s="1"/>
  <c r="AG24" i="1"/>
  <c r="AL24" i="1" s="1"/>
  <c r="AM24" i="1" s="1"/>
  <c r="AG19" i="1"/>
  <c r="AG18" i="1"/>
  <c r="AL18" i="1" s="1"/>
  <c r="AM18" i="1" s="1"/>
  <c r="AG11" i="1"/>
  <c r="AG10" i="1"/>
  <c r="AL10" i="1" s="1"/>
  <c r="AG8" i="1"/>
  <c r="AL8" i="1" s="1"/>
  <c r="AM8" i="1" s="1"/>
  <c r="AG3" i="1"/>
  <c r="AJ1233" i="1" l="1"/>
  <c r="AK1233" i="1" s="1"/>
  <c r="AL941" i="1"/>
  <c r="AM941" i="1" s="1"/>
  <c r="AH712" i="1"/>
  <c r="AI712" i="1" s="1"/>
  <c r="AL704" i="1"/>
  <c r="AH42" i="1"/>
  <c r="AI42" i="1" s="1"/>
  <c r="AH484" i="1"/>
  <c r="AI484" i="1" s="1"/>
  <c r="AH544" i="1"/>
  <c r="AI544" i="1" s="1"/>
  <c r="AH657" i="1"/>
  <c r="AI657" i="1" s="1"/>
  <c r="AL869" i="1"/>
  <c r="AM869" i="1" s="1"/>
  <c r="AH898" i="1"/>
  <c r="AI898" i="1" s="1"/>
  <c r="AH1287" i="1"/>
  <c r="AI1287" i="1" s="1"/>
  <c r="AJ18" i="1"/>
  <c r="AK18" i="1" s="1"/>
  <c r="AH704" i="1"/>
  <c r="AI704" i="1" s="1"/>
  <c r="AJ729" i="1"/>
  <c r="AK729" i="1" s="1"/>
  <c r="AJ745" i="1"/>
  <c r="AH1082" i="1"/>
  <c r="AI1082" i="1" s="1"/>
  <c r="AL931" i="1"/>
  <c r="AM931" i="1" s="1"/>
  <c r="AJ931" i="1"/>
  <c r="AK931" i="1" s="1"/>
  <c r="AL460" i="1"/>
  <c r="AM460" i="1" s="1"/>
  <c r="AH460" i="1"/>
  <c r="AI460" i="1" s="1"/>
  <c r="AL915" i="1"/>
  <c r="AM915" i="1" s="1"/>
  <c r="AJ915" i="1"/>
  <c r="AK915" i="1" s="1"/>
  <c r="AL442" i="1"/>
  <c r="AM442" i="1" s="1"/>
  <c r="AH442" i="1"/>
  <c r="AI442" i="1" s="1"/>
  <c r="AJ442" i="1"/>
  <c r="AK442" i="1" s="1"/>
  <c r="AL208" i="1"/>
  <c r="AM208" i="1" s="1"/>
  <c r="AH208" i="1"/>
  <c r="AI208" i="1" s="1"/>
  <c r="AL1333" i="1"/>
  <c r="AH1333" i="1"/>
  <c r="AI1333" i="1" s="1"/>
  <c r="AL983" i="1"/>
  <c r="AM983" i="1" s="1"/>
  <c r="AJ983" i="1"/>
  <c r="AJ301" i="1"/>
  <c r="AJ311" i="1"/>
  <c r="AJ498" i="1"/>
  <c r="AK498" i="1" s="1"/>
  <c r="AJ610" i="1"/>
  <c r="AK610" i="1" s="1"/>
  <c r="AJ678" i="1"/>
  <c r="AK678" i="1" s="1"/>
  <c r="AJ779" i="1"/>
  <c r="AK779" i="1" s="1"/>
  <c r="AJ949" i="1"/>
  <c r="AK949" i="1" s="1"/>
  <c r="AJ1098" i="1"/>
  <c r="AK1098" i="1" s="1"/>
  <c r="AJ1179" i="1"/>
  <c r="AK1179" i="1" s="1"/>
  <c r="AB1520" i="1"/>
  <c r="AG1520" i="1" s="1"/>
  <c r="AJ1520" i="1" s="1"/>
  <c r="AK1520" i="1" s="1"/>
  <c r="AB444" i="1"/>
  <c r="AG444" i="1" s="1"/>
  <c r="AH444" i="1" s="1"/>
  <c r="AI444" i="1" s="1"/>
  <c r="AJ1085" i="1"/>
  <c r="AK1085" i="1" s="1"/>
  <c r="AJ180" i="1"/>
  <c r="AK180" i="1" s="1"/>
  <c r="AJ239" i="1"/>
  <c r="AK239" i="1" s="1"/>
  <c r="AH498" i="1"/>
  <c r="AI498" i="1" s="1"/>
  <c r="AL610" i="1"/>
  <c r="AM610" i="1" s="1"/>
  <c r="AJ632" i="1"/>
  <c r="AK632" i="1" s="1"/>
  <c r="AJ881" i="1"/>
  <c r="AK881" i="1" s="1"/>
  <c r="AL971" i="1"/>
  <c r="AM971" i="1" s="1"/>
  <c r="AL1391" i="1"/>
  <c r="AM1391" i="1" s="1"/>
  <c r="AJ156" i="1"/>
  <c r="AK156" i="1" s="1"/>
  <c r="AL255" i="1"/>
  <c r="AM255" i="1" s="1"/>
  <c r="AJ343" i="1"/>
  <c r="AL462" i="1"/>
  <c r="AM462" i="1" s="1"/>
  <c r="AJ554" i="1"/>
  <c r="AK554" i="1" s="1"/>
  <c r="AL720" i="1"/>
  <c r="AM720" i="1" s="1"/>
  <c r="AJ811" i="1"/>
  <c r="AK811" i="1" s="1"/>
  <c r="AH1591" i="1"/>
  <c r="AI1591" i="1" s="1"/>
  <c r="AJ327" i="1"/>
  <c r="AK327" i="1" s="1"/>
  <c r="AJ713" i="1"/>
  <c r="AK713" i="1" s="1"/>
  <c r="AJ926" i="1"/>
  <c r="AK926" i="1" s="1"/>
  <c r="AL987" i="1"/>
  <c r="AM987" i="1" s="1"/>
  <c r="AJ1025" i="1"/>
  <c r="AH1090" i="1"/>
  <c r="AI1090" i="1" s="1"/>
  <c r="AJ1335" i="1"/>
  <c r="AK1335" i="1" s="1"/>
  <c r="AJ444" i="1"/>
  <c r="AK444" i="1" s="1"/>
  <c r="AJ492" i="1"/>
  <c r="AK492" i="1" s="1"/>
  <c r="AJ674" i="1"/>
  <c r="AK674" i="1" s="1"/>
  <c r="AJ1245" i="1"/>
  <c r="AK1245" i="1" s="1"/>
  <c r="AL190" i="1"/>
  <c r="AM190" i="1" s="1"/>
  <c r="AJ365" i="1"/>
  <c r="AH603" i="1"/>
  <c r="AI603" i="1" s="1"/>
  <c r="AJ753" i="1"/>
  <c r="AK753" i="1" s="1"/>
  <c r="AJ840" i="1"/>
  <c r="AK840" i="1" s="1"/>
  <c r="AH1050" i="1"/>
  <c r="AI1050" i="1" s="1"/>
  <c r="AJ1281" i="1"/>
  <c r="AK1281" i="1" s="1"/>
  <c r="AL1416" i="1"/>
  <c r="AM1416" i="1" s="1"/>
  <c r="AH1416" i="1"/>
  <c r="AI1416" i="1" s="1"/>
  <c r="AH1621" i="1"/>
  <c r="AI1621" i="1" s="1"/>
  <c r="AJ1621" i="1"/>
  <c r="AK1621" i="1" s="1"/>
  <c r="AL1599" i="1"/>
  <c r="AM1599" i="1" s="1"/>
  <c r="AH1599" i="1"/>
  <c r="AI1599" i="1" s="1"/>
  <c r="AJ1418" i="1"/>
  <c r="AK1418" i="1" s="1"/>
  <c r="AL1418" i="1"/>
  <c r="AM1418" i="1" s="1"/>
  <c r="AL1291" i="1"/>
  <c r="AM1291" i="1" s="1"/>
  <c r="AH1291" i="1"/>
  <c r="AI1291" i="1" s="1"/>
  <c r="AJ1283" i="1"/>
  <c r="AK1283" i="1" s="1"/>
  <c r="AL1283" i="1"/>
  <c r="AL1187" i="1"/>
  <c r="AJ1187" i="1"/>
  <c r="AK1187" i="1" s="1"/>
  <c r="AH1180" i="1"/>
  <c r="AI1180" i="1" s="1"/>
  <c r="AJ1180" i="1"/>
  <c r="AK1180" i="1" s="1"/>
  <c r="AL1180" i="1"/>
  <c r="AM1180" i="1" s="1"/>
  <c r="AL1107" i="1"/>
  <c r="AM1107" i="1" s="1"/>
  <c r="AJ1107" i="1"/>
  <c r="AK1107" i="1" s="1"/>
  <c r="AH1107" i="1"/>
  <c r="AI1107" i="1" s="1"/>
  <c r="AJ1033" i="1"/>
  <c r="AK1033" i="1" s="1"/>
  <c r="AL1033" i="1"/>
  <c r="AM1033" i="1" s="1"/>
  <c r="AH1033" i="1"/>
  <c r="AI1033" i="1" s="1"/>
  <c r="AJ922" i="1"/>
  <c r="AK922" i="1" s="1"/>
  <c r="AH922" i="1"/>
  <c r="AI922" i="1" s="1"/>
  <c r="AL875" i="1"/>
  <c r="AM875" i="1" s="1"/>
  <c r="AH875" i="1"/>
  <c r="AI875" i="1" s="1"/>
  <c r="AL676" i="1"/>
  <c r="AM676" i="1" s="1"/>
  <c r="AH676" i="1"/>
  <c r="AI676" i="1" s="1"/>
  <c r="AJ676" i="1"/>
  <c r="AK676" i="1" s="1"/>
  <c r="AL668" i="1"/>
  <c r="AM668" i="1" s="1"/>
  <c r="AH668" i="1"/>
  <c r="AI668" i="1" s="1"/>
  <c r="AJ668" i="1"/>
  <c r="AK668" i="1" s="1"/>
  <c r="AH594" i="1"/>
  <c r="AI594" i="1" s="1"/>
  <c r="AJ594" i="1"/>
  <c r="AK594" i="1" s="1"/>
  <c r="AL550" i="1"/>
  <c r="AM550" i="1" s="1"/>
  <c r="AJ550" i="1"/>
  <c r="AK550" i="1" s="1"/>
  <c r="AH550" i="1"/>
  <c r="AI550" i="1" s="1"/>
  <c r="AL486" i="1"/>
  <c r="AM486" i="1" s="1"/>
  <c r="AJ486" i="1"/>
  <c r="AK486" i="1" s="1"/>
  <c r="AH470" i="1"/>
  <c r="AI470" i="1" s="1"/>
  <c r="AL470" i="1"/>
  <c r="AJ470" i="1"/>
  <c r="AK470" i="1" s="1"/>
  <c r="AL367" i="1"/>
  <c r="AM367" i="1" s="1"/>
  <c r="AJ367" i="1"/>
  <c r="AK367" i="1" s="1"/>
  <c r="AH1613" i="1"/>
  <c r="AI1613" i="1" s="1"/>
  <c r="AL1613" i="1"/>
  <c r="AM1613" i="1" s="1"/>
  <c r="AH1605" i="1"/>
  <c r="AI1605" i="1" s="1"/>
  <c r="AL1605" i="1"/>
  <c r="AM1605" i="1" s="1"/>
  <c r="AJ1605" i="1"/>
  <c r="AK1605" i="1" s="1"/>
  <c r="AL1544" i="1"/>
  <c r="AM1544" i="1" s="1"/>
  <c r="AH1544" i="1"/>
  <c r="AI1544" i="1" s="1"/>
  <c r="AJ1450" i="1"/>
  <c r="AK1450" i="1" s="1"/>
  <c r="AL1450" i="1"/>
  <c r="AM1450" i="1" s="1"/>
  <c r="AH1450" i="1"/>
  <c r="AI1450" i="1" s="1"/>
  <c r="AL1310" i="1"/>
  <c r="AM1310" i="1" s="1"/>
  <c r="AJ1310" i="1"/>
  <c r="AK1310" i="1" s="1"/>
  <c r="AL1099" i="1"/>
  <c r="AM1099" i="1" s="1"/>
  <c r="AH1099" i="1"/>
  <c r="AI1099" i="1" s="1"/>
  <c r="AJ1099" i="1"/>
  <c r="AK1099" i="1" s="1"/>
  <c r="AL1091" i="1"/>
  <c r="AM1091" i="1" s="1"/>
  <c r="AH1091" i="1"/>
  <c r="AI1091" i="1" s="1"/>
  <c r="AH1017" i="1"/>
  <c r="AI1017" i="1" s="1"/>
  <c r="AJ1017" i="1"/>
  <c r="AK1017" i="1" s="1"/>
  <c r="AJ859" i="1"/>
  <c r="AK859" i="1" s="1"/>
  <c r="AL859" i="1"/>
  <c r="AM859" i="1" s="1"/>
  <c r="AH859" i="1"/>
  <c r="AL819" i="1"/>
  <c r="AM819" i="1" s="1"/>
  <c r="AJ819" i="1"/>
  <c r="AK819" i="1" s="1"/>
  <c r="AL643" i="1"/>
  <c r="AH643" i="1"/>
  <c r="AI643" i="1" s="1"/>
  <c r="AH1581" i="1"/>
  <c r="AI1581" i="1" s="1"/>
  <c r="AJ1581" i="1"/>
  <c r="AK1581" i="1" s="1"/>
  <c r="AL1581" i="1"/>
  <c r="AM1581" i="1" s="1"/>
  <c r="AL1486" i="1"/>
  <c r="AM1486" i="1" s="1"/>
  <c r="AJ1486" i="1"/>
  <c r="AH1486" i="1"/>
  <c r="AI1486" i="1" s="1"/>
  <c r="AL1341" i="1"/>
  <c r="AM1341" i="1" s="1"/>
  <c r="AH1341" i="1"/>
  <c r="AI1341" i="1" s="1"/>
  <c r="AL1589" i="1"/>
  <c r="AM1589" i="1" s="1"/>
  <c r="AJ1589" i="1"/>
  <c r="AK1589" i="1" s="1"/>
  <c r="AH1589" i="1"/>
  <c r="AH1617" i="1"/>
  <c r="AI1617" i="1" s="1"/>
  <c r="AL1617" i="1"/>
  <c r="AM1617" i="1" s="1"/>
  <c r="AJ1617" i="1"/>
  <c r="AK1617" i="1" s="1"/>
  <c r="AL1609" i="1"/>
  <c r="AM1609" i="1" s="1"/>
  <c r="AH1609" i="1"/>
  <c r="AI1609" i="1" s="1"/>
  <c r="AL1379" i="1"/>
  <c r="AH1379" i="1"/>
  <c r="AI1379" i="1" s="1"/>
  <c r="AH1279" i="1"/>
  <c r="AI1279" i="1" s="1"/>
  <c r="AJ1279" i="1"/>
  <c r="AK1279" i="1" s="1"/>
  <c r="AL1279" i="1"/>
  <c r="AJ1235" i="1"/>
  <c r="AK1235" i="1" s="1"/>
  <c r="AL1235" i="1"/>
  <c r="AM1235" i="1" s="1"/>
  <c r="AH1235" i="1"/>
  <c r="AI1235" i="1" s="1"/>
  <c r="AL1597" i="1"/>
  <c r="AM1597" i="1" s="1"/>
  <c r="AH1597" i="1"/>
  <c r="AI1597" i="1" s="1"/>
  <c r="AJ1597" i="1"/>
  <c r="AK1597" i="1" s="1"/>
  <c r="AJ1601" i="1"/>
  <c r="AK1601" i="1" s="1"/>
  <c r="AH1601" i="1"/>
  <c r="AI1601" i="1" s="1"/>
  <c r="AL1601" i="1"/>
  <c r="AM1601" i="1" s="1"/>
  <c r="AL1593" i="1"/>
  <c r="AM1593" i="1" s="1"/>
  <c r="AJ1593" i="1"/>
  <c r="AH1593" i="1"/>
  <c r="AI1593" i="1" s="1"/>
  <c r="AL1585" i="1"/>
  <c r="AM1585" i="1" s="1"/>
  <c r="AJ1585" i="1"/>
  <c r="AK1585" i="1" s="1"/>
  <c r="AH1585" i="1"/>
  <c r="AL1510" i="1"/>
  <c r="AM1510" i="1" s="1"/>
  <c r="AH1510" i="1"/>
  <c r="AI1510" i="1" s="1"/>
  <c r="AJ1510" i="1"/>
  <c r="AK1510" i="1" s="1"/>
  <c r="AL1352" i="1"/>
  <c r="AM1352" i="1" s="1"/>
  <c r="AJ1352" i="1"/>
  <c r="AK1352" i="1" s="1"/>
  <c r="AL1203" i="1"/>
  <c r="AJ1203" i="1"/>
  <c r="AK1203" i="1" s="1"/>
  <c r="AJ26" i="1"/>
  <c r="AK26" i="1" s="1"/>
  <c r="AJ405" i="1"/>
  <c r="AK405" i="1" s="1"/>
  <c r="AJ600" i="1"/>
  <c r="AK600" i="1" s="1"/>
  <c r="AL1106" i="1"/>
  <c r="AM1106" i="1" s="1"/>
  <c r="AJ1106" i="1"/>
  <c r="AK1106" i="1" s="1"/>
  <c r="AH68" i="1"/>
  <c r="AI68" i="1" s="1"/>
  <c r="AJ84" i="1"/>
  <c r="AK84" i="1" s="1"/>
  <c r="AJ132" i="1"/>
  <c r="AH192" i="1"/>
  <c r="AI192" i="1" s="1"/>
  <c r="AJ484" i="1"/>
  <c r="AK484" i="1" s="1"/>
  <c r="AJ544" i="1"/>
  <c r="AK544" i="1" s="1"/>
  <c r="AJ562" i="1"/>
  <c r="AK562" i="1" s="1"/>
  <c r="AH619" i="1"/>
  <c r="AI619" i="1" s="1"/>
  <c r="AL680" i="1"/>
  <c r="AM680" i="1" s="1"/>
  <c r="AJ695" i="1"/>
  <c r="AK695" i="1" s="1"/>
  <c r="AL712" i="1"/>
  <c r="AM712" i="1" s="1"/>
  <c r="AL795" i="1"/>
  <c r="AM795" i="1" s="1"/>
  <c r="AJ853" i="1"/>
  <c r="AK853" i="1" s="1"/>
  <c r="AH931" i="1"/>
  <c r="AI931" i="1" s="1"/>
  <c r="AJ941" i="1"/>
  <c r="AK941" i="1" s="1"/>
  <c r="AJ950" i="1"/>
  <c r="AK950" i="1" s="1"/>
  <c r="AJ1041" i="1"/>
  <c r="AL1041" i="1"/>
  <c r="AM1041" i="1" s="1"/>
  <c r="AH1041" i="1"/>
  <c r="AI1041" i="1" s="1"/>
  <c r="AH1076" i="1"/>
  <c r="AL1098" i="1"/>
  <c r="AM1098" i="1" s="1"/>
  <c r="AH1098" i="1"/>
  <c r="AI1098" i="1" s="1"/>
  <c r="AL1228" i="1"/>
  <c r="AM1228" i="1" s="1"/>
  <c r="AH1228" i="1"/>
  <c r="AI1228" i="1" s="1"/>
  <c r="AJ1420" i="1"/>
  <c r="AK1420" i="1" s="1"/>
  <c r="AL1570" i="1"/>
  <c r="AM1570" i="1" s="1"/>
  <c r="AH1587" i="1"/>
  <c r="AI1587" i="1" s="1"/>
  <c r="AH1018" i="1"/>
  <c r="AI1018" i="1" s="1"/>
  <c r="AL1542" i="1"/>
  <c r="AM1542" i="1" s="1"/>
  <c r="AH1542" i="1"/>
  <c r="AI1542" i="1" s="1"/>
  <c r="AH301" i="1"/>
  <c r="AI301" i="1" s="1"/>
  <c r="AJ397" i="1"/>
  <c r="AK397" i="1" s="1"/>
  <c r="AJ462" i="1"/>
  <c r="AK462" i="1" s="1"/>
  <c r="AJ910" i="1"/>
  <c r="AK910" i="1" s="1"/>
  <c r="AL1019" i="1"/>
  <c r="AM1019" i="1" s="1"/>
  <c r="AJ1019" i="1"/>
  <c r="AK1019" i="1" s="1"/>
  <c r="AH1042" i="1"/>
  <c r="AI1042" i="1" s="1"/>
  <c r="AL1076" i="1"/>
  <c r="AM1076" i="1" s="1"/>
  <c r="AL1090" i="1"/>
  <c r="AM1090" i="1" s="1"/>
  <c r="AJ1090" i="1"/>
  <c r="AK1090" i="1" s="1"/>
  <c r="AL1211" i="1"/>
  <c r="AM1211" i="1" s="1"/>
  <c r="AJ1211" i="1"/>
  <c r="AK1211" i="1" s="1"/>
  <c r="AJ1442" i="1"/>
  <c r="AK1442" i="1" s="1"/>
  <c r="AL1442" i="1"/>
  <c r="AH1570" i="1"/>
  <c r="AI1570" i="1" s="1"/>
  <c r="AL359" i="1"/>
  <c r="AM359" i="1" s="1"/>
  <c r="AJ413" i="1"/>
  <c r="AK413" i="1" s="1"/>
  <c r="AL1065" i="1"/>
  <c r="AM1065" i="1" s="1"/>
  <c r="AH1065" i="1"/>
  <c r="AI1065" i="1" s="1"/>
  <c r="AL1141" i="1"/>
  <c r="AM1141" i="1" s="1"/>
  <c r="AL1227" i="1"/>
  <c r="AM1227" i="1" s="1"/>
  <c r="AJ1227" i="1"/>
  <c r="AK1227" i="1" s="1"/>
  <c r="AH1359" i="1"/>
  <c r="AJ1496" i="1"/>
  <c r="AK1496" i="1" s="1"/>
  <c r="AH1496" i="1"/>
  <c r="AI1496" i="1" s="1"/>
  <c r="AJ85" i="1"/>
  <c r="AK85" i="1" s="1"/>
  <c r="AH114" i="1"/>
  <c r="AI114" i="1" s="1"/>
  <c r="AJ124" i="1"/>
  <c r="AK124" i="1" s="1"/>
  <c r="AJ148" i="1"/>
  <c r="AK148" i="1" s="1"/>
  <c r="AJ172" i="1"/>
  <c r="AK172" i="1" s="1"/>
  <c r="AJ287" i="1"/>
  <c r="AK287" i="1" s="1"/>
  <c r="AJ335" i="1"/>
  <c r="AK335" i="1" s="1"/>
  <c r="AJ391" i="1"/>
  <c r="AK391" i="1" s="1"/>
  <c r="AJ415" i="1"/>
  <c r="AK415" i="1" s="1"/>
  <c r="AJ436" i="1"/>
  <c r="AK436" i="1" s="1"/>
  <c r="AJ506" i="1"/>
  <c r="AL562" i="1"/>
  <c r="AM562" i="1" s="1"/>
  <c r="AJ682" i="1"/>
  <c r="AK682" i="1" s="1"/>
  <c r="AH696" i="1"/>
  <c r="AJ721" i="1"/>
  <c r="AK721" i="1" s="1"/>
  <c r="AJ758" i="1"/>
  <c r="AH994" i="1"/>
  <c r="AI994" i="1" s="1"/>
  <c r="AL1057" i="1"/>
  <c r="AM1057" i="1" s="1"/>
  <c r="AH1057" i="1"/>
  <c r="AI1057" i="1" s="1"/>
  <c r="AH1488" i="1"/>
  <c r="AI1488" i="1" s="1"/>
  <c r="AL1547" i="1"/>
  <c r="AH1547" i="1"/>
  <c r="AI1547" i="1" s="1"/>
  <c r="AH1574" i="1"/>
  <c r="AL1011" i="1"/>
  <c r="AM1011" i="1" s="1"/>
  <c r="AJ1011" i="1"/>
  <c r="AK1011" i="1" s="1"/>
  <c r="AL1023" i="1"/>
  <c r="AM1023" i="1" s="1"/>
  <c r="AJ1023" i="1"/>
  <c r="AK1023" i="1" s="1"/>
  <c r="AL1294" i="1"/>
  <c r="AJ1294" i="1"/>
  <c r="AK1294" i="1" s="1"/>
  <c r="AL1337" i="1"/>
  <c r="AJ1337" i="1"/>
  <c r="AK1337" i="1" s="1"/>
  <c r="AL1367" i="1"/>
  <c r="AM1367" i="1" s="1"/>
  <c r="AJ1367" i="1"/>
  <c r="AK1367" i="1" s="1"/>
  <c r="AJ1534" i="1"/>
  <c r="AK1534" i="1" s="1"/>
  <c r="AL1534" i="1"/>
  <c r="AM1534" i="1" s="1"/>
  <c r="AJ1574" i="1"/>
  <c r="AK1574" i="1" s="1"/>
  <c r="AJ10" i="1"/>
  <c r="AK10" i="1" s="1"/>
  <c r="AJ76" i="1"/>
  <c r="AJ125" i="1"/>
  <c r="AK125" i="1" s="1"/>
  <c r="AH216" i="1"/>
  <c r="AI216" i="1" s="1"/>
  <c r="AJ309" i="1"/>
  <c r="AK309" i="1" s="1"/>
  <c r="AJ317" i="1"/>
  <c r="AK317" i="1" s="1"/>
  <c r="AJ325" i="1"/>
  <c r="AK325" i="1" s="1"/>
  <c r="AJ381" i="1"/>
  <c r="AK381" i="1" s="1"/>
  <c r="AH506" i="1"/>
  <c r="AI506" i="1" s="1"/>
  <c r="AH587" i="1"/>
  <c r="AI587" i="1" s="1"/>
  <c r="AJ687" i="1"/>
  <c r="AK687" i="1" s="1"/>
  <c r="AL696" i="1"/>
  <c r="AM696" i="1" s="1"/>
  <c r="AJ761" i="1"/>
  <c r="AK761" i="1" s="1"/>
  <c r="AJ891" i="1"/>
  <c r="AH914" i="1"/>
  <c r="AI914" i="1" s="1"/>
  <c r="AH947" i="1"/>
  <c r="AI947" i="1" s="1"/>
  <c r="AL1015" i="1"/>
  <c r="AM1015" i="1" s="1"/>
  <c r="AH1015" i="1"/>
  <c r="AI1015" i="1" s="1"/>
  <c r="AH1023" i="1"/>
  <c r="AI1023" i="1" s="1"/>
  <c r="AH1034" i="1"/>
  <c r="AI1034" i="1" s="1"/>
  <c r="AJ1275" i="1"/>
  <c r="AK1275" i="1" s="1"/>
  <c r="AL1285" i="1"/>
  <c r="AH1285" i="1"/>
  <c r="AI1285" i="1" s="1"/>
  <c r="AH1367" i="1"/>
  <c r="AI1367" i="1" s="1"/>
  <c r="AL1426" i="1"/>
  <c r="AM1426" i="1" s="1"/>
  <c r="AJ1488" i="1"/>
  <c r="AJ1519" i="1"/>
  <c r="AK1519" i="1" s="1"/>
  <c r="AL1519" i="1"/>
  <c r="AM1519" i="1" s="1"/>
  <c r="AH1534" i="1"/>
  <c r="AJ1591" i="1"/>
  <c r="AK1591" i="1" s="1"/>
  <c r="AL1611" i="1"/>
  <c r="AM1611" i="1" s="1"/>
  <c r="AH1611" i="1"/>
  <c r="AI1611" i="1" s="1"/>
  <c r="AJ1538" i="1"/>
  <c r="AK1538" i="1" s="1"/>
  <c r="AL1538" i="1"/>
  <c r="AM1538" i="1" s="1"/>
  <c r="AJ100" i="1"/>
  <c r="AK100" i="1" s="1"/>
  <c r="AJ116" i="1"/>
  <c r="AJ164" i="1"/>
  <c r="AK164" i="1" s="1"/>
  <c r="AJ349" i="1"/>
  <c r="AK349" i="1" s="1"/>
  <c r="AJ373" i="1"/>
  <c r="AK373" i="1" s="1"/>
  <c r="AH430" i="1"/>
  <c r="AI430" i="1" s="1"/>
  <c r="AJ558" i="1"/>
  <c r="AK558" i="1" s="1"/>
  <c r="AJ574" i="1"/>
  <c r="AK574" i="1" s="1"/>
  <c r="AH627" i="1"/>
  <c r="AI627" i="1" s="1"/>
  <c r="AJ697" i="1"/>
  <c r="AK697" i="1" s="1"/>
  <c r="AJ719" i="1"/>
  <c r="AK719" i="1" s="1"/>
  <c r="AJ727" i="1"/>
  <c r="AK727" i="1" s="1"/>
  <c r="AJ861" i="1"/>
  <c r="AK861" i="1" s="1"/>
  <c r="AL891" i="1"/>
  <c r="AM891" i="1" s="1"/>
  <c r="AH1060" i="1"/>
  <c r="AI1060" i="1" s="1"/>
  <c r="AL1060" i="1"/>
  <c r="AM1060" i="1" s="1"/>
  <c r="AJ1069" i="1"/>
  <c r="AK1069" i="1" s="1"/>
  <c r="AL1092" i="1"/>
  <c r="AM1092" i="1" s="1"/>
  <c r="AH1236" i="1"/>
  <c r="AI1236" i="1" s="1"/>
  <c r="AL1275" i="1"/>
  <c r="AM1275" i="1" s="1"/>
  <c r="AJ1432" i="1"/>
  <c r="AK1432" i="1" s="1"/>
  <c r="AL1520" i="1"/>
  <c r="AM1520" i="1" s="1"/>
  <c r="AH1520" i="1"/>
  <c r="AJ35" i="1"/>
  <c r="AK35" i="1" s="1"/>
  <c r="AL35" i="1"/>
  <c r="AM35" i="1" s="1"/>
  <c r="AG143" i="1"/>
  <c r="AH143" i="1" s="1"/>
  <c r="AI143" i="1" s="1"/>
  <c r="AH13" i="1"/>
  <c r="AI13" i="1" s="1"/>
  <c r="AL21" i="1"/>
  <c r="AJ21" i="1"/>
  <c r="AK21" i="1" s="1"/>
  <c r="AH36" i="1"/>
  <c r="AI36" i="1" s="1"/>
  <c r="AL36" i="1"/>
  <c r="AJ36" i="1"/>
  <c r="AK36" i="1" s="1"/>
  <c r="AJ54" i="1"/>
  <c r="AK54" i="1" s="1"/>
  <c r="AH54" i="1"/>
  <c r="AI54" i="1" s="1"/>
  <c r="AL54" i="1"/>
  <c r="AM54" i="1" s="1"/>
  <c r="AG62" i="1"/>
  <c r="AH62" i="1" s="1"/>
  <c r="AI62" i="1" s="1"/>
  <c r="AG106" i="1"/>
  <c r="AL106" i="1" s="1"/>
  <c r="AM106" i="1" s="1"/>
  <c r="AH121" i="1"/>
  <c r="AI121" i="1" s="1"/>
  <c r="AL121" i="1"/>
  <c r="AM121" i="1" s="1"/>
  <c r="AJ121" i="1"/>
  <c r="AK121" i="1" s="1"/>
  <c r="AH155" i="1"/>
  <c r="AI155" i="1" s="1"/>
  <c r="AH169" i="1"/>
  <c r="AI169" i="1" s="1"/>
  <c r="AL169" i="1"/>
  <c r="AM169" i="1" s="1"/>
  <c r="AJ169" i="1"/>
  <c r="AK169" i="1" s="1"/>
  <c r="AL173" i="1"/>
  <c r="AM173" i="1" s="1"/>
  <c r="AJ173" i="1"/>
  <c r="AK173" i="1" s="1"/>
  <c r="AH173" i="1"/>
  <c r="AI173" i="1" s="1"/>
  <c r="AJ179" i="1"/>
  <c r="AK179" i="1" s="1"/>
  <c r="AL179" i="1"/>
  <c r="AM179" i="1" s="1"/>
  <c r="AL222" i="1"/>
  <c r="AJ222" i="1"/>
  <c r="AK222" i="1" s="1"/>
  <c r="AH222" i="1"/>
  <c r="AI222" i="1" s="1"/>
  <c r="AG282" i="1"/>
  <c r="AH282" i="1" s="1"/>
  <c r="AI282" i="1" s="1"/>
  <c r="AJ354" i="1"/>
  <c r="AH354" i="1"/>
  <c r="AI354" i="1" s="1"/>
  <c r="AL354" i="1"/>
  <c r="AM354" i="1" s="1"/>
  <c r="AL406" i="1"/>
  <c r="AM406" i="1" s="1"/>
  <c r="AJ406" i="1"/>
  <c r="AH406" i="1"/>
  <c r="AI406" i="1" s="1"/>
  <c r="AL93" i="1"/>
  <c r="AM93" i="1" s="1"/>
  <c r="AJ93" i="1"/>
  <c r="AK93" i="1" s="1"/>
  <c r="AH5" i="1"/>
  <c r="AJ13" i="1"/>
  <c r="AK13" i="1" s="1"/>
  <c r="AL13" i="1"/>
  <c r="AM13" i="1" s="1"/>
  <c r="AG37" i="1"/>
  <c r="AL37" i="1" s="1"/>
  <c r="AM37" i="1" s="1"/>
  <c r="AH75" i="1"/>
  <c r="AI75" i="1" s="1"/>
  <c r="AH91" i="1"/>
  <c r="AI91" i="1" s="1"/>
  <c r="AL95" i="1"/>
  <c r="AJ95" i="1"/>
  <c r="AK95" i="1" s="1"/>
  <c r="AH95" i="1"/>
  <c r="AI95" i="1" s="1"/>
  <c r="AH113" i="1"/>
  <c r="AI113" i="1" s="1"/>
  <c r="AL113" i="1"/>
  <c r="AM113" i="1" s="1"/>
  <c r="AJ113" i="1"/>
  <c r="AK113" i="1" s="1"/>
  <c r="AH137" i="1"/>
  <c r="AI137" i="1" s="1"/>
  <c r="AL137" i="1"/>
  <c r="AJ137" i="1"/>
  <c r="AK137" i="1" s="1"/>
  <c r="AH149" i="1"/>
  <c r="AI149" i="1" s="1"/>
  <c r="AJ155" i="1"/>
  <c r="AK155" i="1" s="1"/>
  <c r="AL155" i="1"/>
  <c r="AM155" i="1" s="1"/>
  <c r="AL318" i="1"/>
  <c r="AM318" i="1" s="1"/>
  <c r="AJ318" i="1"/>
  <c r="AK318" i="1" s="1"/>
  <c r="AH318" i="1"/>
  <c r="AJ5" i="1"/>
  <c r="AK5" i="1" s="1"/>
  <c r="AL5" i="1"/>
  <c r="AM5" i="1" s="1"/>
  <c r="AJ43" i="1"/>
  <c r="AK43" i="1" s="1"/>
  <c r="AH43" i="1"/>
  <c r="AI43" i="1" s="1"/>
  <c r="AL43" i="1"/>
  <c r="AM43" i="1" s="1"/>
  <c r="AH49" i="1"/>
  <c r="AI49" i="1" s="1"/>
  <c r="AL49" i="1"/>
  <c r="AM49" i="1" s="1"/>
  <c r="AJ49" i="1"/>
  <c r="AK49" i="1" s="1"/>
  <c r="AJ69" i="1"/>
  <c r="AK69" i="1" s="1"/>
  <c r="AJ75" i="1"/>
  <c r="AK75" i="1" s="1"/>
  <c r="AL75" i="1"/>
  <c r="AM75" i="1" s="1"/>
  <c r="AJ91" i="1"/>
  <c r="AL91" i="1"/>
  <c r="AM91" i="1" s="1"/>
  <c r="AL96" i="1"/>
  <c r="AM96" i="1" s="1"/>
  <c r="AJ96" i="1"/>
  <c r="AK96" i="1" s="1"/>
  <c r="AH96" i="1"/>
  <c r="AI96" i="1" s="1"/>
  <c r="AJ101" i="1"/>
  <c r="AK101" i="1" s="1"/>
  <c r="AG108" i="1"/>
  <c r="AJ108" i="1" s="1"/>
  <c r="AK108" i="1" s="1"/>
  <c r="AJ117" i="1"/>
  <c r="AK117" i="1" s="1"/>
  <c r="AH123" i="1"/>
  <c r="AI123" i="1" s="1"/>
  <c r="AH145" i="1"/>
  <c r="AI145" i="1" s="1"/>
  <c r="AL145" i="1"/>
  <c r="AM145" i="1" s="1"/>
  <c r="AJ145" i="1"/>
  <c r="AK145" i="1" s="1"/>
  <c r="AL149" i="1"/>
  <c r="AM149" i="1" s="1"/>
  <c r="AJ149" i="1"/>
  <c r="AK149" i="1" s="1"/>
  <c r="AH171" i="1"/>
  <c r="AI171" i="1" s="1"/>
  <c r="AL175" i="1"/>
  <c r="AM175" i="1" s="1"/>
  <c r="AJ175" i="1"/>
  <c r="AK175" i="1" s="1"/>
  <c r="AH175" i="1"/>
  <c r="AI175" i="1" s="1"/>
  <c r="AH185" i="1"/>
  <c r="AI185" i="1" s="1"/>
  <c r="AL185" i="1"/>
  <c r="AM185" i="1" s="1"/>
  <c r="AJ185" i="1"/>
  <c r="AK185" i="1" s="1"/>
  <c r="AJ274" i="1"/>
  <c r="AK274" i="1" s="1"/>
  <c r="AH274" i="1"/>
  <c r="AI274" i="1" s="1"/>
  <c r="AL274" i="1"/>
  <c r="AM274" i="1" s="1"/>
  <c r="AG426" i="1"/>
  <c r="AH426" i="1" s="1"/>
  <c r="AI426" i="1" s="1"/>
  <c r="AJ457" i="1"/>
  <c r="AH457" i="1"/>
  <c r="AI457" i="1" s="1"/>
  <c r="AL457" i="1"/>
  <c r="AM457" i="1" s="1"/>
  <c r="AH97" i="1"/>
  <c r="AI97" i="1" s="1"/>
  <c r="AL97" i="1"/>
  <c r="AM97" i="1" s="1"/>
  <c r="AJ97" i="1"/>
  <c r="AK97" i="1" s="1"/>
  <c r="AJ109" i="1"/>
  <c r="AK109" i="1" s="1"/>
  <c r="AJ123" i="1"/>
  <c r="AL123" i="1"/>
  <c r="AM123" i="1" s="1"/>
  <c r="AJ133" i="1"/>
  <c r="AJ139" i="1"/>
  <c r="AK139" i="1" s="1"/>
  <c r="AH139" i="1"/>
  <c r="AI139" i="1" s="1"/>
  <c r="AL139" i="1"/>
  <c r="AM139" i="1" s="1"/>
  <c r="AH161" i="1"/>
  <c r="AI161" i="1" s="1"/>
  <c r="AL161" i="1"/>
  <c r="AM161" i="1" s="1"/>
  <c r="AJ161" i="1"/>
  <c r="AK161" i="1" s="1"/>
  <c r="AL165" i="1"/>
  <c r="AM165" i="1" s="1"/>
  <c r="AJ165" i="1"/>
  <c r="AK165" i="1" s="1"/>
  <c r="AH165" i="1"/>
  <c r="AI165" i="1" s="1"/>
  <c r="AJ171" i="1"/>
  <c r="AK171" i="1" s="1"/>
  <c r="AL171" i="1"/>
  <c r="AM171" i="1" s="1"/>
  <c r="AG386" i="1"/>
  <c r="AJ386" i="1" s="1"/>
  <c r="AK386" i="1" s="1"/>
  <c r="AJ3" i="1"/>
  <c r="AK3" i="1" s="1"/>
  <c r="AH3" i="1"/>
  <c r="AI3" i="1" s="1"/>
  <c r="AL3" i="1"/>
  <c r="AM3" i="1" s="1"/>
  <c r="AJ131" i="1"/>
  <c r="AK131" i="1" s="1"/>
  <c r="AH131" i="1"/>
  <c r="AI131" i="1" s="1"/>
  <c r="AL131" i="1"/>
  <c r="AM131" i="1" s="1"/>
  <c r="AG1" i="1"/>
  <c r="AJ19" i="1"/>
  <c r="AK19" i="1" s="1"/>
  <c r="AH27" i="1"/>
  <c r="AL27" i="1"/>
  <c r="AM27" i="1" s="1"/>
  <c r="AJ45" i="1"/>
  <c r="AK45" i="1" s="1"/>
  <c r="AL98" i="1"/>
  <c r="AM98" i="1" s="1"/>
  <c r="AJ98" i="1"/>
  <c r="AK98" i="1" s="1"/>
  <c r="AH98" i="1"/>
  <c r="AI98" i="1" s="1"/>
  <c r="AH140" i="1"/>
  <c r="AI140" i="1" s="1"/>
  <c r="AL140" i="1"/>
  <c r="AM140" i="1" s="1"/>
  <c r="AJ140" i="1"/>
  <c r="AK140" i="1" s="1"/>
  <c r="AH147" i="1"/>
  <c r="AI147" i="1" s="1"/>
  <c r="AG202" i="1"/>
  <c r="AJ202" i="1" s="1"/>
  <c r="AK202" i="1" s="1"/>
  <c r="AL230" i="1"/>
  <c r="AM230" i="1" s="1"/>
  <c r="AJ230" i="1"/>
  <c r="AK230" i="1" s="1"/>
  <c r="AH230" i="1"/>
  <c r="AI230" i="1" s="1"/>
  <c r="AG338" i="1"/>
  <c r="AJ338" i="1" s="1"/>
  <c r="AK338" i="1" s="1"/>
  <c r="AL53" i="1"/>
  <c r="AM53" i="1" s="1"/>
  <c r="AJ53" i="1"/>
  <c r="AK53" i="1" s="1"/>
  <c r="AH53" i="1"/>
  <c r="AI53" i="1" s="1"/>
  <c r="AG61" i="1"/>
  <c r="AL61" i="1" s="1"/>
  <c r="AM61" i="1" s="1"/>
  <c r="AG105" i="1"/>
  <c r="AH2" i="1"/>
  <c r="AI2" i="1" s="1"/>
  <c r="AL2" i="1"/>
  <c r="AM2" i="1" s="1"/>
  <c r="AJ2" i="1"/>
  <c r="AK2" i="1" s="1"/>
  <c r="AJ11" i="1"/>
  <c r="AH19" i="1"/>
  <c r="AI19" i="1" s="1"/>
  <c r="AL19" i="1"/>
  <c r="AM19" i="1" s="1"/>
  <c r="AJ51" i="1"/>
  <c r="AK51" i="1" s="1"/>
  <c r="AH51" i="1"/>
  <c r="AI51" i="1" s="1"/>
  <c r="AL51" i="1"/>
  <c r="AM51" i="1" s="1"/>
  <c r="AH67" i="1"/>
  <c r="AI67" i="1" s="1"/>
  <c r="AH83" i="1"/>
  <c r="AI83" i="1" s="1"/>
  <c r="AL87" i="1"/>
  <c r="AM87" i="1" s="1"/>
  <c r="AJ87" i="1"/>
  <c r="AH87" i="1"/>
  <c r="AI87" i="1" s="1"/>
  <c r="AH99" i="1"/>
  <c r="AI99" i="1" s="1"/>
  <c r="AH115" i="1"/>
  <c r="AI115" i="1" s="1"/>
  <c r="AH129" i="1"/>
  <c r="AI129" i="1" s="1"/>
  <c r="AL129" i="1"/>
  <c r="AM129" i="1" s="1"/>
  <c r="AJ129" i="1"/>
  <c r="AK129" i="1" s="1"/>
  <c r="AL141" i="1"/>
  <c r="AM141" i="1" s="1"/>
  <c r="AJ141" i="1"/>
  <c r="AK141" i="1" s="1"/>
  <c r="AH141" i="1"/>
  <c r="AJ147" i="1"/>
  <c r="AK147" i="1" s="1"/>
  <c r="AL147" i="1"/>
  <c r="AM147" i="1" s="1"/>
  <c r="AH177" i="1"/>
  <c r="AI177" i="1" s="1"/>
  <c r="AL177" i="1"/>
  <c r="AM177" i="1" s="1"/>
  <c r="AJ177" i="1"/>
  <c r="AK177" i="1" s="1"/>
  <c r="AL181" i="1"/>
  <c r="AM181" i="1" s="1"/>
  <c r="AJ181" i="1"/>
  <c r="AK181" i="1" s="1"/>
  <c r="AH181" i="1"/>
  <c r="AI181" i="1" s="1"/>
  <c r="AJ266" i="1"/>
  <c r="AK266" i="1" s="1"/>
  <c r="AH266" i="1"/>
  <c r="AI266" i="1" s="1"/>
  <c r="AL266" i="1"/>
  <c r="AL11" i="1"/>
  <c r="AM11" i="1" s="1"/>
  <c r="AH11" i="1"/>
  <c r="AI11" i="1" s="1"/>
  <c r="AH35" i="1"/>
  <c r="AI35" i="1" s="1"/>
  <c r="AH41" i="1"/>
  <c r="AI41" i="1" s="1"/>
  <c r="AL41" i="1"/>
  <c r="AM41" i="1" s="1"/>
  <c r="AJ41" i="1"/>
  <c r="AK41" i="1" s="1"/>
  <c r="AH52" i="1"/>
  <c r="AI52" i="1" s="1"/>
  <c r="AL52" i="1"/>
  <c r="AM52" i="1" s="1"/>
  <c r="AJ52" i="1"/>
  <c r="AK52" i="1" s="1"/>
  <c r="AG60" i="1"/>
  <c r="AL60" i="1" s="1"/>
  <c r="AM60" i="1" s="1"/>
  <c r="AJ67" i="1"/>
  <c r="AK67" i="1" s="1"/>
  <c r="AL67" i="1"/>
  <c r="AM67" i="1" s="1"/>
  <c r="AJ77" i="1"/>
  <c r="AK77" i="1" s="1"/>
  <c r="AJ83" i="1"/>
  <c r="AK83" i="1" s="1"/>
  <c r="AL83" i="1"/>
  <c r="AM83" i="1" s="1"/>
  <c r="AH93" i="1"/>
  <c r="AI93" i="1" s="1"/>
  <c r="AJ99" i="1"/>
  <c r="AK99" i="1" s="1"/>
  <c r="AL99" i="1"/>
  <c r="AM99" i="1" s="1"/>
  <c r="AG104" i="1"/>
  <c r="AH104" i="1" s="1"/>
  <c r="AI104" i="1" s="1"/>
  <c r="AJ115" i="1"/>
  <c r="AK115" i="1" s="1"/>
  <c r="AL115" i="1"/>
  <c r="AJ142" i="1"/>
  <c r="AK142" i="1" s="1"/>
  <c r="AH142" i="1"/>
  <c r="AI142" i="1" s="1"/>
  <c r="AL142" i="1"/>
  <c r="AM142" i="1" s="1"/>
  <c r="AL157" i="1"/>
  <c r="AM157" i="1" s="1"/>
  <c r="AJ157" i="1"/>
  <c r="AK157" i="1" s="1"/>
  <c r="AJ163" i="1"/>
  <c r="AK163" i="1" s="1"/>
  <c r="AL163" i="1"/>
  <c r="AM163" i="1" s="1"/>
  <c r="AJ362" i="1"/>
  <c r="AK362" i="1" s="1"/>
  <c r="AH362" i="1"/>
  <c r="AI362" i="1" s="1"/>
  <c r="AL362" i="1"/>
  <c r="AM362" i="1" s="1"/>
  <c r="AG59" i="1"/>
  <c r="AH59" i="1" s="1"/>
  <c r="AI59" i="1" s="1"/>
  <c r="AG107" i="1"/>
  <c r="AJ107" i="1" s="1"/>
  <c r="AK107" i="1" s="1"/>
  <c r="AL238" i="1"/>
  <c r="AM238" i="1" s="1"/>
  <c r="AJ238" i="1"/>
  <c r="AK238" i="1" s="1"/>
  <c r="AG248" i="1"/>
  <c r="AH248" i="1" s="1"/>
  <c r="AI248" i="1" s="1"/>
  <c r="AL254" i="1"/>
  <c r="AM254" i="1" s="1"/>
  <c r="AJ254" i="1"/>
  <c r="AH288" i="1"/>
  <c r="AI288" i="1" s="1"/>
  <c r="AL288" i="1"/>
  <c r="AM288" i="1" s="1"/>
  <c r="AG292" i="1"/>
  <c r="AL292" i="1" s="1"/>
  <c r="AM292" i="1" s="1"/>
  <c r="AH312" i="1"/>
  <c r="AI312" i="1" s="1"/>
  <c r="AL312" i="1"/>
  <c r="AH336" i="1"/>
  <c r="AI336" i="1" s="1"/>
  <c r="AL336" i="1"/>
  <c r="AM336" i="1" s="1"/>
  <c r="AG340" i="1"/>
  <c r="AL340" i="1" s="1"/>
  <c r="AM340" i="1" s="1"/>
  <c r="AG346" i="1"/>
  <c r="AH360" i="1"/>
  <c r="AI360" i="1" s="1"/>
  <c r="AL360" i="1"/>
  <c r="AM360" i="1" s="1"/>
  <c r="AL364" i="1"/>
  <c r="AM364" i="1" s="1"/>
  <c r="AJ364" i="1"/>
  <c r="AH364" i="1"/>
  <c r="AI364" i="1" s="1"/>
  <c r="AG370" i="1"/>
  <c r="AJ370" i="1" s="1"/>
  <c r="AK370" i="1" s="1"/>
  <c r="AG384" i="1"/>
  <c r="AH384" i="1" s="1"/>
  <c r="AI384" i="1" s="1"/>
  <c r="AL390" i="1"/>
  <c r="AM390" i="1" s="1"/>
  <c r="AJ390" i="1"/>
  <c r="AK390" i="1" s="1"/>
  <c r="AH408" i="1"/>
  <c r="AI408" i="1" s="1"/>
  <c r="AL408" i="1"/>
  <c r="AM408" i="1" s="1"/>
  <c r="AJ408" i="1"/>
  <c r="AK408" i="1" s="1"/>
  <c r="AH429" i="1"/>
  <c r="AI429" i="1" s="1"/>
  <c r="AL429" i="1"/>
  <c r="AM429" i="1" s="1"/>
  <c r="AL514" i="1"/>
  <c r="AM514" i="1" s="1"/>
  <c r="AH514" i="1"/>
  <c r="AI514" i="1" s="1"/>
  <c r="AH8" i="1"/>
  <c r="AI8" i="1" s="1"/>
  <c r="AG12" i="1"/>
  <c r="AL12" i="1" s="1"/>
  <c r="AM12" i="1" s="1"/>
  <c r="AH16" i="1"/>
  <c r="AI16" i="1" s="1"/>
  <c r="AG20" i="1"/>
  <c r="AH24" i="1"/>
  <c r="AI24" i="1" s="1"/>
  <c r="AG28" i="1"/>
  <c r="AL28" i="1" s="1"/>
  <c r="AM28" i="1" s="1"/>
  <c r="AH32" i="1"/>
  <c r="AI32" i="1" s="1"/>
  <c r="AG38" i="1"/>
  <c r="AG46" i="1"/>
  <c r="AL46" i="1" s="1"/>
  <c r="AM46" i="1" s="1"/>
  <c r="AJ60" i="1"/>
  <c r="AK60" i="1" s="1"/>
  <c r="AJ68" i="1"/>
  <c r="AG70" i="1"/>
  <c r="AJ70" i="1" s="1"/>
  <c r="AG78" i="1"/>
  <c r="AL78" i="1" s="1"/>
  <c r="AM78" i="1" s="1"/>
  <c r="AG86" i="1"/>
  <c r="AJ92" i="1"/>
  <c r="AK92" i="1" s="1"/>
  <c r="AG94" i="1"/>
  <c r="AL94" i="1" s="1"/>
  <c r="AM94" i="1" s="1"/>
  <c r="AG102" i="1"/>
  <c r="AJ102" i="1" s="1"/>
  <c r="AK102" i="1" s="1"/>
  <c r="AH106" i="1"/>
  <c r="AI106" i="1" s="1"/>
  <c r="AG110" i="1"/>
  <c r="AL110" i="1" s="1"/>
  <c r="AG118" i="1"/>
  <c r="AL118" i="1" s="1"/>
  <c r="AM118" i="1" s="1"/>
  <c r="AG126" i="1"/>
  <c r="AJ126" i="1" s="1"/>
  <c r="AK126" i="1" s="1"/>
  <c r="AG134" i="1"/>
  <c r="AJ134" i="1" s="1"/>
  <c r="AK134" i="1" s="1"/>
  <c r="AG150" i="1"/>
  <c r="AJ150" i="1" s="1"/>
  <c r="AK150" i="1" s="1"/>
  <c r="AG158" i="1"/>
  <c r="AJ158" i="1" s="1"/>
  <c r="AK158" i="1" s="1"/>
  <c r="AL158" i="1"/>
  <c r="AM158" i="1" s="1"/>
  <c r="AG166" i="1"/>
  <c r="AL166" i="1" s="1"/>
  <c r="AM166" i="1" s="1"/>
  <c r="AG174" i="1"/>
  <c r="AJ174" i="1" s="1"/>
  <c r="AK174" i="1" s="1"/>
  <c r="AG182" i="1"/>
  <c r="AJ182" i="1" s="1"/>
  <c r="AK182" i="1" s="1"/>
  <c r="AJ191" i="1"/>
  <c r="AK191" i="1" s="1"/>
  <c r="AJ199" i="1"/>
  <c r="AK199" i="1" s="1"/>
  <c r="AH232" i="1"/>
  <c r="AI232" i="1" s="1"/>
  <c r="AL232" i="1"/>
  <c r="AM232" i="1" s="1"/>
  <c r="AJ232" i="1"/>
  <c r="AK232" i="1" s="1"/>
  <c r="AG236" i="1"/>
  <c r="AJ236" i="1" s="1"/>
  <c r="AK236" i="1" s="1"/>
  <c r="AG242" i="1"/>
  <c r="AG245" i="1"/>
  <c r="AJ245" i="1" s="1"/>
  <c r="AK245" i="1" s="1"/>
  <c r="AL252" i="1"/>
  <c r="AM252" i="1" s="1"/>
  <c r="AJ252" i="1"/>
  <c r="AK252" i="1" s="1"/>
  <c r="AH252" i="1"/>
  <c r="AI252" i="1" s="1"/>
  <c r="AG258" i="1"/>
  <c r="AL258" i="1" s="1"/>
  <c r="AM258" i="1" s="1"/>
  <c r="AG283" i="1"/>
  <c r="AH283" i="1" s="1"/>
  <c r="AI283" i="1" s="1"/>
  <c r="AL316" i="1"/>
  <c r="AM316" i="1" s="1"/>
  <c r="AJ316" i="1"/>
  <c r="AK316" i="1" s="1"/>
  <c r="AH316" i="1"/>
  <c r="AI316" i="1" s="1"/>
  <c r="AG322" i="1"/>
  <c r="AH322" i="1" s="1"/>
  <c r="AI322" i="1" s="1"/>
  <c r="AH334" i="1"/>
  <c r="AI334" i="1" s="1"/>
  <c r="AH358" i="1"/>
  <c r="AI358" i="1" s="1"/>
  <c r="AL388" i="1"/>
  <c r="AM388" i="1" s="1"/>
  <c r="AJ388" i="1"/>
  <c r="AH388" i="1"/>
  <c r="AI388" i="1" s="1"/>
  <c r="AG394" i="1"/>
  <c r="AL394" i="1" s="1"/>
  <c r="AM394" i="1" s="1"/>
  <c r="AL412" i="1"/>
  <c r="AM412" i="1" s="1"/>
  <c r="AJ412" i="1"/>
  <c r="AK412" i="1" s="1"/>
  <c r="AH412" i="1"/>
  <c r="AI412" i="1" s="1"/>
  <c r="AJ429" i="1"/>
  <c r="AK429" i="1" s="1"/>
  <c r="AG29" i="1"/>
  <c r="AJ29" i="1" s="1"/>
  <c r="AK29" i="1" s="1"/>
  <c r="AH37" i="1"/>
  <c r="AI37" i="1" s="1"/>
  <c r="AH45" i="1"/>
  <c r="AI45" i="1" s="1"/>
  <c r="AG57" i="1"/>
  <c r="AG65" i="1"/>
  <c r="AH69" i="1"/>
  <c r="AI69" i="1" s="1"/>
  <c r="AG73" i="1"/>
  <c r="AL73" i="1" s="1"/>
  <c r="AM73" i="1" s="1"/>
  <c r="AH77" i="1"/>
  <c r="AG81" i="1"/>
  <c r="AH85" i="1"/>
  <c r="AI85" i="1" s="1"/>
  <c r="AG89" i="1"/>
  <c r="AH101" i="1"/>
  <c r="AI101" i="1" s="1"/>
  <c r="AH109" i="1"/>
  <c r="AI109" i="1" s="1"/>
  <c r="AH117" i="1"/>
  <c r="AI117" i="1" s="1"/>
  <c r="AH125" i="1"/>
  <c r="AI125" i="1" s="1"/>
  <c r="AH133" i="1"/>
  <c r="AI133" i="1" s="1"/>
  <c r="AG153" i="1"/>
  <c r="AL153" i="1" s="1"/>
  <c r="AM153" i="1" s="1"/>
  <c r="AJ220" i="1"/>
  <c r="AK220" i="1" s="1"/>
  <c r="AJ223" i="1"/>
  <c r="AK223" i="1" s="1"/>
  <c r="AG226" i="1"/>
  <c r="AH226" i="1" s="1"/>
  <c r="AH264" i="1"/>
  <c r="AI264" i="1" s="1"/>
  <c r="AL264" i="1"/>
  <c r="AM264" i="1" s="1"/>
  <c r="AL270" i="1"/>
  <c r="AM270" i="1" s="1"/>
  <c r="AJ270" i="1"/>
  <c r="AK270" i="1" s="1"/>
  <c r="AH277" i="1"/>
  <c r="AI277" i="1" s="1"/>
  <c r="AL277" i="1"/>
  <c r="AM277" i="1" s="1"/>
  <c r="AJ280" i="1"/>
  <c r="AK280" i="1" s="1"/>
  <c r="AJ296" i="1"/>
  <c r="AH304" i="1"/>
  <c r="AI304" i="1" s="1"/>
  <c r="AL304" i="1"/>
  <c r="AM304" i="1" s="1"/>
  <c r="AG337" i="1"/>
  <c r="AJ352" i="1"/>
  <c r="AK352" i="1" s="1"/>
  <c r="AH376" i="1"/>
  <c r="AI376" i="1" s="1"/>
  <c r="AL376" i="1"/>
  <c r="AM376" i="1" s="1"/>
  <c r="AH382" i="1"/>
  <c r="AI382" i="1" s="1"/>
  <c r="AG385" i="1"/>
  <c r="AL385" i="1" s="1"/>
  <c r="AM385" i="1" s="1"/>
  <c r="AJ400" i="1"/>
  <c r="AL409" i="1"/>
  <c r="AM409" i="1" s="1"/>
  <c r="AJ409" i="1"/>
  <c r="AK409" i="1" s="1"/>
  <c r="AH409" i="1"/>
  <c r="AI409" i="1" s="1"/>
  <c r="AL414" i="1"/>
  <c r="AM414" i="1" s="1"/>
  <c r="AJ414" i="1"/>
  <c r="AK414" i="1" s="1"/>
  <c r="AG421" i="1"/>
  <c r="AJ421" i="1" s="1"/>
  <c r="AK421" i="1" s="1"/>
  <c r="AJ424" i="1"/>
  <c r="AK424" i="1" s="1"/>
  <c r="AG6" i="1"/>
  <c r="AL6" i="1" s="1"/>
  <c r="AJ8" i="1"/>
  <c r="AK8" i="1" s="1"/>
  <c r="AH10" i="1"/>
  <c r="AI10" i="1" s="1"/>
  <c r="AG14" i="1"/>
  <c r="AH14" i="1" s="1"/>
  <c r="AI14" i="1" s="1"/>
  <c r="AJ16" i="1"/>
  <c r="AK16" i="1" s="1"/>
  <c r="AH18" i="1"/>
  <c r="AG22" i="1"/>
  <c r="AH22" i="1" s="1"/>
  <c r="AI22" i="1" s="1"/>
  <c r="AJ24" i="1"/>
  <c r="AK24" i="1" s="1"/>
  <c r="AH26" i="1"/>
  <c r="AI26" i="1" s="1"/>
  <c r="AG30" i="1"/>
  <c r="AJ30" i="1" s="1"/>
  <c r="AK30" i="1" s="1"/>
  <c r="AJ32" i="1"/>
  <c r="AJ42" i="1"/>
  <c r="AK42" i="1" s="1"/>
  <c r="AG44" i="1"/>
  <c r="AJ44" i="1" s="1"/>
  <c r="AK44" i="1" s="1"/>
  <c r="AL76" i="1"/>
  <c r="AM76" i="1" s="1"/>
  <c r="AL84" i="1"/>
  <c r="AM84" i="1" s="1"/>
  <c r="AL92" i="1"/>
  <c r="AM92" i="1" s="1"/>
  <c r="AL100" i="1"/>
  <c r="AM100" i="1" s="1"/>
  <c r="AJ106" i="1"/>
  <c r="AK106" i="1" s="1"/>
  <c r="AJ114" i="1"/>
  <c r="AK114" i="1" s="1"/>
  <c r="AL116" i="1"/>
  <c r="AM116" i="1" s="1"/>
  <c r="AL124" i="1"/>
  <c r="AM124" i="1" s="1"/>
  <c r="AL132" i="1"/>
  <c r="AM132" i="1" s="1"/>
  <c r="AL148" i="1"/>
  <c r="AM148" i="1" s="1"/>
  <c r="AL156" i="1"/>
  <c r="AM156" i="1" s="1"/>
  <c r="AL164" i="1"/>
  <c r="AM164" i="1" s="1"/>
  <c r="AL172" i="1"/>
  <c r="AM172" i="1" s="1"/>
  <c r="AL180" i="1"/>
  <c r="AM180" i="1" s="1"/>
  <c r="AG187" i="1"/>
  <c r="AH187" i="1" s="1"/>
  <c r="AI187" i="1" s="1"/>
  <c r="AJ207" i="1"/>
  <c r="AK207" i="1" s="1"/>
  <c r="AG210" i="1"/>
  <c r="AH210" i="1" s="1"/>
  <c r="AI210" i="1" s="1"/>
  <c r="AL220" i="1"/>
  <c r="AH220" i="1"/>
  <c r="AI220" i="1" s="1"/>
  <c r="AL233" i="1"/>
  <c r="AM233" i="1" s="1"/>
  <c r="AJ233" i="1"/>
  <c r="AK233" i="1" s="1"/>
  <c r="AH233" i="1"/>
  <c r="AI233" i="1" s="1"/>
  <c r="AG246" i="1"/>
  <c r="AL246" i="1" s="1"/>
  <c r="AM246" i="1" s="1"/>
  <c r="AL268" i="1"/>
  <c r="AJ268" i="1"/>
  <c r="AK268" i="1" s="1"/>
  <c r="AH268" i="1"/>
  <c r="AI268" i="1" s="1"/>
  <c r="AJ271" i="1"/>
  <c r="AK271" i="1" s="1"/>
  <c r="AH280" i="1"/>
  <c r="AI280" i="1" s="1"/>
  <c r="AL280" i="1"/>
  <c r="AM280" i="1" s="1"/>
  <c r="AL286" i="1"/>
  <c r="AM286" i="1" s="1"/>
  <c r="AJ286" i="1"/>
  <c r="AK286" i="1" s="1"/>
  <c r="AH286" i="1"/>
  <c r="AI286" i="1" s="1"/>
  <c r="AG293" i="1"/>
  <c r="AJ293" i="1" s="1"/>
  <c r="AK293" i="1" s="1"/>
  <c r="AH296" i="1"/>
  <c r="AI296" i="1" s="1"/>
  <c r="AL296" i="1"/>
  <c r="AM296" i="1" s="1"/>
  <c r="AL308" i="1"/>
  <c r="AM308" i="1" s="1"/>
  <c r="AJ308" i="1"/>
  <c r="AH308" i="1"/>
  <c r="AI308" i="1" s="1"/>
  <c r="AL310" i="1"/>
  <c r="AM310" i="1" s="1"/>
  <c r="AJ310" i="1"/>
  <c r="AK310" i="1" s="1"/>
  <c r="AH310" i="1"/>
  <c r="AI310" i="1" s="1"/>
  <c r="AJ319" i="1"/>
  <c r="AH319" i="1"/>
  <c r="AI319" i="1" s="1"/>
  <c r="AG328" i="1"/>
  <c r="AL328" i="1" s="1"/>
  <c r="AM328" i="1" s="1"/>
  <c r="AL334" i="1"/>
  <c r="AM334" i="1" s="1"/>
  <c r="AJ334" i="1"/>
  <c r="AK334" i="1" s="1"/>
  <c r="AJ344" i="1"/>
  <c r="AK344" i="1" s="1"/>
  <c r="AH352" i="1"/>
  <c r="AI352" i="1" s="1"/>
  <c r="AL352" i="1"/>
  <c r="AM352" i="1" s="1"/>
  <c r="AL358" i="1"/>
  <c r="AM358" i="1" s="1"/>
  <c r="AJ358" i="1"/>
  <c r="AH365" i="1"/>
  <c r="AI365" i="1" s="1"/>
  <c r="AL365" i="1"/>
  <c r="AM365" i="1" s="1"/>
  <c r="AJ368" i="1"/>
  <c r="AK368" i="1" s="1"/>
  <c r="AL380" i="1"/>
  <c r="AM380" i="1" s="1"/>
  <c r="AJ380" i="1"/>
  <c r="AK380" i="1" s="1"/>
  <c r="AH380" i="1"/>
  <c r="AI380" i="1" s="1"/>
  <c r="AH400" i="1"/>
  <c r="AI400" i="1" s="1"/>
  <c r="AL400" i="1"/>
  <c r="AM400" i="1" s="1"/>
  <c r="AG418" i="1"/>
  <c r="AH424" i="1"/>
  <c r="AI424" i="1" s="1"/>
  <c r="AL424" i="1"/>
  <c r="AM424" i="1" s="1"/>
  <c r="AG473" i="1"/>
  <c r="AH473" i="1" s="1"/>
  <c r="AI473" i="1" s="1"/>
  <c r="AJ526" i="1"/>
  <c r="AK526" i="1" s="1"/>
  <c r="AH526" i="1"/>
  <c r="AI526" i="1" s="1"/>
  <c r="AL526" i="1"/>
  <c r="AM526" i="1" s="1"/>
  <c r="AG533" i="1"/>
  <c r="AJ533" i="1" s="1"/>
  <c r="AK533" i="1" s="1"/>
  <c r="AG7" i="1"/>
  <c r="AL7" i="1" s="1"/>
  <c r="AM7" i="1" s="1"/>
  <c r="AG15" i="1"/>
  <c r="AL15" i="1" s="1"/>
  <c r="AM15" i="1" s="1"/>
  <c r="AG23" i="1"/>
  <c r="AG31" i="1"/>
  <c r="AJ37" i="1"/>
  <c r="AK37" i="1" s="1"/>
  <c r="AG39" i="1"/>
  <c r="AL39" i="1" s="1"/>
  <c r="AM39" i="1" s="1"/>
  <c r="AG47" i="1"/>
  <c r="AH47" i="1" s="1"/>
  <c r="AI47" i="1" s="1"/>
  <c r="AG55" i="1"/>
  <c r="AJ55" i="1" s="1"/>
  <c r="AK55" i="1" s="1"/>
  <c r="AG63" i="1"/>
  <c r="AH63" i="1" s="1"/>
  <c r="AI63" i="1" s="1"/>
  <c r="AG71" i="1"/>
  <c r="AH71" i="1" s="1"/>
  <c r="AI71" i="1" s="1"/>
  <c r="AG79" i="1"/>
  <c r="AH79" i="1" s="1"/>
  <c r="AI79" i="1" s="1"/>
  <c r="AG103" i="1"/>
  <c r="AH103" i="1" s="1"/>
  <c r="AI103" i="1" s="1"/>
  <c r="AH107" i="1"/>
  <c r="AI107" i="1" s="1"/>
  <c r="AG111" i="1"/>
  <c r="AG119" i="1"/>
  <c r="AH119" i="1" s="1"/>
  <c r="AI119" i="1" s="1"/>
  <c r="AG127" i="1"/>
  <c r="AH127" i="1" s="1"/>
  <c r="AI127" i="1" s="1"/>
  <c r="AG135" i="1"/>
  <c r="AH135" i="1" s="1"/>
  <c r="AI135" i="1" s="1"/>
  <c r="AG151" i="1"/>
  <c r="AH151" i="1" s="1"/>
  <c r="AI151" i="1" s="1"/>
  <c r="AG159" i="1"/>
  <c r="AH159" i="1" s="1"/>
  <c r="AI159" i="1" s="1"/>
  <c r="AG167" i="1"/>
  <c r="AH167" i="1" s="1"/>
  <c r="AI167" i="1" s="1"/>
  <c r="AG183" i="1"/>
  <c r="AH183" i="1" s="1"/>
  <c r="AI183" i="1" s="1"/>
  <c r="AG186" i="1"/>
  <c r="AH190" i="1"/>
  <c r="AI190" i="1" s="1"/>
  <c r="AG200" i="1"/>
  <c r="AH200" i="1" s="1"/>
  <c r="AI200" i="1" s="1"/>
  <c r="AG237" i="1"/>
  <c r="AJ237" i="1" s="1"/>
  <c r="AK237" i="1" s="1"/>
  <c r="AG250" i="1"/>
  <c r="AH250" i="1" s="1"/>
  <c r="AI250" i="1" s="1"/>
  <c r="AL284" i="1"/>
  <c r="AM284" i="1" s="1"/>
  <c r="AJ284" i="1"/>
  <c r="AK284" i="1" s="1"/>
  <c r="AH284" i="1"/>
  <c r="AI284" i="1" s="1"/>
  <c r="AG290" i="1"/>
  <c r="AJ290" i="1" s="1"/>
  <c r="AK290" i="1" s="1"/>
  <c r="AL300" i="1"/>
  <c r="AM300" i="1" s="1"/>
  <c r="AJ300" i="1"/>
  <c r="AH300" i="1"/>
  <c r="AI300" i="1" s="1"/>
  <c r="AG314" i="1"/>
  <c r="AJ314" i="1" s="1"/>
  <c r="AK314" i="1" s="1"/>
  <c r="AL332" i="1"/>
  <c r="AM332" i="1" s="1"/>
  <c r="AJ332" i="1"/>
  <c r="AK332" i="1" s="1"/>
  <c r="AH332" i="1"/>
  <c r="AI332" i="1" s="1"/>
  <c r="AH344" i="1"/>
  <c r="AI344" i="1" s="1"/>
  <c r="AL344" i="1"/>
  <c r="AM344" i="1" s="1"/>
  <c r="AL356" i="1"/>
  <c r="AM356" i="1" s="1"/>
  <c r="AJ356" i="1"/>
  <c r="AK356" i="1" s="1"/>
  <c r="AH356" i="1"/>
  <c r="AI356" i="1" s="1"/>
  <c r="AH368" i="1"/>
  <c r="AI368" i="1" s="1"/>
  <c r="AL368" i="1"/>
  <c r="AM368" i="1" s="1"/>
  <c r="AG374" i="1"/>
  <c r="AL382" i="1"/>
  <c r="AM382" i="1" s="1"/>
  <c r="AJ382" i="1"/>
  <c r="AK382" i="1" s="1"/>
  <c r="AL404" i="1"/>
  <c r="AM404" i="1" s="1"/>
  <c r="AJ404" i="1"/>
  <c r="AH404" i="1"/>
  <c r="AI404" i="1" s="1"/>
  <c r="AG410" i="1"/>
  <c r="AJ410" i="1" s="1"/>
  <c r="AK410" i="1" s="1"/>
  <c r="AL428" i="1"/>
  <c r="AM428" i="1" s="1"/>
  <c r="AH428" i="1"/>
  <c r="AI428" i="1" s="1"/>
  <c r="AH28" i="1"/>
  <c r="AI28" i="1" s="1"/>
  <c r="AH46" i="1"/>
  <c r="AI46" i="1" s="1"/>
  <c r="AG50" i="1"/>
  <c r="AJ50" i="1" s="1"/>
  <c r="AK50" i="1" s="1"/>
  <c r="AG58" i="1"/>
  <c r="AJ58" i="1" s="1"/>
  <c r="AK58" i="1" s="1"/>
  <c r="AG66" i="1"/>
  <c r="AJ66" i="1" s="1"/>
  <c r="AK66" i="1" s="1"/>
  <c r="AG74" i="1"/>
  <c r="AH78" i="1"/>
  <c r="AI78" i="1" s="1"/>
  <c r="AG82" i="1"/>
  <c r="AJ82" i="1" s="1"/>
  <c r="AG90" i="1"/>
  <c r="AJ90" i="1" s="1"/>
  <c r="AK90" i="1" s="1"/>
  <c r="AH94" i="1"/>
  <c r="AI94" i="1" s="1"/>
  <c r="AH102" i="1"/>
  <c r="AI102" i="1" s="1"/>
  <c r="AG122" i="1"/>
  <c r="AJ122" i="1" s="1"/>
  <c r="AK122" i="1" s="1"/>
  <c r="AH126" i="1"/>
  <c r="AI126" i="1" s="1"/>
  <c r="AG130" i="1"/>
  <c r="AJ130" i="1" s="1"/>
  <c r="AK130" i="1" s="1"/>
  <c r="AH134" i="1"/>
  <c r="AI134" i="1" s="1"/>
  <c r="AG138" i="1"/>
  <c r="AJ138" i="1" s="1"/>
  <c r="AK138" i="1" s="1"/>
  <c r="AG146" i="1"/>
  <c r="AJ146" i="1" s="1"/>
  <c r="AK146" i="1" s="1"/>
  <c r="AH150" i="1"/>
  <c r="AI150" i="1" s="1"/>
  <c r="AG154" i="1"/>
  <c r="AJ154" i="1" s="1"/>
  <c r="AK154" i="1" s="1"/>
  <c r="AG162" i="1"/>
  <c r="AJ162" i="1" s="1"/>
  <c r="AK162" i="1" s="1"/>
  <c r="AG170" i="1"/>
  <c r="AJ170" i="1" s="1"/>
  <c r="AK170" i="1" s="1"/>
  <c r="AG178" i="1"/>
  <c r="AJ178" i="1" s="1"/>
  <c r="AK178" i="1" s="1"/>
  <c r="AG194" i="1"/>
  <c r="AJ224" i="1"/>
  <c r="AK224" i="1" s="1"/>
  <c r="AG234" i="1"/>
  <c r="AH234" i="1" s="1"/>
  <c r="AI234" i="1" s="1"/>
  <c r="AH240" i="1"/>
  <c r="AI240" i="1" s="1"/>
  <c r="AL240" i="1"/>
  <c r="AM240" i="1" s="1"/>
  <c r="AJ247" i="1"/>
  <c r="AK247" i="1" s="1"/>
  <c r="AH256" i="1"/>
  <c r="AI256" i="1" s="1"/>
  <c r="AL256" i="1"/>
  <c r="AM256" i="1" s="1"/>
  <c r="AL262" i="1"/>
  <c r="AM262" i="1" s="1"/>
  <c r="AJ262" i="1"/>
  <c r="AL275" i="1"/>
  <c r="AM275" i="1" s="1"/>
  <c r="AJ275" i="1"/>
  <c r="AK275" i="1" s="1"/>
  <c r="AG294" i="1"/>
  <c r="AL294" i="1" s="1"/>
  <c r="AM294" i="1" s="1"/>
  <c r="AL302" i="1"/>
  <c r="AM302" i="1" s="1"/>
  <c r="AJ302" i="1"/>
  <c r="AH320" i="1"/>
  <c r="AI320" i="1" s="1"/>
  <c r="AL320" i="1"/>
  <c r="AM320" i="1" s="1"/>
  <c r="AJ320" i="1"/>
  <c r="AK320" i="1" s="1"/>
  <c r="AH326" i="1"/>
  <c r="AI326" i="1" s="1"/>
  <c r="AG329" i="1"/>
  <c r="AL329" i="1" s="1"/>
  <c r="AM329" i="1" s="1"/>
  <c r="AH342" i="1"/>
  <c r="AI342" i="1" s="1"/>
  <c r="AL348" i="1"/>
  <c r="AM348" i="1" s="1"/>
  <c r="AJ348" i="1"/>
  <c r="AH348" i="1"/>
  <c r="AI348" i="1" s="1"/>
  <c r="AH366" i="1"/>
  <c r="AI366" i="1" s="1"/>
  <c r="AL372" i="1"/>
  <c r="AM372" i="1" s="1"/>
  <c r="AJ372" i="1"/>
  <c r="AK372" i="1" s="1"/>
  <c r="AH372" i="1"/>
  <c r="AI372" i="1" s="1"/>
  <c r="AJ383" i="1"/>
  <c r="AK383" i="1" s="1"/>
  <c r="AH392" i="1"/>
  <c r="AI392" i="1" s="1"/>
  <c r="AL392" i="1"/>
  <c r="AM392" i="1" s="1"/>
  <c r="AG425" i="1"/>
  <c r="AH425" i="1" s="1"/>
  <c r="AI425" i="1" s="1"/>
  <c r="AG9" i="1"/>
  <c r="AH9" i="1" s="1"/>
  <c r="AG17" i="1"/>
  <c r="AH17" i="1" s="1"/>
  <c r="AI17" i="1" s="1"/>
  <c r="AG25" i="1"/>
  <c r="AG33" i="1"/>
  <c r="AH33" i="1" s="1"/>
  <c r="AI33" i="1" s="1"/>
  <c r="AG201" i="1"/>
  <c r="AL201" i="1" s="1"/>
  <c r="AM201" i="1" s="1"/>
  <c r="AG218" i="1"/>
  <c r="AH218" i="1" s="1"/>
  <c r="AI218" i="1" s="1"/>
  <c r="AH224" i="1"/>
  <c r="AI224" i="1" s="1"/>
  <c r="AL224" i="1"/>
  <c r="AM224" i="1" s="1"/>
  <c r="AH238" i="1"/>
  <c r="AI238" i="1" s="1"/>
  <c r="AL244" i="1"/>
  <c r="AM244" i="1" s="1"/>
  <c r="AJ244" i="1"/>
  <c r="AK244" i="1" s="1"/>
  <c r="AH244" i="1"/>
  <c r="AI244" i="1" s="1"/>
  <c r="AH254" i="1"/>
  <c r="AI254" i="1" s="1"/>
  <c r="AL260" i="1"/>
  <c r="AM260" i="1" s="1"/>
  <c r="AJ260" i="1"/>
  <c r="AK260" i="1" s="1"/>
  <c r="AH260" i="1"/>
  <c r="AI260" i="1" s="1"/>
  <c r="AJ263" i="1"/>
  <c r="AK263" i="1" s="1"/>
  <c r="AJ272" i="1"/>
  <c r="AK272" i="1" s="1"/>
  <c r="AL278" i="1"/>
  <c r="AM278" i="1" s="1"/>
  <c r="AJ278" i="1"/>
  <c r="AK278" i="1" s="1"/>
  <c r="AG291" i="1"/>
  <c r="AH291" i="1" s="1"/>
  <c r="AI291" i="1" s="1"/>
  <c r="AJ303" i="1"/>
  <c r="AK303" i="1" s="1"/>
  <c r="AG306" i="1"/>
  <c r="AH306" i="1" s="1"/>
  <c r="AI306" i="1" s="1"/>
  <c r="AL324" i="1"/>
  <c r="AM324" i="1" s="1"/>
  <c r="AJ324" i="1"/>
  <c r="AK324" i="1" s="1"/>
  <c r="AH324" i="1"/>
  <c r="AI324" i="1" s="1"/>
  <c r="AG339" i="1"/>
  <c r="AH339" i="1" s="1"/>
  <c r="AI339" i="1" s="1"/>
  <c r="AL350" i="1"/>
  <c r="AM350" i="1" s="1"/>
  <c r="AJ350" i="1"/>
  <c r="AK350" i="1" s="1"/>
  <c r="AL363" i="1"/>
  <c r="AM363" i="1" s="1"/>
  <c r="AJ363" i="1"/>
  <c r="AK363" i="1" s="1"/>
  <c r="AJ375" i="1"/>
  <c r="AK375" i="1" s="1"/>
  <c r="AG378" i="1"/>
  <c r="AH390" i="1"/>
  <c r="AI390" i="1" s="1"/>
  <c r="AL396" i="1"/>
  <c r="AM396" i="1" s="1"/>
  <c r="AJ396" i="1"/>
  <c r="AK396" i="1" s="1"/>
  <c r="AH396" i="1"/>
  <c r="AI396" i="1" s="1"/>
  <c r="AL398" i="1"/>
  <c r="AM398" i="1" s="1"/>
  <c r="AJ398" i="1"/>
  <c r="AK398" i="1" s="1"/>
  <c r="AH398" i="1"/>
  <c r="AI398" i="1" s="1"/>
  <c r="AJ407" i="1"/>
  <c r="AK407" i="1" s="1"/>
  <c r="AH407" i="1"/>
  <c r="AI407" i="1" s="1"/>
  <c r="AJ416" i="1"/>
  <c r="AK416" i="1" s="1"/>
  <c r="AL422" i="1"/>
  <c r="AM422" i="1" s="1"/>
  <c r="AJ422" i="1"/>
  <c r="AK422" i="1" s="1"/>
  <c r="AH508" i="1"/>
  <c r="AL508" i="1"/>
  <c r="AM508" i="1" s="1"/>
  <c r="AJ508" i="1"/>
  <c r="AK508" i="1" s="1"/>
  <c r="AJ637" i="1"/>
  <c r="AK637" i="1" s="1"/>
  <c r="AH637" i="1"/>
  <c r="AI637" i="1" s="1"/>
  <c r="AL637" i="1"/>
  <c r="AM637" i="1" s="1"/>
  <c r="AG34" i="1"/>
  <c r="AL34" i="1" s="1"/>
  <c r="AM34" i="1" s="1"/>
  <c r="AG40" i="1"/>
  <c r="AG48" i="1"/>
  <c r="AL48" i="1" s="1"/>
  <c r="AM48" i="1" s="1"/>
  <c r="AG56" i="1"/>
  <c r="AL56" i="1" s="1"/>
  <c r="AM56" i="1" s="1"/>
  <c r="AG64" i="1"/>
  <c r="AL64" i="1" s="1"/>
  <c r="AM64" i="1" s="1"/>
  <c r="AG72" i="1"/>
  <c r="AJ72" i="1" s="1"/>
  <c r="AK72" i="1" s="1"/>
  <c r="AG80" i="1"/>
  <c r="AH80" i="1" s="1"/>
  <c r="AI80" i="1" s="1"/>
  <c r="AG88" i="1"/>
  <c r="AL88" i="1" s="1"/>
  <c r="AM88" i="1" s="1"/>
  <c r="AG112" i="1"/>
  <c r="AL112" i="1" s="1"/>
  <c r="AM112" i="1" s="1"/>
  <c r="AG120" i="1"/>
  <c r="AG128" i="1"/>
  <c r="AL128" i="1" s="1"/>
  <c r="AG136" i="1"/>
  <c r="AL136" i="1" s="1"/>
  <c r="AM136" i="1" s="1"/>
  <c r="AG144" i="1"/>
  <c r="AJ144" i="1" s="1"/>
  <c r="AK144" i="1" s="1"/>
  <c r="AG152" i="1"/>
  <c r="AH152" i="1" s="1"/>
  <c r="AI152" i="1" s="1"/>
  <c r="AG160" i="1"/>
  <c r="AJ160" i="1" s="1"/>
  <c r="AK160" i="1" s="1"/>
  <c r="AG168" i="1"/>
  <c r="AJ168" i="1" s="1"/>
  <c r="AK168" i="1" s="1"/>
  <c r="AG176" i="1"/>
  <c r="AL176" i="1" s="1"/>
  <c r="AM176" i="1" s="1"/>
  <c r="AG184" i="1"/>
  <c r="AG198" i="1"/>
  <c r="AH198" i="1" s="1"/>
  <c r="AI198" i="1" s="1"/>
  <c r="AL228" i="1"/>
  <c r="AM228" i="1" s="1"/>
  <c r="AJ228" i="1"/>
  <c r="AK228" i="1" s="1"/>
  <c r="AH228" i="1"/>
  <c r="AI228" i="1" s="1"/>
  <c r="AJ231" i="1"/>
  <c r="AH231" i="1"/>
  <c r="AI231" i="1" s="1"/>
  <c r="AH272" i="1"/>
  <c r="AL272" i="1"/>
  <c r="AM272" i="1" s="1"/>
  <c r="AL276" i="1"/>
  <c r="AM276" i="1" s="1"/>
  <c r="AJ276" i="1"/>
  <c r="AK276" i="1" s="1"/>
  <c r="AH276" i="1"/>
  <c r="AI276" i="1" s="1"/>
  <c r="AJ279" i="1"/>
  <c r="AK279" i="1" s="1"/>
  <c r="AJ288" i="1"/>
  <c r="AK288" i="1" s="1"/>
  <c r="AJ295" i="1"/>
  <c r="AK295" i="1" s="1"/>
  <c r="AG298" i="1"/>
  <c r="AL298" i="1" s="1"/>
  <c r="AM298" i="1" s="1"/>
  <c r="AJ312" i="1"/>
  <c r="AK312" i="1" s="1"/>
  <c r="AL321" i="1"/>
  <c r="AM321" i="1" s="1"/>
  <c r="AJ321" i="1"/>
  <c r="AK321" i="1" s="1"/>
  <c r="AH321" i="1"/>
  <c r="AI321" i="1" s="1"/>
  <c r="AL326" i="1"/>
  <c r="AM326" i="1" s="1"/>
  <c r="AJ326" i="1"/>
  <c r="AK326" i="1" s="1"/>
  <c r="AG330" i="1"/>
  <c r="AJ330" i="1" s="1"/>
  <c r="AK330" i="1" s="1"/>
  <c r="AJ336" i="1"/>
  <c r="AK336" i="1" s="1"/>
  <c r="AL342" i="1"/>
  <c r="AM342" i="1" s="1"/>
  <c r="AJ342" i="1"/>
  <c r="AJ351" i="1"/>
  <c r="AK351" i="1" s="1"/>
  <c r="AJ360" i="1"/>
  <c r="AL366" i="1"/>
  <c r="AM366" i="1" s="1"/>
  <c r="AJ366" i="1"/>
  <c r="AK366" i="1" s="1"/>
  <c r="AJ399" i="1"/>
  <c r="AK399" i="1" s="1"/>
  <c r="AG402" i="1"/>
  <c r="AJ402" i="1" s="1"/>
  <c r="AK402" i="1" s="1"/>
  <c r="AH416" i="1"/>
  <c r="AI416" i="1" s="1"/>
  <c r="AL416" i="1"/>
  <c r="AM416" i="1" s="1"/>
  <c r="AG420" i="1"/>
  <c r="AJ423" i="1"/>
  <c r="AK423" i="1" s="1"/>
  <c r="AG476" i="1"/>
  <c r="AJ476" i="1" s="1"/>
  <c r="AK476" i="1" s="1"/>
  <c r="AJ505" i="1"/>
  <c r="AK505" i="1" s="1"/>
  <c r="AH505" i="1"/>
  <c r="AL505" i="1"/>
  <c r="AM505" i="1" s="1"/>
  <c r="AJ192" i="1"/>
  <c r="AK192" i="1" s="1"/>
  <c r="AJ208" i="1"/>
  <c r="AJ216" i="1"/>
  <c r="AH246" i="1"/>
  <c r="AI246" i="1" s="1"/>
  <c r="AG434" i="1"/>
  <c r="AL434" i="1" s="1"/>
  <c r="AM434" i="1" s="1"/>
  <c r="AL490" i="1"/>
  <c r="AM490" i="1" s="1"/>
  <c r="AJ490" i="1"/>
  <c r="AJ502" i="1"/>
  <c r="AH502" i="1"/>
  <c r="AI502" i="1" s="1"/>
  <c r="AL520" i="1"/>
  <c r="AM520" i="1" s="1"/>
  <c r="AJ520" i="1"/>
  <c r="AK520" i="1" s="1"/>
  <c r="AH520" i="1"/>
  <c r="AI520" i="1" s="1"/>
  <c r="AL530" i="1"/>
  <c r="AM530" i="1" s="1"/>
  <c r="AJ530" i="1"/>
  <c r="AK530" i="1" s="1"/>
  <c r="AG537" i="1"/>
  <c r="AL537" i="1" s="1"/>
  <c r="AH540" i="1"/>
  <c r="AL540" i="1"/>
  <c r="AM540" i="1" s="1"/>
  <c r="AJ618" i="1"/>
  <c r="AK618" i="1" s="1"/>
  <c r="AH618" i="1"/>
  <c r="AI618" i="1" s="1"/>
  <c r="AL618" i="1"/>
  <c r="AM618" i="1" s="1"/>
  <c r="AG189" i="1"/>
  <c r="AJ189" i="1" s="1"/>
  <c r="AK189" i="1" s="1"/>
  <c r="AG197" i="1"/>
  <c r="AJ197" i="1" s="1"/>
  <c r="AK197" i="1" s="1"/>
  <c r="AJ203" i="1"/>
  <c r="AK203" i="1" s="1"/>
  <c r="AG205" i="1"/>
  <c r="AJ205" i="1" s="1"/>
  <c r="AL205" i="1"/>
  <c r="AM205" i="1" s="1"/>
  <c r="AG213" i="1"/>
  <c r="AJ213" i="1" s="1"/>
  <c r="AK213" i="1" s="1"/>
  <c r="AG221" i="1"/>
  <c r="AJ221" i="1" s="1"/>
  <c r="AL221" i="1"/>
  <c r="AM221" i="1" s="1"/>
  <c r="AG229" i="1"/>
  <c r="AJ229" i="1" s="1"/>
  <c r="AK229" i="1" s="1"/>
  <c r="AG253" i="1"/>
  <c r="AL253" i="1" s="1"/>
  <c r="AM253" i="1" s="1"/>
  <c r="AG261" i="1"/>
  <c r="AG269" i="1"/>
  <c r="AJ269" i="1" s="1"/>
  <c r="AK269" i="1" s="1"/>
  <c r="AJ283" i="1"/>
  <c r="AK283" i="1" s="1"/>
  <c r="AG285" i="1"/>
  <c r="AJ285" i="1" s="1"/>
  <c r="AK285" i="1" s="1"/>
  <c r="AJ291" i="1"/>
  <c r="AK291" i="1" s="1"/>
  <c r="AL309" i="1"/>
  <c r="AM309" i="1" s="1"/>
  <c r="AL317" i="1"/>
  <c r="AM317" i="1" s="1"/>
  <c r="AL325" i="1"/>
  <c r="AM325" i="1" s="1"/>
  <c r="AH329" i="1"/>
  <c r="AI329" i="1" s="1"/>
  <c r="AG333" i="1"/>
  <c r="AG341" i="1"/>
  <c r="AG357" i="1"/>
  <c r="AL357" i="1" s="1"/>
  <c r="AM357" i="1" s="1"/>
  <c r="AL373" i="1"/>
  <c r="AL381" i="1"/>
  <c r="AM381" i="1" s="1"/>
  <c r="AH385" i="1"/>
  <c r="AI385" i="1" s="1"/>
  <c r="AG389" i="1"/>
  <c r="AL389" i="1" s="1"/>
  <c r="AM389" i="1" s="1"/>
  <c r="AL397" i="1"/>
  <c r="AM397" i="1" s="1"/>
  <c r="AL405" i="1"/>
  <c r="AL413" i="1"/>
  <c r="AM413" i="1" s="1"/>
  <c r="AJ433" i="1"/>
  <c r="AK433" i="1" s="1"/>
  <c r="AJ437" i="1"/>
  <c r="AK437" i="1" s="1"/>
  <c r="AG441" i="1"/>
  <c r="AJ441" i="1" s="1"/>
  <c r="AK441" i="1" s="1"/>
  <c r="AJ454" i="1"/>
  <c r="AK454" i="1" s="1"/>
  <c r="AH454" i="1"/>
  <c r="AJ460" i="1"/>
  <c r="AK460" i="1" s="1"/>
  <c r="AG477" i="1"/>
  <c r="AH477" i="1" s="1"/>
  <c r="AI477" i="1" s="1"/>
  <c r="AH490" i="1"/>
  <c r="AI490" i="1" s="1"/>
  <c r="AL502" i="1"/>
  <c r="AM502" i="1" s="1"/>
  <c r="AH530" i="1"/>
  <c r="AI530" i="1" s="1"/>
  <c r="AJ534" i="1"/>
  <c r="AK534" i="1" s="1"/>
  <c r="AH592" i="1"/>
  <c r="AI592" i="1" s="1"/>
  <c r="AL592" i="1"/>
  <c r="AM592" i="1" s="1"/>
  <c r="AJ592" i="1"/>
  <c r="AK592" i="1" s="1"/>
  <c r="AH292" i="1"/>
  <c r="AI292" i="1" s="1"/>
  <c r="AH340" i="1"/>
  <c r="AI340" i="1" s="1"/>
  <c r="AJ430" i="1"/>
  <c r="AK430" i="1" s="1"/>
  <c r="AL458" i="1"/>
  <c r="AM458" i="1" s="1"/>
  <c r="AJ458" i="1"/>
  <c r="AK458" i="1" s="1"/>
  <c r="AL474" i="1"/>
  <c r="AM474" i="1" s="1"/>
  <c r="AJ474" i="1"/>
  <c r="AK474" i="1" s="1"/>
  <c r="AG481" i="1"/>
  <c r="AJ481" i="1" s="1"/>
  <c r="AK481" i="1" s="1"/>
  <c r="AG487" i="1"/>
  <c r="AH487" i="1" s="1"/>
  <c r="AI487" i="1" s="1"/>
  <c r="AG497" i="1"/>
  <c r="AJ497" i="1" s="1"/>
  <c r="AK497" i="1" s="1"/>
  <c r="AH503" i="1"/>
  <c r="AL503" i="1"/>
  <c r="AM503" i="1" s="1"/>
  <c r="AJ503" i="1"/>
  <c r="AK503" i="1" s="1"/>
  <c r="AL512" i="1"/>
  <c r="AM512" i="1" s="1"/>
  <c r="AJ512" i="1"/>
  <c r="AK512" i="1" s="1"/>
  <c r="AH512" i="1"/>
  <c r="AJ518" i="1"/>
  <c r="AK518" i="1" s="1"/>
  <c r="AH518" i="1"/>
  <c r="AI518" i="1" s="1"/>
  <c r="AH521" i="1"/>
  <c r="AI521" i="1" s="1"/>
  <c r="AG521" i="1"/>
  <c r="AJ521" i="1" s="1"/>
  <c r="AH524" i="1"/>
  <c r="AI524" i="1" s="1"/>
  <c r="AL524" i="1"/>
  <c r="AM524" i="1" s="1"/>
  <c r="AG531" i="1"/>
  <c r="AH531" i="1" s="1"/>
  <c r="AI531" i="1" s="1"/>
  <c r="AL538" i="1"/>
  <c r="AM538" i="1" s="1"/>
  <c r="AJ538" i="1"/>
  <c r="AK538" i="1" s="1"/>
  <c r="AL582" i="1"/>
  <c r="AM582" i="1" s="1"/>
  <c r="AJ582" i="1"/>
  <c r="AK582" i="1" s="1"/>
  <c r="AH582" i="1"/>
  <c r="AL593" i="1"/>
  <c r="AM593" i="1" s="1"/>
  <c r="AJ593" i="1"/>
  <c r="AK593" i="1" s="1"/>
  <c r="AH593" i="1"/>
  <c r="AI593" i="1" s="1"/>
  <c r="AH191" i="1"/>
  <c r="AI191" i="1" s="1"/>
  <c r="AG195" i="1"/>
  <c r="AH199" i="1"/>
  <c r="AI199" i="1" s="1"/>
  <c r="AG203" i="1"/>
  <c r="AH203" i="1" s="1"/>
  <c r="AI203" i="1" s="1"/>
  <c r="AH207" i="1"/>
  <c r="AI207" i="1" s="1"/>
  <c r="AG211" i="1"/>
  <c r="AH211" i="1" s="1"/>
  <c r="AI211" i="1" s="1"/>
  <c r="AH215" i="1"/>
  <c r="AI215" i="1" s="1"/>
  <c r="AG219" i="1"/>
  <c r="AH219" i="1" s="1"/>
  <c r="AI219" i="1" s="1"/>
  <c r="AH223" i="1"/>
  <c r="AI223" i="1" s="1"/>
  <c r="AG227" i="1"/>
  <c r="AH227" i="1" s="1"/>
  <c r="AI227" i="1" s="1"/>
  <c r="AG235" i="1"/>
  <c r="AH235" i="1" s="1"/>
  <c r="AI235" i="1" s="1"/>
  <c r="AH239" i="1"/>
  <c r="AI239" i="1" s="1"/>
  <c r="AG243" i="1"/>
  <c r="AH247" i="1"/>
  <c r="AI247" i="1" s="1"/>
  <c r="AG251" i="1"/>
  <c r="AH251" i="1" s="1"/>
  <c r="AI251" i="1" s="1"/>
  <c r="AH255" i="1"/>
  <c r="AI255" i="1" s="1"/>
  <c r="AG259" i="1"/>
  <c r="AH259" i="1" s="1"/>
  <c r="AI259" i="1" s="1"/>
  <c r="AH263" i="1"/>
  <c r="AG267" i="1"/>
  <c r="AH267" i="1" s="1"/>
  <c r="AI267" i="1" s="1"/>
  <c r="AH271" i="1"/>
  <c r="AI271" i="1" s="1"/>
  <c r="AH279" i="1"/>
  <c r="AI279" i="1" s="1"/>
  <c r="AH287" i="1"/>
  <c r="AI287" i="1" s="1"/>
  <c r="AH295" i="1"/>
  <c r="AI295" i="1" s="1"/>
  <c r="AG299" i="1"/>
  <c r="AH299" i="1" s="1"/>
  <c r="AI299" i="1" s="1"/>
  <c r="AH303" i="1"/>
  <c r="AI303" i="1" s="1"/>
  <c r="AG307" i="1"/>
  <c r="AH307" i="1" s="1"/>
  <c r="AI307" i="1" s="1"/>
  <c r="AH311" i="1"/>
  <c r="AI311" i="1" s="1"/>
  <c r="AG315" i="1"/>
  <c r="AL315" i="1" s="1"/>
  <c r="AM315" i="1" s="1"/>
  <c r="AG323" i="1"/>
  <c r="AH323" i="1" s="1"/>
  <c r="AI323" i="1" s="1"/>
  <c r="AH327" i="1"/>
  <c r="AI327" i="1" s="1"/>
  <c r="AG331" i="1"/>
  <c r="AH331" i="1" s="1"/>
  <c r="AI331" i="1" s="1"/>
  <c r="AH335" i="1"/>
  <c r="AI335" i="1" s="1"/>
  <c r="AH343" i="1"/>
  <c r="AI343" i="1" s="1"/>
  <c r="AJ345" i="1"/>
  <c r="AK345" i="1" s="1"/>
  <c r="AG347" i="1"/>
  <c r="AH347" i="1" s="1"/>
  <c r="AI347" i="1" s="1"/>
  <c r="AH351" i="1"/>
  <c r="AI351" i="1" s="1"/>
  <c r="AG355" i="1"/>
  <c r="AH355" i="1" s="1"/>
  <c r="AH359" i="1"/>
  <c r="AI359" i="1" s="1"/>
  <c r="AH367" i="1"/>
  <c r="AI367" i="1" s="1"/>
  <c r="AG371" i="1"/>
  <c r="AH371" i="1" s="1"/>
  <c r="AI371" i="1" s="1"/>
  <c r="AH375" i="1"/>
  <c r="AI375" i="1" s="1"/>
  <c r="AG379" i="1"/>
  <c r="AH379" i="1" s="1"/>
  <c r="AI379" i="1" s="1"/>
  <c r="AH383" i="1"/>
  <c r="AI383" i="1" s="1"/>
  <c r="AJ385" i="1"/>
  <c r="AK385" i="1" s="1"/>
  <c r="AG387" i="1"/>
  <c r="AH387" i="1" s="1"/>
  <c r="AI387" i="1" s="1"/>
  <c r="AH391" i="1"/>
  <c r="AI391" i="1" s="1"/>
  <c r="AG395" i="1"/>
  <c r="AH395" i="1" s="1"/>
  <c r="AI395" i="1" s="1"/>
  <c r="AH399" i="1"/>
  <c r="AI399" i="1" s="1"/>
  <c r="AG403" i="1"/>
  <c r="AH403" i="1" s="1"/>
  <c r="AI403" i="1" s="1"/>
  <c r="AG411" i="1"/>
  <c r="AH411" i="1" s="1"/>
  <c r="AI411" i="1" s="1"/>
  <c r="AH415" i="1"/>
  <c r="AG419" i="1"/>
  <c r="AH419" i="1" s="1"/>
  <c r="AI419" i="1" s="1"/>
  <c r="AH423" i="1"/>
  <c r="AI423" i="1" s="1"/>
  <c r="AG427" i="1"/>
  <c r="AH427" i="1" s="1"/>
  <c r="AI427" i="1" s="1"/>
  <c r="AG432" i="1"/>
  <c r="AG439" i="1"/>
  <c r="AJ439" i="1" s="1"/>
  <c r="AK439" i="1" s="1"/>
  <c r="AG449" i="1"/>
  <c r="AH452" i="1"/>
  <c r="AH455" i="1"/>
  <c r="AI455" i="1" s="1"/>
  <c r="AL455" i="1"/>
  <c r="AJ455" i="1"/>
  <c r="AK455" i="1" s="1"/>
  <c r="AH458" i="1"/>
  <c r="AI458" i="1" s="1"/>
  <c r="AG465" i="1"/>
  <c r="AJ465" i="1" s="1"/>
  <c r="AK465" i="1" s="1"/>
  <c r="AH468" i="1"/>
  <c r="AI468" i="1" s="1"/>
  <c r="AG471" i="1"/>
  <c r="AH471" i="1" s="1"/>
  <c r="AI471" i="1" s="1"/>
  <c r="AH474" i="1"/>
  <c r="AI474" i="1" s="1"/>
  <c r="AJ478" i="1"/>
  <c r="AK478" i="1" s="1"/>
  <c r="AJ494" i="1"/>
  <c r="AH494" i="1"/>
  <c r="AI494" i="1" s="1"/>
  <c r="AH500" i="1"/>
  <c r="AI500" i="1" s="1"/>
  <c r="AL500" i="1"/>
  <c r="AM500" i="1" s="1"/>
  <c r="AL518" i="1"/>
  <c r="AM518" i="1" s="1"/>
  <c r="AJ524" i="1"/>
  <c r="AK524" i="1" s="1"/>
  <c r="AH538" i="1"/>
  <c r="AI538" i="1" s="1"/>
  <c r="AG206" i="1"/>
  <c r="AJ206" i="1" s="1"/>
  <c r="AK206" i="1" s="1"/>
  <c r="AG214" i="1"/>
  <c r="AJ214" i="1" s="1"/>
  <c r="AK214" i="1" s="1"/>
  <c r="AJ292" i="1"/>
  <c r="AK292" i="1" s="1"/>
  <c r="AJ340" i="1"/>
  <c r="AK340" i="1" s="1"/>
  <c r="AG431" i="1"/>
  <c r="AL431" i="1" s="1"/>
  <c r="AM431" i="1" s="1"/>
  <c r="AH433" i="1"/>
  <c r="AI433" i="1" s="1"/>
  <c r="AH436" i="1"/>
  <c r="AI436" i="1" s="1"/>
  <c r="AJ446" i="1"/>
  <c r="AK446" i="1" s="1"/>
  <c r="AH446" i="1"/>
  <c r="AI446" i="1" s="1"/>
  <c r="AG488" i="1"/>
  <c r="AH488" i="1" s="1"/>
  <c r="AI488" i="1" s="1"/>
  <c r="AL504" i="1"/>
  <c r="AM504" i="1" s="1"/>
  <c r="AJ504" i="1"/>
  <c r="AK504" i="1" s="1"/>
  <c r="AH504" i="1"/>
  <c r="AI504" i="1" s="1"/>
  <c r="AJ510" i="1"/>
  <c r="AK510" i="1" s="1"/>
  <c r="AH510" i="1"/>
  <c r="AI510" i="1" s="1"/>
  <c r="AG513" i="1"/>
  <c r="AL513" i="1" s="1"/>
  <c r="AM513" i="1" s="1"/>
  <c r="AH519" i="1"/>
  <c r="AI519" i="1" s="1"/>
  <c r="AG522" i="1"/>
  <c r="AH522" i="1" s="1"/>
  <c r="AI522" i="1" s="1"/>
  <c r="AJ542" i="1"/>
  <c r="AH542" i="1"/>
  <c r="AI542" i="1" s="1"/>
  <c r="AG615" i="1"/>
  <c r="AJ615" i="1" s="1"/>
  <c r="AK615" i="1" s="1"/>
  <c r="AG193" i="1"/>
  <c r="AJ193" i="1" s="1"/>
  <c r="AK193" i="1" s="1"/>
  <c r="AG209" i="1"/>
  <c r="AG217" i="1"/>
  <c r="AH217" i="1" s="1"/>
  <c r="AG225" i="1"/>
  <c r="AJ225" i="1" s="1"/>
  <c r="AK225" i="1" s="1"/>
  <c r="AG241" i="1"/>
  <c r="AL241" i="1" s="1"/>
  <c r="AM241" i="1" s="1"/>
  <c r="AG249" i="1"/>
  <c r="AL249" i="1" s="1"/>
  <c r="AM249" i="1" s="1"/>
  <c r="AG257" i="1"/>
  <c r="AJ257" i="1" s="1"/>
  <c r="AK257" i="1" s="1"/>
  <c r="AG265" i="1"/>
  <c r="AL265" i="1" s="1"/>
  <c r="AM265" i="1" s="1"/>
  <c r="AG273" i="1"/>
  <c r="AL273" i="1" s="1"/>
  <c r="AM273" i="1" s="1"/>
  <c r="AG281" i="1"/>
  <c r="AG289" i="1"/>
  <c r="AL289" i="1" s="1"/>
  <c r="AM289" i="1" s="1"/>
  <c r="AG297" i="1"/>
  <c r="AH297" i="1" s="1"/>
  <c r="AI297" i="1" s="1"/>
  <c r="AG305" i="1"/>
  <c r="AL305" i="1" s="1"/>
  <c r="AM305" i="1" s="1"/>
  <c r="AG313" i="1"/>
  <c r="AJ313" i="1" s="1"/>
  <c r="AG345" i="1"/>
  <c r="AH345" i="1" s="1"/>
  <c r="AI345" i="1" s="1"/>
  <c r="AG353" i="1"/>
  <c r="AL353" i="1" s="1"/>
  <c r="AM353" i="1" s="1"/>
  <c r="AG361" i="1"/>
  <c r="AJ361" i="1" s="1"/>
  <c r="AK361" i="1" s="1"/>
  <c r="AG369" i="1"/>
  <c r="AJ369" i="1" s="1"/>
  <c r="AG377" i="1"/>
  <c r="AH377" i="1" s="1"/>
  <c r="AI377" i="1" s="1"/>
  <c r="AG393" i="1"/>
  <c r="AL393" i="1" s="1"/>
  <c r="AG401" i="1"/>
  <c r="AL401" i="1" s="1"/>
  <c r="AM401" i="1" s="1"/>
  <c r="AG417" i="1"/>
  <c r="AL417" i="1" s="1"/>
  <c r="AM417" i="1" s="1"/>
  <c r="AJ452" i="1"/>
  <c r="AK452" i="1" s="1"/>
  <c r="AL456" i="1"/>
  <c r="AJ456" i="1"/>
  <c r="AK456" i="1" s="1"/>
  <c r="AH456" i="1"/>
  <c r="AI456" i="1" s="1"/>
  <c r="AJ468" i="1"/>
  <c r="AK468" i="1" s="1"/>
  <c r="AG472" i="1"/>
  <c r="AH472" i="1" s="1"/>
  <c r="AI472" i="1" s="1"/>
  <c r="AL478" i="1"/>
  <c r="AM478" i="1" s="1"/>
  <c r="AL482" i="1"/>
  <c r="AM482" i="1" s="1"/>
  <c r="AJ482" i="1"/>
  <c r="AK482" i="1" s="1"/>
  <c r="AG485" i="1"/>
  <c r="AL485" i="1" s="1"/>
  <c r="AM485" i="1" s="1"/>
  <c r="AH492" i="1"/>
  <c r="AI492" i="1" s="1"/>
  <c r="AH495" i="1"/>
  <c r="AI495" i="1" s="1"/>
  <c r="AL510" i="1"/>
  <c r="AM510" i="1" s="1"/>
  <c r="AH516" i="1"/>
  <c r="AI516" i="1" s="1"/>
  <c r="AL516" i="1"/>
  <c r="AM516" i="1" s="1"/>
  <c r="AH529" i="1"/>
  <c r="AI529" i="1" s="1"/>
  <c r="AG529" i="1"/>
  <c r="AL529" i="1" s="1"/>
  <c r="AM529" i="1" s="1"/>
  <c r="AG532" i="1"/>
  <c r="AJ532" i="1" s="1"/>
  <c r="AK532" i="1" s="1"/>
  <c r="AL633" i="1"/>
  <c r="AJ633" i="1"/>
  <c r="AK633" i="1" s="1"/>
  <c r="AL672" i="1"/>
  <c r="AM672" i="1" s="1"/>
  <c r="AJ672" i="1"/>
  <c r="AK672" i="1" s="1"/>
  <c r="AG188" i="1"/>
  <c r="AG196" i="1"/>
  <c r="AG204" i="1"/>
  <c r="AH204" i="1" s="1"/>
  <c r="AI204" i="1" s="1"/>
  <c r="AG212" i="1"/>
  <c r="AH212" i="1" s="1"/>
  <c r="AI212" i="1" s="1"/>
  <c r="AG435" i="1"/>
  <c r="AJ438" i="1"/>
  <c r="AK438" i="1" s="1"/>
  <c r="AL450" i="1"/>
  <c r="AM450" i="1" s="1"/>
  <c r="AJ450" i="1"/>
  <c r="AK450" i="1" s="1"/>
  <c r="AL466" i="1"/>
  <c r="AM466" i="1" s="1"/>
  <c r="AJ466" i="1"/>
  <c r="AK466" i="1" s="1"/>
  <c r="AG489" i="1"/>
  <c r="AJ489" i="1" s="1"/>
  <c r="AK489" i="1" s="1"/>
  <c r="AH511" i="1"/>
  <c r="AI511" i="1" s="1"/>
  <c r="AJ514" i="1"/>
  <c r="AK514" i="1" s="1"/>
  <c r="AJ516" i="1"/>
  <c r="AK516" i="1" s="1"/>
  <c r="AL523" i="1"/>
  <c r="AM523" i="1" s="1"/>
  <c r="AG523" i="1"/>
  <c r="AJ549" i="1"/>
  <c r="AK549" i="1" s="1"/>
  <c r="AH549" i="1"/>
  <c r="AL549" i="1"/>
  <c r="AM549" i="1" s="1"/>
  <c r="AH640" i="1"/>
  <c r="AI640" i="1" s="1"/>
  <c r="AL640" i="1"/>
  <c r="AM640" i="1" s="1"/>
  <c r="AJ640" i="1"/>
  <c r="AH437" i="1"/>
  <c r="AI437" i="1" s="1"/>
  <c r="AJ495" i="1"/>
  <c r="AJ511" i="1"/>
  <c r="AK511" i="1" s="1"/>
  <c r="AJ519" i="1"/>
  <c r="AK519" i="1" s="1"/>
  <c r="AH533" i="1"/>
  <c r="AI533" i="1" s="1"/>
  <c r="AJ535" i="1"/>
  <c r="AK535" i="1" s="1"/>
  <c r="AH547" i="1"/>
  <c r="AI547" i="1" s="1"/>
  <c r="AJ547" i="1"/>
  <c r="AK547" i="1" s="1"/>
  <c r="AJ552" i="1"/>
  <c r="AK552" i="1" s="1"/>
  <c r="AJ566" i="1"/>
  <c r="AK566" i="1" s="1"/>
  <c r="AG569" i="1"/>
  <c r="AL569" i="1" s="1"/>
  <c r="AM569" i="1" s="1"/>
  <c r="AG589" i="1"/>
  <c r="AL589" i="1" s="1"/>
  <c r="AM589" i="1" s="1"/>
  <c r="AJ602" i="1"/>
  <c r="AK602" i="1" s="1"/>
  <c r="AG605" i="1"/>
  <c r="AJ622" i="1"/>
  <c r="AK622" i="1" s="1"/>
  <c r="AG625" i="1"/>
  <c r="AL625" i="1" s="1"/>
  <c r="AM625" i="1" s="1"/>
  <c r="AG699" i="1"/>
  <c r="AJ699" i="1" s="1"/>
  <c r="AK699" i="1" s="1"/>
  <c r="AJ522" i="1"/>
  <c r="AK522" i="1" s="1"/>
  <c r="AG573" i="1"/>
  <c r="AJ573" i="1" s="1"/>
  <c r="AK573" i="1" s="1"/>
  <c r="AG579" i="1"/>
  <c r="AJ586" i="1"/>
  <c r="AK586" i="1" s="1"/>
  <c r="AH586" i="1"/>
  <c r="AJ634" i="1"/>
  <c r="AH634" i="1"/>
  <c r="AI634" i="1" s="1"/>
  <c r="AH641" i="1"/>
  <c r="AL649" i="1"/>
  <c r="AM649" i="1" s="1"/>
  <c r="AJ649" i="1"/>
  <c r="AK649" i="1" s="1"/>
  <c r="AL652" i="1"/>
  <c r="AM652" i="1" s="1"/>
  <c r="AH652" i="1"/>
  <c r="AI652" i="1" s="1"/>
  <c r="AH661" i="1"/>
  <c r="AI661" i="1" s="1"/>
  <c r="AG880" i="1"/>
  <c r="AJ880" i="1" s="1"/>
  <c r="AK880" i="1" s="1"/>
  <c r="AG447" i="1"/>
  <c r="AH447" i="1" s="1"/>
  <c r="AI447" i="1" s="1"/>
  <c r="AG463" i="1"/>
  <c r="AJ463" i="1" s="1"/>
  <c r="AK463" i="1" s="1"/>
  <c r="AG479" i="1"/>
  <c r="AL479" i="1" s="1"/>
  <c r="AM479" i="1" s="1"/>
  <c r="AH523" i="1"/>
  <c r="AI523" i="1" s="1"/>
  <c r="AG527" i="1"/>
  <c r="AJ527" i="1" s="1"/>
  <c r="AK527" i="1" s="1"/>
  <c r="AG535" i="1"/>
  <c r="AL535" i="1" s="1"/>
  <c r="AM535" i="1" s="1"/>
  <c r="AG557" i="1"/>
  <c r="AJ557" i="1" s="1"/>
  <c r="AK557" i="1" s="1"/>
  <c r="AH560" i="1"/>
  <c r="AI560" i="1" s="1"/>
  <c r="AH566" i="1"/>
  <c r="AI566" i="1" s="1"/>
  <c r="AJ570" i="1"/>
  <c r="AK570" i="1" s="1"/>
  <c r="AH576" i="1"/>
  <c r="AI576" i="1" s="1"/>
  <c r="AL576" i="1"/>
  <c r="AM576" i="1" s="1"/>
  <c r="AL586" i="1"/>
  <c r="AM586" i="1" s="1"/>
  <c r="AL590" i="1"/>
  <c r="AM590" i="1" s="1"/>
  <c r="AJ590" i="1"/>
  <c r="AK590" i="1" s="1"/>
  <c r="AL602" i="1"/>
  <c r="AM602" i="1" s="1"/>
  <c r="AH622" i="1"/>
  <c r="AI622" i="1" s="1"/>
  <c r="AG629" i="1"/>
  <c r="AJ629" i="1" s="1"/>
  <c r="AL634" i="1"/>
  <c r="AM634" i="1" s="1"/>
  <c r="AJ644" i="1"/>
  <c r="AK644" i="1" s="1"/>
  <c r="AH650" i="1"/>
  <c r="AH438" i="1"/>
  <c r="AI438" i="1" s="1"/>
  <c r="AH486" i="1"/>
  <c r="AI486" i="1" s="1"/>
  <c r="AH534" i="1"/>
  <c r="AI534" i="1" s="1"/>
  <c r="AG580" i="1"/>
  <c r="AL580" i="1" s="1"/>
  <c r="AM580" i="1" s="1"/>
  <c r="AG597" i="1"/>
  <c r="AH597" i="1" s="1"/>
  <c r="AI597" i="1" s="1"/>
  <c r="AG613" i="1"/>
  <c r="AL613" i="1" s="1"/>
  <c r="AG623" i="1"/>
  <c r="AL623" i="1" s="1"/>
  <c r="AM623" i="1" s="1"/>
  <c r="AJ626" i="1"/>
  <c r="AK626" i="1" s="1"/>
  <c r="AH626" i="1"/>
  <c r="AI626" i="1" s="1"/>
  <c r="AH635" i="1"/>
  <c r="AI635" i="1" s="1"/>
  <c r="AL635" i="1"/>
  <c r="AM635" i="1" s="1"/>
  <c r="AJ635" i="1"/>
  <c r="AK635" i="1" s="1"/>
  <c r="AL641" i="1"/>
  <c r="AM641" i="1" s="1"/>
  <c r="AJ641" i="1"/>
  <c r="AK641" i="1" s="1"/>
  <c r="AL644" i="1"/>
  <c r="AH644" i="1"/>
  <c r="AI644" i="1" s="1"/>
  <c r="AG653" i="1"/>
  <c r="AJ653" i="1" s="1"/>
  <c r="AK653" i="1" s="1"/>
  <c r="AG669" i="1"/>
  <c r="AL669" i="1" s="1"/>
  <c r="AM669" i="1" s="1"/>
  <c r="AJ669" i="1"/>
  <c r="AK669" i="1" s="1"/>
  <c r="AJ736" i="1"/>
  <c r="AK736" i="1" s="1"/>
  <c r="AH736" i="1"/>
  <c r="AI736" i="1" s="1"/>
  <c r="AL736" i="1"/>
  <c r="AM736" i="1" s="1"/>
  <c r="AG755" i="1"/>
  <c r="AH755" i="1" s="1"/>
  <c r="AI755" i="1" s="1"/>
  <c r="AG445" i="1"/>
  <c r="AH445" i="1" s="1"/>
  <c r="AG453" i="1"/>
  <c r="AL453" i="1" s="1"/>
  <c r="AM453" i="1" s="1"/>
  <c r="AJ459" i="1"/>
  <c r="AK459" i="1" s="1"/>
  <c r="AG461" i="1"/>
  <c r="AH461" i="1" s="1"/>
  <c r="AG469" i="1"/>
  <c r="AJ469" i="1" s="1"/>
  <c r="AK469" i="1" s="1"/>
  <c r="AG493" i="1"/>
  <c r="AL493" i="1" s="1"/>
  <c r="AM493" i="1" s="1"/>
  <c r="AG501" i="1"/>
  <c r="AJ501" i="1" s="1"/>
  <c r="AK501" i="1" s="1"/>
  <c r="AG509" i="1"/>
  <c r="AL509" i="1" s="1"/>
  <c r="AM509" i="1" s="1"/>
  <c r="AG517" i="1"/>
  <c r="AH517" i="1" s="1"/>
  <c r="AJ523" i="1"/>
  <c r="AK523" i="1" s="1"/>
  <c r="AG525" i="1"/>
  <c r="AJ525" i="1" s="1"/>
  <c r="AK525" i="1" s="1"/>
  <c r="AG541" i="1"/>
  <c r="AH541" i="1" s="1"/>
  <c r="AI541" i="1" s="1"/>
  <c r="AG545" i="1"/>
  <c r="AJ545" i="1" s="1"/>
  <c r="AK545" i="1" s="1"/>
  <c r="AJ560" i="1"/>
  <c r="AK560" i="1" s="1"/>
  <c r="AL570" i="1"/>
  <c r="AM570" i="1" s="1"/>
  <c r="AG577" i="1"/>
  <c r="AJ577" i="1" s="1"/>
  <c r="AK577" i="1" s="1"/>
  <c r="AL591" i="1"/>
  <c r="AM591" i="1" s="1"/>
  <c r="AJ591" i="1"/>
  <c r="AK591" i="1" s="1"/>
  <c r="AH591" i="1"/>
  <c r="AI591" i="1" s="1"/>
  <c r="AL626" i="1"/>
  <c r="AM626" i="1" s="1"/>
  <c r="AH642" i="1"/>
  <c r="AI642" i="1" s="1"/>
  <c r="AL650" i="1"/>
  <c r="AM650" i="1" s="1"/>
  <c r="AL655" i="1"/>
  <c r="AM655" i="1" s="1"/>
  <c r="AJ655" i="1"/>
  <c r="AK655" i="1" s="1"/>
  <c r="AL670" i="1"/>
  <c r="AM670" i="1" s="1"/>
  <c r="AJ670" i="1"/>
  <c r="AK670" i="1" s="1"/>
  <c r="AH670" i="1"/>
  <c r="AI670" i="1" s="1"/>
  <c r="AJ798" i="1"/>
  <c r="AK798" i="1" s="1"/>
  <c r="AH798" i="1"/>
  <c r="AI798" i="1" s="1"/>
  <c r="AL798" i="1"/>
  <c r="AM798" i="1" s="1"/>
  <c r="AG440" i="1"/>
  <c r="AH440" i="1" s="1"/>
  <c r="AI440" i="1" s="1"/>
  <c r="AG448" i="1"/>
  <c r="AH448" i="1" s="1"/>
  <c r="AI448" i="1" s="1"/>
  <c r="AG464" i="1"/>
  <c r="AL464" i="1" s="1"/>
  <c r="AM464" i="1" s="1"/>
  <c r="AG480" i="1"/>
  <c r="AL480" i="1" s="1"/>
  <c r="AM480" i="1" s="1"/>
  <c r="AG496" i="1"/>
  <c r="AG528" i="1"/>
  <c r="AJ528" i="1" s="1"/>
  <c r="AK528" i="1" s="1"/>
  <c r="AG536" i="1"/>
  <c r="AJ536" i="1" s="1"/>
  <c r="AL542" i="1"/>
  <c r="AM542" i="1" s="1"/>
  <c r="AH546" i="1"/>
  <c r="AI546" i="1" s="1"/>
  <c r="AL548" i="1"/>
  <c r="AH548" i="1"/>
  <c r="AI548" i="1" s="1"/>
  <c r="AL554" i="1"/>
  <c r="AM554" i="1" s="1"/>
  <c r="AH574" i="1"/>
  <c r="AI574" i="1" s="1"/>
  <c r="AG581" i="1"/>
  <c r="AJ581" i="1" s="1"/>
  <c r="AK581" i="1" s="1"/>
  <c r="AL594" i="1"/>
  <c r="AG614" i="1"/>
  <c r="AH614" i="1" s="1"/>
  <c r="AI614" i="1" s="1"/>
  <c r="AH633" i="1"/>
  <c r="AI633" i="1" s="1"/>
  <c r="AL636" i="1"/>
  <c r="AM636" i="1" s="1"/>
  <c r="AJ636" i="1"/>
  <c r="AK636" i="1" s="1"/>
  <c r="AH636" i="1"/>
  <c r="AI636" i="1" s="1"/>
  <c r="AG645" i="1"/>
  <c r="AJ645" i="1" s="1"/>
  <c r="AK645" i="1" s="1"/>
  <c r="AH648" i="1"/>
  <c r="AI648" i="1" s="1"/>
  <c r="AL648" i="1"/>
  <c r="AM648" i="1" s="1"/>
  <c r="AH651" i="1"/>
  <c r="AJ752" i="1"/>
  <c r="AK752" i="1" s="1"/>
  <c r="AL752" i="1"/>
  <c r="AM752" i="1" s="1"/>
  <c r="AG782" i="1"/>
  <c r="AJ782" i="1" s="1"/>
  <c r="AK782" i="1" s="1"/>
  <c r="AH833" i="1"/>
  <c r="AI833" i="1" s="1"/>
  <c r="AL833" i="1"/>
  <c r="AM833" i="1" s="1"/>
  <c r="AJ833" i="1"/>
  <c r="AK833" i="1" s="1"/>
  <c r="AG443" i="1"/>
  <c r="AG451" i="1"/>
  <c r="AL451" i="1" s="1"/>
  <c r="AM451" i="1" s="1"/>
  <c r="AG459" i="1"/>
  <c r="AH459" i="1" s="1"/>
  <c r="AI459" i="1" s="1"/>
  <c r="AG467" i="1"/>
  <c r="AL467" i="1" s="1"/>
  <c r="AM467" i="1" s="1"/>
  <c r="AG475" i="1"/>
  <c r="AJ475" i="1" s="1"/>
  <c r="AK475" i="1" s="1"/>
  <c r="AG483" i="1"/>
  <c r="AJ483" i="1" s="1"/>
  <c r="AK483" i="1" s="1"/>
  <c r="AG491" i="1"/>
  <c r="AH491" i="1" s="1"/>
  <c r="AI491" i="1" s="1"/>
  <c r="AG499" i="1"/>
  <c r="AL499" i="1" s="1"/>
  <c r="AM499" i="1" s="1"/>
  <c r="AG507" i="1"/>
  <c r="AG515" i="1"/>
  <c r="AH515" i="1" s="1"/>
  <c r="AI515" i="1" s="1"/>
  <c r="AG539" i="1"/>
  <c r="AJ539" i="1" s="1"/>
  <c r="AK539" i="1" s="1"/>
  <c r="AL546" i="1"/>
  <c r="AM546" i="1" s="1"/>
  <c r="AH558" i="1"/>
  <c r="AG565" i="1"/>
  <c r="AJ565" i="1" s="1"/>
  <c r="AK565" i="1" s="1"/>
  <c r="AG568" i="1"/>
  <c r="AJ568" i="1" s="1"/>
  <c r="AK568" i="1" s="1"/>
  <c r="AJ578" i="1"/>
  <c r="AK578" i="1" s="1"/>
  <c r="AH595" i="1"/>
  <c r="AI595" i="1" s="1"/>
  <c r="AH611" i="1"/>
  <c r="AI611" i="1" s="1"/>
  <c r="AG621" i="1"/>
  <c r="AH621" i="1" s="1"/>
  <c r="AI621" i="1" s="1"/>
  <c r="AG624" i="1"/>
  <c r="AJ624" i="1" s="1"/>
  <c r="AK624" i="1" s="1"/>
  <c r="AL642" i="1"/>
  <c r="AM642" i="1" s="1"/>
  <c r="AJ648" i="1"/>
  <c r="AK648" i="1" s="1"/>
  <c r="AJ656" i="1"/>
  <c r="AK656" i="1" s="1"/>
  <c r="AL714" i="1"/>
  <c r="AM714" i="1" s="1"/>
  <c r="AJ714" i="1"/>
  <c r="AK714" i="1" s="1"/>
  <c r="AH714" i="1"/>
  <c r="AI714" i="1" s="1"/>
  <c r="AG723" i="1"/>
  <c r="AJ587" i="1"/>
  <c r="AK587" i="1" s="1"/>
  <c r="AJ595" i="1"/>
  <c r="AJ603" i="1"/>
  <c r="AK603" i="1" s="1"/>
  <c r="AJ611" i="1"/>
  <c r="AK611" i="1" s="1"/>
  <c r="AJ619" i="1"/>
  <c r="AK619" i="1" s="1"/>
  <c r="AH625" i="1"/>
  <c r="AI625" i="1" s="1"/>
  <c r="AJ627" i="1"/>
  <c r="AK627" i="1" s="1"/>
  <c r="AJ643" i="1"/>
  <c r="AK643" i="1" s="1"/>
  <c r="AJ651" i="1"/>
  <c r="AK651" i="1" s="1"/>
  <c r="AG660" i="1"/>
  <c r="AH681" i="1"/>
  <c r="AI681" i="1" s="1"/>
  <c r="AL681" i="1"/>
  <c r="AM681" i="1" s="1"/>
  <c r="AJ681" i="1"/>
  <c r="AK681" i="1" s="1"/>
  <c r="AJ703" i="1"/>
  <c r="AK703" i="1" s="1"/>
  <c r="AJ706" i="1"/>
  <c r="AK706" i="1" s="1"/>
  <c r="AG724" i="1"/>
  <c r="AH724" i="1" s="1"/>
  <c r="AI724" i="1" s="1"/>
  <c r="AL743" i="1"/>
  <c r="AM743" i="1" s="1"/>
  <c r="AJ743" i="1"/>
  <c r="AG584" i="1"/>
  <c r="AL600" i="1"/>
  <c r="AG608" i="1"/>
  <c r="AG616" i="1"/>
  <c r="AL632" i="1"/>
  <c r="AM632" i="1" s="1"/>
  <c r="AJ661" i="1"/>
  <c r="AK661" i="1" s="1"/>
  <c r="AH664" i="1"/>
  <c r="AI664" i="1" s="1"/>
  <c r="AG675" i="1"/>
  <c r="AJ675" i="1" s="1"/>
  <c r="AK675" i="1" s="1"/>
  <c r="AG677" i="1"/>
  <c r="AL677" i="1" s="1"/>
  <c r="AM677" i="1" s="1"/>
  <c r="AH688" i="1"/>
  <c r="AI688" i="1" s="1"/>
  <c r="AG691" i="1"/>
  <c r="AH691" i="1" s="1"/>
  <c r="AG715" i="1"/>
  <c r="AJ715" i="1" s="1"/>
  <c r="AK715" i="1" s="1"/>
  <c r="AH737" i="1"/>
  <c r="AI737" i="1" s="1"/>
  <c r="AL737" i="1"/>
  <c r="AM737" i="1" s="1"/>
  <c r="AJ737" i="1"/>
  <c r="AK737" i="1" s="1"/>
  <c r="AH744" i="1"/>
  <c r="AI744" i="1" s="1"/>
  <c r="AL797" i="1"/>
  <c r="AM797" i="1" s="1"/>
  <c r="AJ797" i="1"/>
  <c r="AH797" i="1"/>
  <c r="AI797" i="1" s="1"/>
  <c r="AL962" i="1"/>
  <c r="AM962" i="1" s="1"/>
  <c r="AJ962" i="1"/>
  <c r="AK962" i="1" s="1"/>
  <c r="AG555" i="1"/>
  <c r="AH555" i="1" s="1"/>
  <c r="AI555" i="1" s="1"/>
  <c r="AL555" i="1"/>
  <c r="AM555" i="1" s="1"/>
  <c r="AG563" i="1"/>
  <c r="AH563" i="1" s="1"/>
  <c r="AJ569" i="1"/>
  <c r="AK569" i="1" s="1"/>
  <c r="AG571" i="1"/>
  <c r="AL571" i="1" s="1"/>
  <c r="AM571" i="1" s="1"/>
  <c r="AJ625" i="1"/>
  <c r="AK625" i="1" s="1"/>
  <c r="AG659" i="1"/>
  <c r="AJ659" i="1" s="1"/>
  <c r="AK659" i="1" s="1"/>
  <c r="AJ663" i="1"/>
  <c r="AK663" i="1" s="1"/>
  <c r="AG667" i="1"/>
  <c r="AH667" i="1" s="1"/>
  <c r="AI667" i="1" s="1"/>
  <c r="AG671" i="1"/>
  <c r="AL679" i="1"/>
  <c r="AM679" i="1" s="1"/>
  <c r="AJ679" i="1"/>
  <c r="AH679" i="1"/>
  <c r="AI679" i="1" s="1"/>
  <c r="AG725" i="1"/>
  <c r="AL725" i="1" s="1"/>
  <c r="AM725" i="1" s="1"/>
  <c r="AH734" i="1"/>
  <c r="AI734" i="1" s="1"/>
  <c r="AL734" i="1"/>
  <c r="AM734" i="1" s="1"/>
  <c r="AG747" i="1"/>
  <c r="AJ747" i="1" s="1"/>
  <c r="AK747" i="1" s="1"/>
  <c r="AG759" i="1"/>
  <c r="AL770" i="1"/>
  <c r="AM770" i="1" s="1"/>
  <c r="AJ770" i="1"/>
  <c r="AK770" i="1" s="1"/>
  <c r="AH578" i="1"/>
  <c r="AI578" i="1" s="1"/>
  <c r="AG598" i="1"/>
  <c r="AH598" i="1" s="1"/>
  <c r="AI598" i="1" s="1"/>
  <c r="AG606" i="1"/>
  <c r="AH606" i="1" s="1"/>
  <c r="AI606" i="1" s="1"/>
  <c r="AG630" i="1"/>
  <c r="AL630" i="1" s="1"/>
  <c r="AM630" i="1" s="1"/>
  <c r="AG638" i="1"/>
  <c r="AH638" i="1" s="1"/>
  <c r="AI638" i="1" s="1"/>
  <c r="AG646" i="1"/>
  <c r="AH646" i="1" s="1"/>
  <c r="AJ657" i="1"/>
  <c r="AK657" i="1" s="1"/>
  <c r="AG658" i="1"/>
  <c r="AL658" i="1" s="1"/>
  <c r="AM658" i="1" s="1"/>
  <c r="AL661" i="1"/>
  <c r="AM661" i="1" s="1"/>
  <c r="AL688" i="1"/>
  <c r="AG707" i="1"/>
  <c r="AJ707" i="1" s="1"/>
  <c r="AK707" i="1" s="1"/>
  <c r="AG731" i="1"/>
  <c r="AJ731" i="1" s="1"/>
  <c r="AK731" i="1" s="1"/>
  <c r="AJ734" i="1"/>
  <c r="AK734" i="1" s="1"/>
  <c r="AL744" i="1"/>
  <c r="AM744" i="1" s="1"/>
  <c r="AH751" i="1"/>
  <c r="AI751" i="1" s="1"/>
  <c r="AJ766" i="1"/>
  <c r="AK766" i="1" s="1"/>
  <c r="AH770" i="1"/>
  <c r="AI770" i="1" s="1"/>
  <c r="AG553" i="1"/>
  <c r="AJ553" i="1" s="1"/>
  <c r="AK553" i="1" s="1"/>
  <c r="AG561" i="1"/>
  <c r="AJ561" i="1" s="1"/>
  <c r="AK561" i="1" s="1"/>
  <c r="AG585" i="1"/>
  <c r="AH585" i="1" s="1"/>
  <c r="AI585" i="1" s="1"/>
  <c r="AG601" i="1"/>
  <c r="AH601" i="1" s="1"/>
  <c r="AI601" i="1" s="1"/>
  <c r="AG609" i="1"/>
  <c r="AL609" i="1" s="1"/>
  <c r="AM609" i="1" s="1"/>
  <c r="AG617" i="1"/>
  <c r="AJ623" i="1"/>
  <c r="AK623" i="1" s="1"/>
  <c r="AH655" i="1"/>
  <c r="AH656" i="1"/>
  <c r="AI656" i="1" s="1"/>
  <c r="AJ664" i="1"/>
  <c r="AK664" i="1" s="1"/>
  <c r="AJ666" i="1"/>
  <c r="AK666" i="1" s="1"/>
  <c r="AH666" i="1"/>
  <c r="AI666" i="1" s="1"/>
  <c r="AJ698" i="1"/>
  <c r="AK698" i="1" s="1"/>
  <c r="AJ711" i="1"/>
  <c r="AK711" i="1" s="1"/>
  <c r="AG722" i="1"/>
  <c r="AL728" i="1"/>
  <c r="AM728" i="1" s="1"/>
  <c r="AH760" i="1"/>
  <c r="AI760" i="1" s="1"/>
  <c r="AL867" i="1"/>
  <c r="AJ867" i="1"/>
  <c r="AK867" i="1" s="1"/>
  <c r="AJ890" i="1"/>
  <c r="AL890" i="1"/>
  <c r="AM890" i="1" s="1"/>
  <c r="AH890" i="1"/>
  <c r="AI890" i="1" s="1"/>
  <c r="AH936" i="1"/>
  <c r="AI936" i="1" s="1"/>
  <c r="AL936" i="1"/>
  <c r="AJ936" i="1"/>
  <c r="AK936" i="1" s="1"/>
  <c r="AG556" i="1"/>
  <c r="AL556" i="1" s="1"/>
  <c r="AM556" i="1" s="1"/>
  <c r="AG564" i="1"/>
  <c r="AL564" i="1" s="1"/>
  <c r="AM564" i="1" s="1"/>
  <c r="AG572" i="1"/>
  <c r="AG588" i="1"/>
  <c r="AJ588" i="1" s="1"/>
  <c r="AG596" i="1"/>
  <c r="AJ596" i="1" s="1"/>
  <c r="AK596" i="1" s="1"/>
  <c r="AG604" i="1"/>
  <c r="AJ604" i="1" s="1"/>
  <c r="AK604" i="1" s="1"/>
  <c r="AG612" i="1"/>
  <c r="AJ612" i="1" s="1"/>
  <c r="AK612" i="1" s="1"/>
  <c r="AG620" i="1"/>
  <c r="AJ620" i="1" s="1"/>
  <c r="AK620" i="1" s="1"/>
  <c r="AG628" i="1"/>
  <c r="AH628" i="1" s="1"/>
  <c r="AG683" i="1"/>
  <c r="AJ683" i="1" s="1"/>
  <c r="AK683" i="1" s="1"/>
  <c r="AH726" i="1"/>
  <c r="AI726" i="1" s="1"/>
  <c r="AL726" i="1"/>
  <c r="AM726" i="1" s="1"/>
  <c r="AL735" i="1"/>
  <c r="AM735" i="1" s="1"/>
  <c r="AJ735" i="1"/>
  <c r="AK735" i="1" s="1"/>
  <c r="AH735" i="1"/>
  <c r="AI735" i="1" s="1"/>
  <c r="AG739" i="1"/>
  <c r="AJ739" i="1" s="1"/>
  <c r="AK739" i="1" s="1"/>
  <c r="AL751" i="1"/>
  <c r="AM751" i="1" s="1"/>
  <c r="AJ751" i="1"/>
  <c r="AK751" i="1" s="1"/>
  <c r="AG763" i="1"/>
  <c r="AJ763" i="1" s="1"/>
  <c r="AK763" i="1" s="1"/>
  <c r="AG543" i="1"/>
  <c r="AH543" i="1" s="1"/>
  <c r="AI543" i="1" s="1"/>
  <c r="AG551" i="1"/>
  <c r="AH551" i="1" s="1"/>
  <c r="AI551" i="1" s="1"/>
  <c r="AG559" i="1"/>
  <c r="AH559" i="1" s="1"/>
  <c r="AG567" i="1"/>
  <c r="AJ567" i="1" s="1"/>
  <c r="AK567" i="1" s="1"/>
  <c r="AG575" i="1"/>
  <c r="AH575" i="1" s="1"/>
  <c r="AI575" i="1" s="1"/>
  <c r="AG583" i="1"/>
  <c r="AH583" i="1" s="1"/>
  <c r="AI583" i="1" s="1"/>
  <c r="AG599" i="1"/>
  <c r="AL599" i="1" s="1"/>
  <c r="AG607" i="1"/>
  <c r="AH607" i="1" s="1"/>
  <c r="AI607" i="1" s="1"/>
  <c r="AG631" i="1"/>
  <c r="AL631" i="1" s="1"/>
  <c r="AM631" i="1" s="1"/>
  <c r="AG639" i="1"/>
  <c r="AH639" i="1" s="1"/>
  <c r="AI639" i="1" s="1"/>
  <c r="AG647" i="1"/>
  <c r="AH647" i="1" s="1"/>
  <c r="AI647" i="1" s="1"/>
  <c r="AL664" i="1"/>
  <c r="AM664" i="1" s="1"/>
  <c r="AH672" i="1"/>
  <c r="AI672" i="1" s="1"/>
  <c r="AH678" i="1"/>
  <c r="AI678" i="1" s="1"/>
  <c r="AJ680" i="1"/>
  <c r="AK680" i="1" s="1"/>
  <c r="AJ690" i="1"/>
  <c r="AK690" i="1" s="1"/>
  <c r="AG705" i="1"/>
  <c r="AJ705" i="1" s="1"/>
  <c r="AK705" i="1" s="1"/>
  <c r="AJ726" i="1"/>
  <c r="AK726" i="1" s="1"/>
  <c r="AH743" i="1"/>
  <c r="AI743" i="1" s="1"/>
  <c r="AH752" i="1"/>
  <c r="AI752" i="1" s="1"/>
  <c r="AL760" i="1"/>
  <c r="AM760" i="1" s="1"/>
  <c r="AL767" i="1"/>
  <c r="AM767" i="1" s="1"/>
  <c r="AH767" i="1"/>
  <c r="AI767" i="1" s="1"/>
  <c r="AL842" i="1"/>
  <c r="AM842" i="1" s="1"/>
  <c r="AJ842" i="1"/>
  <c r="AH842" i="1"/>
  <c r="AI842" i="1" s="1"/>
  <c r="AH663" i="1"/>
  <c r="AI663" i="1" s="1"/>
  <c r="AH687" i="1"/>
  <c r="AI687" i="1" s="1"/>
  <c r="AH695" i="1"/>
  <c r="AH703" i="1"/>
  <c r="AI703" i="1" s="1"/>
  <c r="AH711" i="1"/>
  <c r="AI711" i="1" s="1"/>
  <c r="AH719" i="1"/>
  <c r="AI719" i="1" s="1"/>
  <c r="AH727" i="1"/>
  <c r="AI727" i="1" s="1"/>
  <c r="AJ771" i="1"/>
  <c r="AK771" i="1" s="1"/>
  <c r="AJ787" i="1"/>
  <c r="AK787" i="1" s="1"/>
  <c r="AL823" i="1"/>
  <c r="AM823" i="1" s="1"/>
  <c r="AG823" i="1"/>
  <c r="AH823" i="1" s="1"/>
  <c r="AI823" i="1" s="1"/>
  <c r="AG830" i="1"/>
  <c r="AJ830" i="1" s="1"/>
  <c r="AK830" i="1" s="1"/>
  <c r="AJ843" i="1"/>
  <c r="AK843" i="1" s="1"/>
  <c r="AH843" i="1"/>
  <c r="AI843" i="1" s="1"/>
  <c r="AG868" i="1"/>
  <c r="AH868" i="1" s="1"/>
  <c r="AI868" i="1" s="1"/>
  <c r="AH885" i="1"/>
  <c r="AI885" i="1" s="1"/>
  <c r="AL885" i="1"/>
  <c r="AM885" i="1" s="1"/>
  <c r="AG974" i="1"/>
  <c r="AJ974" i="1" s="1"/>
  <c r="AK974" i="1" s="1"/>
  <c r="AG662" i="1"/>
  <c r="AH674" i="1"/>
  <c r="AI674" i="1" s="1"/>
  <c r="AH682" i="1"/>
  <c r="AI682" i="1" s="1"/>
  <c r="AG686" i="1"/>
  <c r="AL686" i="1" s="1"/>
  <c r="AM686" i="1" s="1"/>
  <c r="AH690" i="1"/>
  <c r="AI690" i="1" s="1"/>
  <c r="AG694" i="1"/>
  <c r="AL694" i="1" s="1"/>
  <c r="AM694" i="1" s="1"/>
  <c r="AH698" i="1"/>
  <c r="AI698" i="1" s="1"/>
  <c r="AG702" i="1"/>
  <c r="AH706" i="1"/>
  <c r="AI706" i="1" s="1"/>
  <c r="AG710" i="1"/>
  <c r="AG718" i="1"/>
  <c r="AL718" i="1" s="1"/>
  <c r="AM718" i="1" s="1"/>
  <c r="AH722" i="1"/>
  <c r="AI722" i="1" s="1"/>
  <c r="AG742" i="1"/>
  <c r="AL742" i="1" s="1"/>
  <c r="AM742" i="1" s="1"/>
  <c r="AG750" i="1"/>
  <c r="AL750" i="1" s="1"/>
  <c r="AL758" i="1"/>
  <c r="AM758" i="1" s="1"/>
  <c r="AG769" i="1"/>
  <c r="AJ769" i="1" s="1"/>
  <c r="AK769" i="1" s="1"/>
  <c r="AG778" i="1"/>
  <c r="AH778" i="1" s="1"/>
  <c r="AI778" i="1" s="1"/>
  <c r="AJ827" i="1"/>
  <c r="AK827" i="1" s="1"/>
  <c r="AG834" i="1"/>
  <c r="AL834" i="1" s="1"/>
  <c r="AM834" i="1" s="1"/>
  <c r="AH851" i="1"/>
  <c r="AI851" i="1" s="1"/>
  <c r="AG872" i="1"/>
  <c r="AJ872" i="1" s="1"/>
  <c r="AK872" i="1" s="1"/>
  <c r="AG952" i="1"/>
  <c r="AH952" i="1" s="1"/>
  <c r="AI952" i="1" s="1"/>
  <c r="AJ952" i="1"/>
  <c r="AK952" i="1" s="1"/>
  <c r="AG665" i="1"/>
  <c r="AG673" i="1"/>
  <c r="AH673" i="1" s="1"/>
  <c r="AG689" i="1"/>
  <c r="AH689" i="1" s="1"/>
  <c r="AI689" i="1" s="1"/>
  <c r="AL697" i="1"/>
  <c r="AM697" i="1" s="1"/>
  <c r="AL713" i="1"/>
  <c r="AM713" i="1" s="1"/>
  <c r="AL721" i="1"/>
  <c r="AM721" i="1" s="1"/>
  <c r="AH725" i="1"/>
  <c r="AI725" i="1" s="1"/>
  <c r="AL729" i="1"/>
  <c r="AM729" i="1" s="1"/>
  <c r="AL745" i="1"/>
  <c r="AM745" i="1" s="1"/>
  <c r="AL753" i="1"/>
  <c r="AM753" i="1" s="1"/>
  <c r="AL761" i="1"/>
  <c r="AM761" i="1" s="1"/>
  <c r="AG785" i="1"/>
  <c r="AJ785" i="1" s="1"/>
  <c r="AK785" i="1" s="1"/>
  <c r="AL789" i="1"/>
  <c r="AM789" i="1" s="1"/>
  <c r="AJ789" i="1"/>
  <c r="AK789" i="1" s="1"/>
  <c r="AH789" i="1"/>
  <c r="AI789" i="1" s="1"/>
  <c r="AL799" i="1"/>
  <c r="AM799" i="1" s="1"/>
  <c r="AJ799" i="1"/>
  <c r="AK799" i="1" s="1"/>
  <c r="AG806" i="1"/>
  <c r="AL806" i="1" s="1"/>
  <c r="AM806" i="1" s="1"/>
  <c r="AG831" i="1"/>
  <c r="AG838" i="1"/>
  <c r="AJ838" i="1" s="1"/>
  <c r="AK838" i="1" s="1"/>
  <c r="AH844" i="1"/>
  <c r="AI844" i="1" s="1"/>
  <c r="AL844" i="1"/>
  <c r="AM844" i="1" s="1"/>
  <c r="AJ844" i="1"/>
  <c r="AK844" i="1" s="1"/>
  <c r="AG854" i="1"/>
  <c r="AJ854" i="1" s="1"/>
  <c r="AK854" i="1" s="1"/>
  <c r="AG873" i="1"/>
  <c r="AJ873" i="1" s="1"/>
  <c r="AK873" i="1" s="1"/>
  <c r="AL899" i="1"/>
  <c r="AM899" i="1" s="1"/>
  <c r="AJ899" i="1"/>
  <c r="AK899" i="1" s="1"/>
  <c r="AH909" i="1"/>
  <c r="AI909" i="1" s="1"/>
  <c r="AL909" i="1"/>
  <c r="AM909" i="1" s="1"/>
  <c r="AG684" i="1"/>
  <c r="AH684" i="1" s="1"/>
  <c r="AI684" i="1" s="1"/>
  <c r="AG692" i="1"/>
  <c r="AG700" i="1"/>
  <c r="AH700" i="1" s="1"/>
  <c r="AG708" i="1"/>
  <c r="AH708" i="1" s="1"/>
  <c r="AI708" i="1" s="1"/>
  <c r="AG716" i="1"/>
  <c r="AH716" i="1" s="1"/>
  <c r="AI716" i="1" s="1"/>
  <c r="AG732" i="1"/>
  <c r="AH732" i="1" s="1"/>
  <c r="AI732" i="1" s="1"/>
  <c r="AG740" i="1"/>
  <c r="AG748" i="1"/>
  <c r="AH748" i="1" s="1"/>
  <c r="AI748" i="1" s="1"/>
  <c r="AG756" i="1"/>
  <c r="AH756" i="1" s="1"/>
  <c r="AI756" i="1" s="1"/>
  <c r="AG764" i="1"/>
  <c r="AH764" i="1" s="1"/>
  <c r="AI764" i="1" s="1"/>
  <c r="AJ774" i="1"/>
  <c r="AK774" i="1" s="1"/>
  <c r="AH774" i="1"/>
  <c r="AI774" i="1" s="1"/>
  <c r="AJ790" i="1"/>
  <c r="AK790" i="1" s="1"/>
  <c r="AH790" i="1"/>
  <c r="AI790" i="1" s="1"/>
  <c r="AH799" i="1"/>
  <c r="AI799" i="1" s="1"/>
  <c r="AJ803" i="1"/>
  <c r="AJ835" i="1"/>
  <c r="AK835" i="1" s="1"/>
  <c r="AH841" i="1"/>
  <c r="AI841" i="1" s="1"/>
  <c r="AL841" i="1"/>
  <c r="AL851" i="1"/>
  <c r="AL800" i="1"/>
  <c r="AM800" i="1" s="1"/>
  <c r="AJ800" i="1"/>
  <c r="AK800" i="1" s="1"/>
  <c r="AH800" i="1"/>
  <c r="AI800" i="1" s="1"/>
  <c r="AG814" i="1"/>
  <c r="AH814" i="1" s="1"/>
  <c r="AI814" i="1" s="1"/>
  <c r="AG832" i="1"/>
  <c r="AL832" i="1" s="1"/>
  <c r="AM832" i="1" s="1"/>
  <c r="AG878" i="1"/>
  <c r="AJ878" i="1" s="1"/>
  <c r="AK878" i="1" s="1"/>
  <c r="AL883" i="1"/>
  <c r="AM883" i="1" s="1"/>
  <c r="AJ883" i="1"/>
  <c r="AK883" i="1" s="1"/>
  <c r="AL892" i="1"/>
  <c r="AM892" i="1" s="1"/>
  <c r="AH892" i="1"/>
  <c r="AI892" i="1" s="1"/>
  <c r="AJ892" i="1"/>
  <c r="AG966" i="1"/>
  <c r="AJ966" i="1" s="1"/>
  <c r="AK966" i="1" s="1"/>
  <c r="AG730" i="1"/>
  <c r="AJ730" i="1" s="1"/>
  <c r="AK730" i="1" s="1"/>
  <c r="AG738" i="1"/>
  <c r="AG746" i="1"/>
  <c r="AJ746" i="1" s="1"/>
  <c r="AK746" i="1" s="1"/>
  <c r="AG754" i="1"/>
  <c r="AL754" i="1" s="1"/>
  <c r="AG762" i="1"/>
  <c r="AL762" i="1" s="1"/>
  <c r="AM762" i="1" s="1"/>
  <c r="AG786" i="1"/>
  <c r="AH786" i="1" s="1"/>
  <c r="AI786" i="1" s="1"/>
  <c r="AG788" i="1"/>
  <c r="AJ788" i="1" s="1"/>
  <c r="AK788" i="1" s="1"/>
  <c r="AH901" i="1"/>
  <c r="AI901" i="1" s="1"/>
  <c r="AL901" i="1"/>
  <c r="AM901" i="1" s="1"/>
  <c r="AG928" i="1"/>
  <c r="AJ928" i="1" s="1"/>
  <c r="AK928" i="1" s="1"/>
  <c r="AG685" i="1"/>
  <c r="AJ685" i="1" s="1"/>
  <c r="AK685" i="1" s="1"/>
  <c r="AG693" i="1"/>
  <c r="AG701" i="1"/>
  <c r="AL701" i="1" s="1"/>
  <c r="AM701" i="1" s="1"/>
  <c r="AG709" i="1"/>
  <c r="AL709" i="1" s="1"/>
  <c r="AM709" i="1" s="1"/>
  <c r="AG717" i="1"/>
  <c r="AH717" i="1" s="1"/>
  <c r="AI717" i="1" s="1"/>
  <c r="AG733" i="1"/>
  <c r="AH733" i="1" s="1"/>
  <c r="AG741" i="1"/>
  <c r="AJ741" i="1" s="1"/>
  <c r="AK741" i="1" s="1"/>
  <c r="AG749" i="1"/>
  <c r="AJ749" i="1" s="1"/>
  <c r="AG757" i="1"/>
  <c r="AJ757" i="1" s="1"/>
  <c r="AK757" i="1" s="1"/>
  <c r="AG765" i="1"/>
  <c r="AH766" i="1"/>
  <c r="AI766" i="1" s="1"/>
  <c r="AJ767" i="1"/>
  <c r="AK767" i="1" s="1"/>
  <c r="AG777" i="1"/>
  <c r="AJ777" i="1" s="1"/>
  <c r="AK777" i="1" s="1"/>
  <c r="AG793" i="1"/>
  <c r="AJ793" i="1" s="1"/>
  <c r="AK793" i="1" s="1"/>
  <c r="AG822" i="1"/>
  <c r="AG846" i="1"/>
  <c r="AJ846" i="1" s="1"/>
  <c r="AK846" i="1" s="1"/>
  <c r="AL862" i="1"/>
  <c r="AM862" i="1" s="1"/>
  <c r="AG862" i="1"/>
  <c r="AJ862" i="1" s="1"/>
  <c r="AK862" i="1" s="1"/>
  <c r="AL889" i="1"/>
  <c r="AM889" i="1" s="1"/>
  <c r="AJ889" i="1"/>
  <c r="AK889" i="1" s="1"/>
  <c r="AH889" i="1"/>
  <c r="AI889" i="1" s="1"/>
  <c r="AH893" i="1"/>
  <c r="AI893" i="1" s="1"/>
  <c r="AL893" i="1"/>
  <c r="AM893" i="1" s="1"/>
  <c r="AL939" i="1"/>
  <c r="AM939" i="1" s="1"/>
  <c r="AJ939" i="1"/>
  <c r="AK939" i="1" s="1"/>
  <c r="AJ885" i="1"/>
  <c r="AK885" i="1" s="1"/>
  <c r="AG930" i="1"/>
  <c r="AJ930" i="1" s="1"/>
  <c r="AK930" i="1" s="1"/>
  <c r="AH1010" i="1"/>
  <c r="AI1010" i="1" s="1"/>
  <c r="AG1010" i="1"/>
  <c r="AL1010" i="1" s="1"/>
  <c r="AM1010" i="1" s="1"/>
  <c r="AG801" i="1"/>
  <c r="AG809" i="1"/>
  <c r="AJ809" i="1" s="1"/>
  <c r="AG817" i="1"/>
  <c r="AJ817" i="1" s="1"/>
  <c r="AK817" i="1" s="1"/>
  <c r="AG825" i="1"/>
  <c r="AJ825" i="1" s="1"/>
  <c r="AK825" i="1" s="1"/>
  <c r="AG849" i="1"/>
  <c r="AJ849" i="1" s="1"/>
  <c r="AK849" i="1" s="1"/>
  <c r="AH853" i="1"/>
  <c r="AI853" i="1" s="1"/>
  <c r="AG857" i="1"/>
  <c r="AH861" i="1"/>
  <c r="AI861" i="1" s="1"/>
  <c r="AG864" i="1"/>
  <c r="AH864" i="1" s="1"/>
  <c r="AI864" i="1" s="1"/>
  <c r="AG865" i="1"/>
  <c r="AH865" i="1" s="1"/>
  <c r="AI865" i="1" s="1"/>
  <c r="AG870" i="1"/>
  <c r="AJ870" i="1" s="1"/>
  <c r="AK870" i="1" s="1"/>
  <c r="AG882" i="1"/>
  <c r="AH904" i="1"/>
  <c r="AI904" i="1" s="1"/>
  <c r="AL904" i="1"/>
  <c r="AM904" i="1" s="1"/>
  <c r="AG904" i="1"/>
  <c r="AJ904" i="1" s="1"/>
  <c r="AG913" i="1"/>
  <c r="AJ913" i="1" s="1"/>
  <c r="AJ923" i="1"/>
  <c r="AK923" i="1" s="1"/>
  <c r="AH933" i="1"/>
  <c r="AI933" i="1" s="1"/>
  <c r="AJ933" i="1"/>
  <c r="AK933" i="1" s="1"/>
  <c r="AL949" i="1"/>
  <c r="AM949" i="1" s="1"/>
  <c r="AL967" i="1"/>
  <c r="AM967" i="1" s="1"/>
  <c r="AJ967" i="1"/>
  <c r="AK967" i="1" s="1"/>
  <c r="AH967" i="1"/>
  <c r="AI967" i="1" s="1"/>
  <c r="AL975" i="1"/>
  <c r="AM975" i="1" s="1"/>
  <c r="AJ975" i="1"/>
  <c r="AK975" i="1" s="1"/>
  <c r="AH975" i="1"/>
  <c r="AI975" i="1" s="1"/>
  <c r="AG772" i="1"/>
  <c r="AG780" i="1"/>
  <c r="AJ780" i="1" s="1"/>
  <c r="AK780" i="1" s="1"/>
  <c r="AJ786" i="1"/>
  <c r="AK786" i="1" s="1"/>
  <c r="AG796" i="1"/>
  <c r="AJ796" i="1" s="1"/>
  <c r="AG804" i="1"/>
  <c r="AJ804" i="1" s="1"/>
  <c r="AG812" i="1"/>
  <c r="AJ812" i="1" s="1"/>
  <c r="AK812" i="1" s="1"/>
  <c r="AG820" i="1"/>
  <c r="AJ820" i="1" s="1"/>
  <c r="AK820" i="1" s="1"/>
  <c r="AG828" i="1"/>
  <c r="AJ828" i="1" s="1"/>
  <c r="AK828" i="1" s="1"/>
  <c r="AG836" i="1"/>
  <c r="AJ836" i="1" s="1"/>
  <c r="AK836" i="1" s="1"/>
  <c r="AH840" i="1"/>
  <c r="AH848" i="1"/>
  <c r="AI848" i="1" s="1"/>
  <c r="AG852" i="1"/>
  <c r="AJ852" i="1" s="1"/>
  <c r="AK852" i="1" s="1"/>
  <c r="AG860" i="1"/>
  <c r="AJ860" i="1" s="1"/>
  <c r="AK860" i="1" s="1"/>
  <c r="AJ869" i="1"/>
  <c r="AK869" i="1" s="1"/>
  <c r="AG896" i="1"/>
  <c r="AJ896" i="1" s="1"/>
  <c r="AK896" i="1" s="1"/>
  <c r="AJ902" i="1"/>
  <c r="AH913" i="1"/>
  <c r="AI913" i="1" s="1"/>
  <c r="AH915" i="1"/>
  <c r="AI915" i="1" s="1"/>
  <c r="AJ917" i="1"/>
  <c r="AL933" i="1"/>
  <c r="AJ963" i="1"/>
  <c r="AK963" i="1" s="1"/>
  <c r="AL963" i="1"/>
  <c r="AH963" i="1"/>
  <c r="AI963" i="1" s="1"/>
  <c r="AH1001" i="1"/>
  <c r="AI1001" i="1" s="1"/>
  <c r="AJ1001" i="1"/>
  <c r="AL1001" i="1"/>
  <c r="AM1001" i="1" s="1"/>
  <c r="AG1006" i="1"/>
  <c r="AL1006" i="1" s="1"/>
  <c r="AM1006" i="1" s="1"/>
  <c r="AH771" i="1"/>
  <c r="AI771" i="1" s="1"/>
  <c r="AG775" i="1"/>
  <c r="AH775" i="1" s="1"/>
  <c r="AI775" i="1" s="1"/>
  <c r="AH779" i="1"/>
  <c r="AI779" i="1" s="1"/>
  <c r="AG783" i="1"/>
  <c r="AH787" i="1"/>
  <c r="AI787" i="1" s="1"/>
  <c r="AG791" i="1"/>
  <c r="AH791" i="1" s="1"/>
  <c r="AI791" i="1" s="1"/>
  <c r="AH803" i="1"/>
  <c r="AI803" i="1" s="1"/>
  <c r="AG807" i="1"/>
  <c r="AH807" i="1" s="1"/>
  <c r="AI807" i="1" s="1"/>
  <c r="AH811" i="1"/>
  <c r="AI811" i="1" s="1"/>
  <c r="AG815" i="1"/>
  <c r="AH819" i="1"/>
  <c r="AI819" i="1" s="1"/>
  <c r="AH827" i="1"/>
  <c r="AI827" i="1" s="1"/>
  <c r="AH835" i="1"/>
  <c r="AI835" i="1" s="1"/>
  <c r="AG839" i="1"/>
  <c r="AL839" i="1" s="1"/>
  <c r="AM839" i="1" s="1"/>
  <c r="AG847" i="1"/>
  <c r="AG855" i="1"/>
  <c r="AL855" i="1" s="1"/>
  <c r="AM855" i="1" s="1"/>
  <c r="AJ875" i="1"/>
  <c r="AK875" i="1" s="1"/>
  <c r="AJ894" i="1"/>
  <c r="AK894" i="1" s="1"/>
  <c r="AH907" i="1"/>
  <c r="AI907" i="1" s="1"/>
  <c r="AJ909" i="1"/>
  <c r="AL934" i="1"/>
  <c r="AM934" i="1" s="1"/>
  <c r="AJ934" i="1"/>
  <c r="AK934" i="1" s="1"/>
  <c r="AH934" i="1"/>
  <c r="AI934" i="1" s="1"/>
  <c r="AG944" i="1"/>
  <c r="AJ944" i="1" s="1"/>
  <c r="AK944" i="1" s="1"/>
  <c r="AJ979" i="1"/>
  <c r="AH979" i="1"/>
  <c r="AI979" i="1" s="1"/>
  <c r="AL979" i="1"/>
  <c r="AM979" i="1" s="1"/>
  <c r="AG794" i="1"/>
  <c r="AH794" i="1" s="1"/>
  <c r="AI794" i="1" s="1"/>
  <c r="AG802" i="1"/>
  <c r="AH802" i="1" s="1"/>
  <c r="AI802" i="1" s="1"/>
  <c r="AG810" i="1"/>
  <c r="AG818" i="1"/>
  <c r="AH818" i="1" s="1"/>
  <c r="AI818" i="1" s="1"/>
  <c r="AG826" i="1"/>
  <c r="AH826" i="1" s="1"/>
  <c r="AI826" i="1" s="1"/>
  <c r="AG850" i="1"/>
  <c r="AH850" i="1" s="1"/>
  <c r="AI850" i="1" s="1"/>
  <c r="AG858" i="1"/>
  <c r="AH858" i="1" s="1"/>
  <c r="AG884" i="1"/>
  <c r="AJ884" i="1" s="1"/>
  <c r="AK884" i="1" s="1"/>
  <c r="AG905" i="1"/>
  <c r="AL905" i="1" s="1"/>
  <c r="AM905" i="1" s="1"/>
  <c r="AJ947" i="1"/>
  <c r="AK947" i="1" s="1"/>
  <c r="AG964" i="1"/>
  <c r="AL964" i="1" s="1"/>
  <c r="AM964" i="1" s="1"/>
  <c r="AJ980" i="1"/>
  <c r="AK980" i="1" s="1"/>
  <c r="AH980" i="1"/>
  <c r="AI980" i="1" s="1"/>
  <c r="AL980" i="1"/>
  <c r="AM980" i="1" s="1"/>
  <c r="AL1024" i="1"/>
  <c r="AM1024" i="1" s="1"/>
  <c r="AJ1024" i="1"/>
  <c r="AK1024" i="1" s="1"/>
  <c r="AH1024" i="1"/>
  <c r="AG773" i="1"/>
  <c r="AL773" i="1" s="1"/>
  <c r="AM773" i="1" s="1"/>
  <c r="AG781" i="1"/>
  <c r="AH781" i="1" s="1"/>
  <c r="AI781" i="1" s="1"/>
  <c r="AG805" i="1"/>
  <c r="AG813" i="1"/>
  <c r="AH813" i="1" s="1"/>
  <c r="AI813" i="1" s="1"/>
  <c r="AG821" i="1"/>
  <c r="AH821" i="1" s="1"/>
  <c r="AI821" i="1" s="1"/>
  <c r="AG829" i="1"/>
  <c r="AH829" i="1" s="1"/>
  <c r="AI829" i="1" s="1"/>
  <c r="AG837" i="1"/>
  <c r="AH837" i="1" s="1"/>
  <c r="AI837" i="1" s="1"/>
  <c r="AG845" i="1"/>
  <c r="AL845" i="1" s="1"/>
  <c r="AM845" i="1" s="1"/>
  <c r="AH877" i="1"/>
  <c r="AI877" i="1" s="1"/>
  <c r="AJ877" i="1"/>
  <c r="AK877" i="1" s="1"/>
  <c r="AG897" i="1"/>
  <c r="AJ897" i="1" s="1"/>
  <c r="AK897" i="1" s="1"/>
  <c r="AL917" i="1"/>
  <c r="AM917" i="1" s="1"/>
  <c r="AG920" i="1"/>
  <c r="AJ920" i="1" s="1"/>
  <c r="AK920" i="1" s="1"/>
  <c r="AH925" i="1"/>
  <c r="AI925" i="1" s="1"/>
  <c r="AJ925" i="1"/>
  <c r="AK925" i="1" s="1"/>
  <c r="AJ935" i="1"/>
  <c r="AK935" i="1" s="1"/>
  <c r="AH935" i="1"/>
  <c r="AI935" i="1" s="1"/>
  <c r="AL935" i="1"/>
  <c r="AM935" i="1" s="1"/>
  <c r="AH961" i="1"/>
  <c r="AI961" i="1" s="1"/>
  <c r="AL961" i="1"/>
  <c r="AM961" i="1" s="1"/>
  <c r="AJ961" i="1"/>
  <c r="AK961" i="1" s="1"/>
  <c r="AH969" i="1"/>
  <c r="AI969" i="1" s="1"/>
  <c r="AL969" i="1"/>
  <c r="AM969" i="1" s="1"/>
  <c r="AG973" i="1"/>
  <c r="AJ973" i="1" s="1"/>
  <c r="AK973" i="1" s="1"/>
  <c r="AH977" i="1"/>
  <c r="AI977" i="1" s="1"/>
  <c r="AL977" i="1"/>
  <c r="AM977" i="1" s="1"/>
  <c r="AG981" i="1"/>
  <c r="AH981" i="1" s="1"/>
  <c r="AI981" i="1" s="1"/>
  <c r="AJ981" i="1"/>
  <c r="AK981" i="1" s="1"/>
  <c r="AG768" i="1"/>
  <c r="AL768" i="1" s="1"/>
  <c r="AM768" i="1" s="1"/>
  <c r="AG776" i="1"/>
  <c r="AL776" i="1" s="1"/>
  <c r="AM776" i="1" s="1"/>
  <c r="AG784" i="1"/>
  <c r="AL784" i="1" s="1"/>
  <c r="AM784" i="1" s="1"/>
  <c r="AG792" i="1"/>
  <c r="AL792" i="1" s="1"/>
  <c r="AM792" i="1" s="1"/>
  <c r="AG808" i="1"/>
  <c r="AL808" i="1" s="1"/>
  <c r="AM808" i="1" s="1"/>
  <c r="AG816" i="1"/>
  <c r="AL816" i="1" s="1"/>
  <c r="AM816" i="1" s="1"/>
  <c r="AG824" i="1"/>
  <c r="AG848" i="1"/>
  <c r="AJ848" i="1" s="1"/>
  <c r="AK848" i="1" s="1"/>
  <c r="AG856" i="1"/>
  <c r="AJ856" i="1" s="1"/>
  <c r="AK856" i="1" s="1"/>
  <c r="AH867" i="1"/>
  <c r="AI867" i="1" s="1"/>
  <c r="AL877" i="1"/>
  <c r="AM877" i="1" s="1"/>
  <c r="AH881" i="1"/>
  <c r="AI881" i="1" s="1"/>
  <c r="AH883" i="1"/>
  <c r="AI883" i="1" s="1"/>
  <c r="AG886" i="1"/>
  <c r="AL886" i="1" s="1"/>
  <c r="AM886" i="1" s="1"/>
  <c r="AG888" i="1"/>
  <c r="AJ888" i="1" s="1"/>
  <c r="AK888" i="1" s="1"/>
  <c r="AJ893" i="1"/>
  <c r="AK893" i="1" s="1"/>
  <c r="AH899" i="1"/>
  <c r="AJ901" i="1"/>
  <c r="AJ907" i="1"/>
  <c r="AK907" i="1" s="1"/>
  <c r="AG912" i="1"/>
  <c r="AH912" i="1" s="1"/>
  <c r="AI912" i="1" s="1"/>
  <c r="AJ918" i="1"/>
  <c r="AK918" i="1" s="1"/>
  <c r="AL925" i="1"/>
  <c r="AM925" i="1" s="1"/>
  <c r="AG929" i="1"/>
  <c r="AH929" i="1" s="1"/>
  <c r="AI929" i="1" s="1"/>
  <c r="AH939" i="1"/>
  <c r="AI939" i="1" s="1"/>
  <c r="AJ942" i="1"/>
  <c r="AK942" i="1" s="1"/>
  <c r="AL955" i="1"/>
  <c r="AG965" i="1"/>
  <c r="AH965" i="1" s="1"/>
  <c r="AI965" i="1" s="1"/>
  <c r="AJ969" i="1"/>
  <c r="AK969" i="1" s="1"/>
  <c r="AJ977" i="1"/>
  <c r="AK977" i="1" s="1"/>
  <c r="AH985" i="1"/>
  <c r="AI985" i="1" s="1"/>
  <c r="AJ985" i="1"/>
  <c r="AK985" i="1" s="1"/>
  <c r="AL999" i="1"/>
  <c r="AM999" i="1" s="1"/>
  <c r="AJ999" i="1"/>
  <c r="AK999" i="1" s="1"/>
  <c r="AH999" i="1"/>
  <c r="AI999" i="1" s="1"/>
  <c r="AG1020" i="1"/>
  <c r="AH1020" i="1" s="1"/>
  <c r="AI1020" i="1" s="1"/>
  <c r="AL1021" i="1"/>
  <c r="AM1021" i="1" s="1"/>
  <c r="AJ1021" i="1"/>
  <c r="AK1021" i="1" s="1"/>
  <c r="AH1021" i="1"/>
  <c r="AI1021" i="1" s="1"/>
  <c r="AG863" i="1"/>
  <c r="AL863" i="1" s="1"/>
  <c r="AM863" i="1" s="1"/>
  <c r="AG871" i="1"/>
  <c r="AG879" i="1"/>
  <c r="AG887" i="1"/>
  <c r="AL887" i="1" s="1"/>
  <c r="AM887" i="1" s="1"/>
  <c r="AG895" i="1"/>
  <c r="AL895" i="1" s="1"/>
  <c r="AM895" i="1" s="1"/>
  <c r="AG903" i="1"/>
  <c r="AG911" i="1"/>
  <c r="AG919" i="1"/>
  <c r="AL919" i="1" s="1"/>
  <c r="AM919" i="1" s="1"/>
  <c r="AG927" i="1"/>
  <c r="AH927" i="1" s="1"/>
  <c r="AI927" i="1" s="1"/>
  <c r="AG943" i="1"/>
  <c r="AG951" i="1"/>
  <c r="AL951" i="1" s="1"/>
  <c r="AM951" i="1" s="1"/>
  <c r="AH955" i="1"/>
  <c r="AI955" i="1" s="1"/>
  <c r="AG972" i="1"/>
  <c r="AJ972" i="1" s="1"/>
  <c r="AK972" i="1" s="1"/>
  <c r="AH973" i="1"/>
  <c r="AI973" i="1" s="1"/>
  <c r="AG976" i="1"/>
  <c r="AJ976" i="1" s="1"/>
  <c r="AK976" i="1" s="1"/>
  <c r="AJ993" i="1"/>
  <c r="AJ995" i="1"/>
  <c r="AH995" i="1"/>
  <c r="AI995" i="1" s="1"/>
  <c r="AG997" i="1"/>
  <c r="AH997" i="1" s="1"/>
  <c r="AI997" i="1" s="1"/>
  <c r="AH1007" i="1"/>
  <c r="AI1007" i="1" s="1"/>
  <c r="AJ1009" i="1"/>
  <c r="AK1009" i="1" s="1"/>
  <c r="AH1025" i="1"/>
  <c r="AI1025" i="1" s="1"/>
  <c r="AJ1027" i="1"/>
  <c r="AK1027" i="1" s="1"/>
  <c r="AH1068" i="1"/>
  <c r="AI1068" i="1" s="1"/>
  <c r="AL1068" i="1"/>
  <c r="AM1068" i="1" s="1"/>
  <c r="AJ1068" i="1"/>
  <c r="AK1068" i="1" s="1"/>
  <c r="AJ1075" i="1"/>
  <c r="AK1075" i="1" s="1"/>
  <c r="AJ1590" i="1"/>
  <c r="AK1590" i="1" s="1"/>
  <c r="AH1590" i="1"/>
  <c r="AI1590" i="1" s="1"/>
  <c r="AL1590" i="1"/>
  <c r="AM1590" i="1" s="1"/>
  <c r="AG866" i="1"/>
  <c r="AG874" i="1"/>
  <c r="AH874" i="1" s="1"/>
  <c r="AI874" i="1" s="1"/>
  <c r="AH894" i="1"/>
  <c r="AI894" i="1" s="1"/>
  <c r="AL898" i="1"/>
  <c r="AM898" i="1" s="1"/>
  <c r="AH902" i="1"/>
  <c r="AI902" i="1" s="1"/>
  <c r="AG906" i="1"/>
  <c r="AL906" i="1" s="1"/>
  <c r="AM906" i="1" s="1"/>
  <c r="AH910" i="1"/>
  <c r="AI910" i="1" s="1"/>
  <c r="AL914" i="1"/>
  <c r="AM914" i="1" s="1"/>
  <c r="AH918" i="1"/>
  <c r="AI918" i="1" s="1"/>
  <c r="AL922" i="1"/>
  <c r="AM922" i="1" s="1"/>
  <c r="AH926" i="1"/>
  <c r="AI926" i="1" s="1"/>
  <c r="AG938" i="1"/>
  <c r="AL938" i="1" s="1"/>
  <c r="AM938" i="1" s="1"/>
  <c r="AH942" i="1"/>
  <c r="AI942" i="1" s="1"/>
  <c r="AG946" i="1"/>
  <c r="AL946" i="1" s="1"/>
  <c r="AM946" i="1" s="1"/>
  <c r="AH950" i="1"/>
  <c r="AI950" i="1" s="1"/>
  <c r="AG954" i="1"/>
  <c r="AH957" i="1"/>
  <c r="AI957" i="1" s="1"/>
  <c r="AJ987" i="1"/>
  <c r="AK987" i="1" s="1"/>
  <c r="AH987" i="1"/>
  <c r="AI987" i="1" s="1"/>
  <c r="AG989" i="1"/>
  <c r="AL993" i="1"/>
  <c r="AM993" i="1" s="1"/>
  <c r="AH1002" i="1"/>
  <c r="AI1002" i="1" s="1"/>
  <c r="AJ1007" i="1"/>
  <c r="AK1007" i="1" s="1"/>
  <c r="AL1009" i="1"/>
  <c r="AG1012" i="1"/>
  <c r="AJ1012" i="1" s="1"/>
  <c r="AK1012" i="1" s="1"/>
  <c r="AL1027" i="1"/>
  <c r="AM1027" i="1" s="1"/>
  <c r="AH1027" i="1"/>
  <c r="AI1027" i="1" s="1"/>
  <c r="AG1036" i="1"/>
  <c r="AH1036" i="1" s="1"/>
  <c r="AI1036" i="1" s="1"/>
  <c r="AH1039" i="1"/>
  <c r="AI1039" i="1" s="1"/>
  <c r="AL1039" i="1"/>
  <c r="AM1039" i="1" s="1"/>
  <c r="AJ957" i="1"/>
  <c r="AK957" i="1" s="1"/>
  <c r="AJ959" i="1"/>
  <c r="AK959" i="1" s="1"/>
  <c r="AH986" i="1"/>
  <c r="AI986" i="1" s="1"/>
  <c r="AG1004" i="1"/>
  <c r="AH1004" i="1" s="1"/>
  <c r="AI1004" i="1" s="1"/>
  <c r="AG1028" i="1"/>
  <c r="AL1028" i="1" s="1"/>
  <c r="AM1028" i="1" s="1"/>
  <c r="AH1031" i="1"/>
  <c r="AI1031" i="1" s="1"/>
  <c r="AL1031" i="1"/>
  <c r="AM1031" i="1" s="1"/>
  <c r="AL1051" i="1"/>
  <c r="AM1051" i="1" s="1"/>
  <c r="AH1051" i="1"/>
  <c r="AI1051" i="1" s="1"/>
  <c r="AG1064" i="1"/>
  <c r="AH1064" i="1" s="1"/>
  <c r="AI1064" i="1" s="1"/>
  <c r="AH1104" i="1"/>
  <c r="AI1104" i="1" s="1"/>
  <c r="AG1104" i="1"/>
  <c r="AL1104" i="1" s="1"/>
  <c r="AM1104" i="1" s="1"/>
  <c r="AG996" i="1"/>
  <c r="AH996" i="1" s="1"/>
  <c r="AI996" i="1" s="1"/>
  <c r="AL998" i="1"/>
  <c r="AM998" i="1" s="1"/>
  <c r="AG998" i="1"/>
  <c r="AH998" i="1" s="1"/>
  <c r="AI998" i="1" s="1"/>
  <c r="AL1013" i="1"/>
  <c r="AM1013" i="1" s="1"/>
  <c r="AJ1013" i="1"/>
  <c r="AK1013" i="1" s="1"/>
  <c r="AJ1031" i="1"/>
  <c r="AK1031" i="1" s="1"/>
  <c r="AG1081" i="1"/>
  <c r="AH1142" i="1"/>
  <c r="AI1142" i="1" s="1"/>
  <c r="AL1142" i="1"/>
  <c r="AJ1142" i="1"/>
  <c r="AK1142" i="1" s="1"/>
  <c r="AL957" i="1"/>
  <c r="AM957" i="1" s="1"/>
  <c r="AL959" i="1"/>
  <c r="AG970" i="1"/>
  <c r="AL970" i="1" s="1"/>
  <c r="AM970" i="1" s="1"/>
  <c r="AH971" i="1"/>
  <c r="AI971" i="1" s="1"/>
  <c r="AG988" i="1"/>
  <c r="AG990" i="1"/>
  <c r="AH990" i="1" s="1"/>
  <c r="AI990" i="1" s="1"/>
  <c r="AH991" i="1"/>
  <c r="AL1022" i="1"/>
  <c r="AM1022" i="1" s="1"/>
  <c r="AJ1022" i="1"/>
  <c r="AK1022" i="1" s="1"/>
  <c r="AH1022" i="1"/>
  <c r="AI1022" i="1" s="1"/>
  <c r="AL1043" i="1"/>
  <c r="AM1043" i="1" s="1"/>
  <c r="AH1043" i="1"/>
  <c r="AI1043" i="1" s="1"/>
  <c r="AL1049" i="1"/>
  <c r="AM1049" i="1" s="1"/>
  <c r="AG1052" i="1"/>
  <c r="AJ1052" i="1" s="1"/>
  <c r="AK1052" i="1" s="1"/>
  <c r="AL1074" i="1"/>
  <c r="AM1074" i="1" s="1"/>
  <c r="AJ1074" i="1"/>
  <c r="AK1074" i="1" s="1"/>
  <c r="AH1074" i="1"/>
  <c r="AL1083" i="1"/>
  <c r="AM1083" i="1" s="1"/>
  <c r="AJ1083" i="1"/>
  <c r="AK1083" i="1" s="1"/>
  <c r="AL1100" i="1"/>
  <c r="AM1100" i="1" s="1"/>
  <c r="AJ1100" i="1"/>
  <c r="AK1100" i="1" s="1"/>
  <c r="AL1148" i="1"/>
  <c r="AM1148" i="1" s="1"/>
  <c r="AJ1148" i="1"/>
  <c r="AK1148" i="1" s="1"/>
  <c r="AH1148" i="1"/>
  <c r="AI1148" i="1" s="1"/>
  <c r="AG921" i="1"/>
  <c r="AH921" i="1" s="1"/>
  <c r="AI921" i="1" s="1"/>
  <c r="AG937" i="1"/>
  <c r="AH937" i="1" s="1"/>
  <c r="AG945" i="1"/>
  <c r="AJ945" i="1" s="1"/>
  <c r="AK945" i="1" s="1"/>
  <c r="AG953" i="1"/>
  <c r="AH953" i="1" s="1"/>
  <c r="AI953" i="1" s="1"/>
  <c r="AG956" i="1"/>
  <c r="AL956" i="1" s="1"/>
  <c r="AM956" i="1" s="1"/>
  <c r="AG958" i="1"/>
  <c r="AH958" i="1" s="1"/>
  <c r="AI958" i="1" s="1"/>
  <c r="AH962" i="1"/>
  <c r="AI962" i="1" s="1"/>
  <c r="AH978" i="1"/>
  <c r="AI978" i="1" s="1"/>
  <c r="AJ978" i="1"/>
  <c r="AG982" i="1"/>
  <c r="AH982" i="1" s="1"/>
  <c r="AI982" i="1" s="1"/>
  <c r="AH983" i="1"/>
  <c r="AI983" i="1" s="1"/>
  <c r="AJ991" i="1"/>
  <c r="AK991" i="1" s="1"/>
  <c r="AH1013" i="1"/>
  <c r="AI1013" i="1" s="1"/>
  <c r="AJ1015" i="1"/>
  <c r="AK1015" i="1" s="1"/>
  <c r="AL1017" i="1"/>
  <c r="AM1017" i="1" s="1"/>
  <c r="AJ1035" i="1"/>
  <c r="AK1035" i="1" s="1"/>
  <c r="AG876" i="1"/>
  <c r="AJ876" i="1" s="1"/>
  <c r="AK876" i="1" s="1"/>
  <c r="AG900" i="1"/>
  <c r="AJ900" i="1" s="1"/>
  <c r="AK900" i="1" s="1"/>
  <c r="AG908" i="1"/>
  <c r="AJ908" i="1" s="1"/>
  <c r="AG916" i="1"/>
  <c r="AJ916" i="1" s="1"/>
  <c r="AK916" i="1" s="1"/>
  <c r="AG924" i="1"/>
  <c r="AG932" i="1"/>
  <c r="AJ932" i="1" s="1"/>
  <c r="AK932" i="1" s="1"/>
  <c r="AG940" i="1"/>
  <c r="AJ940" i="1" s="1"/>
  <c r="AK940" i="1" s="1"/>
  <c r="AG948" i="1"/>
  <c r="AJ948" i="1" s="1"/>
  <c r="AK948" i="1" s="1"/>
  <c r="AJ1003" i="1"/>
  <c r="AK1003" i="1" s="1"/>
  <c r="AH1003" i="1"/>
  <c r="AI1003" i="1" s="1"/>
  <c r="AG1014" i="1"/>
  <c r="AL1014" i="1" s="1"/>
  <c r="AM1014" i="1" s="1"/>
  <c r="AL1035" i="1"/>
  <c r="AM1035" i="1" s="1"/>
  <c r="AH1035" i="1"/>
  <c r="AI1035" i="1" s="1"/>
  <c r="AG1044" i="1"/>
  <c r="AJ1044" i="1" s="1"/>
  <c r="AK1044" i="1" s="1"/>
  <c r="AH1047" i="1"/>
  <c r="AI1047" i="1" s="1"/>
  <c r="AL1047" i="1"/>
  <c r="AM1047" i="1" s="1"/>
  <c r="AJ1056" i="1"/>
  <c r="AK1056" i="1" s="1"/>
  <c r="AG1056" i="1"/>
  <c r="AH1056" i="1" s="1"/>
  <c r="AI1056" i="1" s="1"/>
  <c r="AL1059" i="1"/>
  <c r="AM1059" i="1" s="1"/>
  <c r="AJ1059" i="1"/>
  <c r="AK1059" i="1" s="1"/>
  <c r="AL1084" i="1"/>
  <c r="AM1084" i="1" s="1"/>
  <c r="AJ1084" i="1"/>
  <c r="AK1084" i="1" s="1"/>
  <c r="AG1246" i="1"/>
  <c r="AJ1246" i="1" s="1"/>
  <c r="AK1246" i="1" s="1"/>
  <c r="AH984" i="1"/>
  <c r="AJ986" i="1"/>
  <c r="AK986" i="1" s="1"/>
  <c r="AJ994" i="1"/>
  <c r="AJ1002" i="1"/>
  <c r="AK1002" i="1" s="1"/>
  <c r="AJ1010" i="1"/>
  <c r="AK1010" i="1" s="1"/>
  <c r="AJ1018" i="1"/>
  <c r="AK1018" i="1" s="1"/>
  <c r="AJ1026" i="1"/>
  <c r="AK1026" i="1" s="1"/>
  <c r="AJ1034" i="1"/>
  <c r="AK1034" i="1" s="1"/>
  <c r="AJ1042" i="1"/>
  <c r="AJ1050" i="1"/>
  <c r="AK1050" i="1" s="1"/>
  <c r="AL1055" i="1"/>
  <c r="AM1055" i="1" s="1"/>
  <c r="AL1056" i="1"/>
  <c r="AM1056" i="1" s="1"/>
  <c r="AJ1065" i="1"/>
  <c r="AK1065" i="1" s="1"/>
  <c r="AJ1066" i="1"/>
  <c r="AK1066" i="1" s="1"/>
  <c r="AG1072" i="1"/>
  <c r="AH1072" i="1" s="1"/>
  <c r="AI1072" i="1" s="1"/>
  <c r="AJ1077" i="1"/>
  <c r="AK1077" i="1" s="1"/>
  <c r="AJ1093" i="1"/>
  <c r="AK1093" i="1" s="1"/>
  <c r="AL1108" i="1"/>
  <c r="AM1108" i="1" s="1"/>
  <c r="AJ1108" i="1"/>
  <c r="AK1108" i="1" s="1"/>
  <c r="AJ1112" i="1"/>
  <c r="AK1112" i="1" s="1"/>
  <c r="AH1112" i="1"/>
  <c r="AI1112" i="1" s="1"/>
  <c r="AL1112" i="1"/>
  <c r="AM1112" i="1" s="1"/>
  <c r="AL1118" i="1"/>
  <c r="AM1118" i="1" s="1"/>
  <c r="AJ1118" i="1"/>
  <c r="AK1118" i="1" s="1"/>
  <c r="AL1124" i="1"/>
  <c r="AM1124" i="1" s="1"/>
  <c r="AJ1124" i="1"/>
  <c r="AK1124" i="1" s="1"/>
  <c r="AH1124" i="1"/>
  <c r="AI1124" i="1" s="1"/>
  <c r="AL1146" i="1"/>
  <c r="AJ1146" i="1"/>
  <c r="AK1146" i="1" s="1"/>
  <c r="AH1146" i="1"/>
  <c r="AI1146" i="1" s="1"/>
  <c r="AJ1149" i="1"/>
  <c r="AK1149" i="1" s="1"/>
  <c r="AG1152" i="1"/>
  <c r="AJ1152" i="1" s="1"/>
  <c r="AK1152" i="1" s="1"/>
  <c r="AG1206" i="1"/>
  <c r="AJ1206" i="1" s="1"/>
  <c r="AK1206" i="1" s="1"/>
  <c r="AH1011" i="1"/>
  <c r="AI1011" i="1" s="1"/>
  <c r="AH1019" i="1"/>
  <c r="AI1019" i="1" s="1"/>
  <c r="AH1059" i="1"/>
  <c r="AI1059" i="1" s="1"/>
  <c r="AG1080" i="1"/>
  <c r="AH1080" i="1" s="1"/>
  <c r="AI1080" i="1" s="1"/>
  <c r="AG1087" i="1"/>
  <c r="AJ1087" i="1" s="1"/>
  <c r="AK1087" i="1" s="1"/>
  <c r="AG1089" i="1"/>
  <c r="AJ1089" i="1" s="1"/>
  <c r="AK1089" i="1" s="1"/>
  <c r="AJ1091" i="1"/>
  <c r="AK1091" i="1" s="1"/>
  <c r="AJ1101" i="1"/>
  <c r="AK1101" i="1" s="1"/>
  <c r="AH1101" i="1"/>
  <c r="AI1101" i="1" s="1"/>
  <c r="AH1116" i="1"/>
  <c r="AI1116" i="1" s="1"/>
  <c r="AL1122" i="1"/>
  <c r="AM1122" i="1" s="1"/>
  <c r="AJ1122" i="1"/>
  <c r="AK1122" i="1" s="1"/>
  <c r="AH1122" i="1"/>
  <c r="AI1122" i="1" s="1"/>
  <c r="AJ1125" i="1"/>
  <c r="AK1125" i="1" s="1"/>
  <c r="AG1128" i="1"/>
  <c r="AH1158" i="1"/>
  <c r="AI1158" i="1" s="1"/>
  <c r="AL1158" i="1"/>
  <c r="AM1158" i="1" s="1"/>
  <c r="AJ1158" i="1"/>
  <c r="AK1158" i="1" s="1"/>
  <c r="AL1164" i="1"/>
  <c r="AM1164" i="1" s="1"/>
  <c r="AJ1164" i="1"/>
  <c r="AK1164" i="1" s="1"/>
  <c r="AH1164" i="1"/>
  <c r="AI1164" i="1" s="1"/>
  <c r="AG1063" i="1"/>
  <c r="AL1063" i="1" s="1"/>
  <c r="AM1063" i="1" s="1"/>
  <c r="AJ1063" i="1"/>
  <c r="AK1063" i="1" s="1"/>
  <c r="AH1084" i="1"/>
  <c r="AI1084" i="1" s="1"/>
  <c r="AJ1109" i="1"/>
  <c r="AK1109" i="1" s="1"/>
  <c r="AH1109" i="1"/>
  <c r="AI1109" i="1" s="1"/>
  <c r="AG1113" i="1"/>
  <c r="AH1113" i="1" s="1"/>
  <c r="AI1113" i="1" s="1"/>
  <c r="AH1134" i="1"/>
  <c r="AI1134" i="1" s="1"/>
  <c r="AL1134" i="1"/>
  <c r="AM1134" i="1" s="1"/>
  <c r="AJ1134" i="1"/>
  <c r="AK1134" i="1" s="1"/>
  <c r="AL1140" i="1"/>
  <c r="AM1140" i="1" s="1"/>
  <c r="AJ1140" i="1"/>
  <c r="AK1140" i="1" s="1"/>
  <c r="AH1140" i="1"/>
  <c r="AI1140" i="1" s="1"/>
  <c r="AL1162" i="1"/>
  <c r="AM1162" i="1" s="1"/>
  <c r="AJ1162" i="1"/>
  <c r="AK1162" i="1" s="1"/>
  <c r="AH1162" i="1"/>
  <c r="AI1162" i="1" s="1"/>
  <c r="AL1190" i="1"/>
  <c r="AM1190" i="1" s="1"/>
  <c r="AG1190" i="1"/>
  <c r="AJ1190" i="1" s="1"/>
  <c r="AK1190" i="1" s="1"/>
  <c r="AJ1243" i="1"/>
  <c r="AK1243" i="1" s="1"/>
  <c r="AH1243" i="1"/>
  <c r="AI1243" i="1" s="1"/>
  <c r="AL1243" i="1"/>
  <c r="AM1243" i="1" s="1"/>
  <c r="AJ1262" i="1"/>
  <c r="AK1262" i="1" s="1"/>
  <c r="AH1262" i="1"/>
  <c r="AI1262" i="1" s="1"/>
  <c r="AL1262" i="1"/>
  <c r="AM1262" i="1" s="1"/>
  <c r="AG1005" i="1"/>
  <c r="AH1005" i="1" s="1"/>
  <c r="AI1005" i="1" s="1"/>
  <c r="AG1029" i="1"/>
  <c r="AH1029" i="1" s="1"/>
  <c r="AI1029" i="1" s="1"/>
  <c r="AG1037" i="1"/>
  <c r="AG1045" i="1"/>
  <c r="AH1045" i="1" s="1"/>
  <c r="AI1045" i="1" s="1"/>
  <c r="AG1053" i="1"/>
  <c r="AH1053" i="1" s="1"/>
  <c r="AI1053" i="1" s="1"/>
  <c r="AG1071" i="1"/>
  <c r="AH1071" i="1" s="1"/>
  <c r="AI1071" i="1" s="1"/>
  <c r="AH1075" i="1"/>
  <c r="AI1075" i="1" s="1"/>
  <c r="AH1089" i="1"/>
  <c r="AI1089" i="1" s="1"/>
  <c r="AH1092" i="1"/>
  <c r="AG1102" i="1"/>
  <c r="AJ1102" i="1" s="1"/>
  <c r="AK1102" i="1" s="1"/>
  <c r="AL1109" i="1"/>
  <c r="AM1109" i="1" s="1"/>
  <c r="AL1116" i="1"/>
  <c r="AJ1116" i="1"/>
  <c r="AK1116" i="1" s="1"/>
  <c r="AL1138" i="1"/>
  <c r="AJ1138" i="1"/>
  <c r="AK1138" i="1" s="1"/>
  <c r="AH1138" i="1"/>
  <c r="AI1138" i="1" s="1"/>
  <c r="AG1144" i="1"/>
  <c r="AH1144" i="1" s="1"/>
  <c r="AI1144" i="1" s="1"/>
  <c r="AG1147" i="1"/>
  <c r="AJ1147" i="1" s="1"/>
  <c r="AK1147" i="1" s="1"/>
  <c r="AL1165" i="1"/>
  <c r="AM1165" i="1" s="1"/>
  <c r="AJ1165" i="1"/>
  <c r="AK1165" i="1" s="1"/>
  <c r="AH1196" i="1"/>
  <c r="AI1196" i="1" s="1"/>
  <c r="AL1196" i="1"/>
  <c r="AM1196" i="1" s="1"/>
  <c r="AG960" i="1"/>
  <c r="AG968" i="1"/>
  <c r="AG984" i="1"/>
  <c r="AJ984" i="1" s="1"/>
  <c r="AK984" i="1" s="1"/>
  <c r="AG992" i="1"/>
  <c r="AJ992" i="1" s="1"/>
  <c r="AK992" i="1" s="1"/>
  <c r="AG1000" i="1"/>
  <c r="AJ1000" i="1" s="1"/>
  <c r="AK1000" i="1" s="1"/>
  <c r="AG1008" i="1"/>
  <c r="AJ1008" i="1" s="1"/>
  <c r="AK1008" i="1" s="1"/>
  <c r="AG1016" i="1"/>
  <c r="AJ1016" i="1" s="1"/>
  <c r="AK1016" i="1" s="1"/>
  <c r="AG1032" i="1"/>
  <c r="AG1040" i="1"/>
  <c r="AJ1040" i="1" s="1"/>
  <c r="AG1048" i="1"/>
  <c r="AJ1048" i="1" s="1"/>
  <c r="AK1048" i="1" s="1"/>
  <c r="AH1055" i="1"/>
  <c r="AI1055" i="1" s="1"/>
  <c r="AJ1060" i="1"/>
  <c r="AK1060" i="1" s="1"/>
  <c r="AH1062" i="1"/>
  <c r="AI1062" i="1" s="1"/>
  <c r="AJ1062" i="1"/>
  <c r="AK1062" i="1" s="1"/>
  <c r="AG1079" i="1"/>
  <c r="AJ1079" i="1" s="1"/>
  <c r="AK1079" i="1" s="1"/>
  <c r="AH1083" i="1"/>
  <c r="AH1086" i="1"/>
  <c r="AI1086" i="1" s="1"/>
  <c r="AH1110" i="1"/>
  <c r="AI1110" i="1" s="1"/>
  <c r="AL1110" i="1"/>
  <c r="AM1110" i="1" s="1"/>
  <c r="AJ1110" i="1"/>
  <c r="AK1110" i="1" s="1"/>
  <c r="AL1114" i="1"/>
  <c r="AM1114" i="1" s="1"/>
  <c r="AJ1114" i="1"/>
  <c r="AK1114" i="1" s="1"/>
  <c r="AH1114" i="1"/>
  <c r="AI1114" i="1" s="1"/>
  <c r="AJ1117" i="1"/>
  <c r="AK1117" i="1" s="1"/>
  <c r="AG1120" i="1"/>
  <c r="AJ1120" i="1" s="1"/>
  <c r="AK1120" i="1" s="1"/>
  <c r="AH1150" i="1"/>
  <c r="AI1150" i="1" s="1"/>
  <c r="AL1150" i="1"/>
  <c r="AM1150" i="1" s="1"/>
  <c r="AJ1150" i="1"/>
  <c r="AK1150" i="1" s="1"/>
  <c r="AL1156" i="1"/>
  <c r="AM1156" i="1" s="1"/>
  <c r="AJ1156" i="1"/>
  <c r="AK1156" i="1" s="1"/>
  <c r="AL1258" i="1"/>
  <c r="AM1258" i="1" s="1"/>
  <c r="AJ1258" i="1"/>
  <c r="AK1258" i="1" s="1"/>
  <c r="AG1088" i="1"/>
  <c r="AH1088" i="1" s="1"/>
  <c r="AI1088" i="1" s="1"/>
  <c r="AG1096" i="1"/>
  <c r="AH1096" i="1" s="1"/>
  <c r="AI1096" i="1" s="1"/>
  <c r="AH1100" i="1"/>
  <c r="AI1100" i="1" s="1"/>
  <c r="AG1103" i="1"/>
  <c r="AH1103" i="1" s="1"/>
  <c r="AI1103" i="1" s="1"/>
  <c r="AH1126" i="1"/>
  <c r="AI1126" i="1" s="1"/>
  <c r="AL1126" i="1"/>
  <c r="AM1126" i="1" s="1"/>
  <c r="AJ1126" i="1"/>
  <c r="AK1126" i="1" s="1"/>
  <c r="AL1132" i="1"/>
  <c r="AJ1132" i="1"/>
  <c r="AK1132" i="1" s="1"/>
  <c r="AH1132" i="1"/>
  <c r="AI1132" i="1" s="1"/>
  <c r="AL1145" i="1"/>
  <c r="AM1145" i="1" s="1"/>
  <c r="AJ1145" i="1"/>
  <c r="AK1145" i="1" s="1"/>
  <c r="AL1154" i="1"/>
  <c r="AM1154" i="1" s="1"/>
  <c r="AJ1154" i="1"/>
  <c r="AK1154" i="1" s="1"/>
  <c r="AH1154" i="1"/>
  <c r="AI1154" i="1" s="1"/>
  <c r="AG1160" i="1"/>
  <c r="AJ1160" i="1" s="1"/>
  <c r="AK1160" i="1" s="1"/>
  <c r="AG1254" i="1"/>
  <c r="AJ1254" i="1" s="1"/>
  <c r="AK1254" i="1" s="1"/>
  <c r="AG1300" i="1"/>
  <c r="AJ1300" i="1" s="1"/>
  <c r="AK1300" i="1" s="1"/>
  <c r="AG1030" i="1"/>
  <c r="AH1030" i="1" s="1"/>
  <c r="AG1038" i="1"/>
  <c r="AL1038" i="1" s="1"/>
  <c r="AM1038" i="1" s="1"/>
  <c r="AG1046" i="1"/>
  <c r="AH1046" i="1" s="1"/>
  <c r="AG1054" i="1"/>
  <c r="AJ1054" i="1" s="1"/>
  <c r="AK1054" i="1" s="1"/>
  <c r="AJ1061" i="1"/>
  <c r="AK1061" i="1" s="1"/>
  <c r="AJ1067" i="1"/>
  <c r="AK1067" i="1" s="1"/>
  <c r="AG1070" i="1"/>
  <c r="AL1070" i="1" s="1"/>
  <c r="AM1070" i="1" s="1"/>
  <c r="AG1073" i="1"/>
  <c r="AJ1073" i="1" s="1"/>
  <c r="AK1073" i="1" s="1"/>
  <c r="AH1078" i="1"/>
  <c r="AI1078" i="1" s="1"/>
  <c r="AJ1078" i="1"/>
  <c r="AK1078" i="1" s="1"/>
  <c r="AH1108" i="1"/>
  <c r="AI1108" i="1" s="1"/>
  <c r="AL1111" i="1"/>
  <c r="AM1111" i="1" s="1"/>
  <c r="AJ1111" i="1"/>
  <c r="AK1111" i="1" s="1"/>
  <c r="AH1111" i="1"/>
  <c r="AI1111" i="1" s="1"/>
  <c r="AL1130" i="1"/>
  <c r="AJ1130" i="1"/>
  <c r="AK1130" i="1" s="1"/>
  <c r="AH1130" i="1"/>
  <c r="AI1130" i="1" s="1"/>
  <c r="AJ1133" i="1"/>
  <c r="AK1133" i="1" s="1"/>
  <c r="AG1136" i="1"/>
  <c r="AJ1136" i="1" s="1"/>
  <c r="AK1136" i="1" s="1"/>
  <c r="AH1145" i="1"/>
  <c r="AI1145" i="1" s="1"/>
  <c r="AJ1171" i="1"/>
  <c r="AK1171" i="1" s="1"/>
  <c r="AJ1086" i="1"/>
  <c r="AK1086" i="1" s="1"/>
  <c r="AJ1094" i="1"/>
  <c r="AK1094" i="1" s="1"/>
  <c r="AL1173" i="1"/>
  <c r="AM1173" i="1" s="1"/>
  <c r="AJ1173" i="1"/>
  <c r="AK1173" i="1" s="1"/>
  <c r="AH1173" i="1"/>
  <c r="AI1173" i="1" s="1"/>
  <c r="AJ1182" i="1"/>
  <c r="AK1182" i="1" s="1"/>
  <c r="AH1182" i="1"/>
  <c r="AI1182" i="1" s="1"/>
  <c r="AL1182" i="1"/>
  <c r="AM1182" i="1" s="1"/>
  <c r="AL1200" i="1"/>
  <c r="AM1200" i="1" s="1"/>
  <c r="AH1200" i="1"/>
  <c r="AH1212" i="1"/>
  <c r="AI1212" i="1" s="1"/>
  <c r="AL1212" i="1"/>
  <c r="AM1212" i="1" s="1"/>
  <c r="AL1218" i="1"/>
  <c r="AM1218" i="1" s="1"/>
  <c r="AJ1218" i="1"/>
  <c r="AK1218" i="1" s="1"/>
  <c r="AG1222" i="1"/>
  <c r="AH1222" i="1" s="1"/>
  <c r="AI1222" i="1" s="1"/>
  <c r="AH1250" i="1"/>
  <c r="AI1250" i="1" s="1"/>
  <c r="AH1266" i="1"/>
  <c r="AI1266" i="1" s="1"/>
  <c r="AH1346" i="1"/>
  <c r="AI1346" i="1" s="1"/>
  <c r="AL1346" i="1"/>
  <c r="AM1346" i="1" s="1"/>
  <c r="AG1115" i="1"/>
  <c r="AJ1115" i="1" s="1"/>
  <c r="AK1115" i="1" s="1"/>
  <c r="AG1123" i="1"/>
  <c r="AJ1123" i="1" s="1"/>
  <c r="AK1123" i="1" s="1"/>
  <c r="AG1131" i="1"/>
  <c r="AJ1131" i="1" s="1"/>
  <c r="AK1131" i="1" s="1"/>
  <c r="AG1139" i="1"/>
  <c r="AJ1139" i="1" s="1"/>
  <c r="AK1139" i="1" s="1"/>
  <c r="AG1155" i="1"/>
  <c r="AJ1155" i="1" s="1"/>
  <c r="AK1155" i="1" s="1"/>
  <c r="AG1163" i="1"/>
  <c r="AJ1163" i="1" s="1"/>
  <c r="AK1163" i="1" s="1"/>
  <c r="AJ1168" i="1"/>
  <c r="AK1168" i="1" s="1"/>
  <c r="AH1210" i="1"/>
  <c r="AI1210" i="1" s="1"/>
  <c r="AL1216" i="1"/>
  <c r="AM1216" i="1" s="1"/>
  <c r="AH1216" i="1"/>
  <c r="AI1216" i="1" s="1"/>
  <c r="AJ1219" i="1"/>
  <c r="AK1219" i="1" s="1"/>
  <c r="AH1226" i="1"/>
  <c r="AI1226" i="1" s="1"/>
  <c r="AL1234" i="1"/>
  <c r="AM1234" i="1" s="1"/>
  <c r="AJ1234" i="1"/>
  <c r="AK1234" i="1" s="1"/>
  <c r="AH1244" i="1"/>
  <c r="AI1244" i="1" s="1"/>
  <c r="AJ1253" i="1"/>
  <c r="AK1253" i="1" s="1"/>
  <c r="AJ1259" i="1"/>
  <c r="AK1259" i="1" s="1"/>
  <c r="AH1259" i="1"/>
  <c r="AI1259" i="1" s="1"/>
  <c r="AL1263" i="1"/>
  <c r="AM1263" i="1" s="1"/>
  <c r="AG1263" i="1"/>
  <c r="AH1263" i="1" s="1"/>
  <c r="AI1263" i="1" s="1"/>
  <c r="AJ1269" i="1"/>
  <c r="AK1269" i="1" s="1"/>
  <c r="AL1277" i="1"/>
  <c r="AM1277" i="1" s="1"/>
  <c r="AJ1277" i="1"/>
  <c r="AK1277" i="1" s="1"/>
  <c r="AH1277" i="1"/>
  <c r="AI1277" i="1" s="1"/>
  <c r="AG1185" i="1"/>
  <c r="AJ1185" i="1" s="1"/>
  <c r="AK1185" i="1" s="1"/>
  <c r="AG1238" i="1"/>
  <c r="AJ1238" i="1" s="1"/>
  <c r="AK1238" i="1" s="1"/>
  <c r="AL1250" i="1"/>
  <c r="AM1250" i="1" s="1"/>
  <c r="AJ1250" i="1"/>
  <c r="AK1250" i="1" s="1"/>
  <c r="AL1266" i="1"/>
  <c r="AM1266" i="1" s="1"/>
  <c r="AJ1266" i="1"/>
  <c r="AK1266" i="1" s="1"/>
  <c r="AG1286" i="1"/>
  <c r="AJ1286" i="1" s="1"/>
  <c r="AK1286" i="1" s="1"/>
  <c r="AH1316" i="1"/>
  <c r="AI1316" i="1" s="1"/>
  <c r="AL1316" i="1"/>
  <c r="AM1316" i="1" s="1"/>
  <c r="AJ1316" i="1"/>
  <c r="AK1316" i="1" s="1"/>
  <c r="AH1324" i="1"/>
  <c r="AI1324" i="1" s="1"/>
  <c r="AL1324" i="1"/>
  <c r="AM1324" i="1" s="1"/>
  <c r="AJ1324" i="1"/>
  <c r="AK1324" i="1" s="1"/>
  <c r="AH1061" i="1"/>
  <c r="AI1061" i="1" s="1"/>
  <c r="AH1069" i="1"/>
  <c r="AI1069" i="1" s="1"/>
  <c r="AH1077" i="1"/>
  <c r="AI1077" i="1" s="1"/>
  <c r="AH1085" i="1"/>
  <c r="AI1085" i="1" s="1"/>
  <c r="AH1093" i="1"/>
  <c r="AG1097" i="1"/>
  <c r="AH1097" i="1" s="1"/>
  <c r="AI1097" i="1" s="1"/>
  <c r="AG1105" i="1"/>
  <c r="AH1105" i="1" s="1"/>
  <c r="AI1105" i="1" s="1"/>
  <c r="AH1117" i="1"/>
  <c r="AI1117" i="1" s="1"/>
  <c r="AG1121" i="1"/>
  <c r="AH1121" i="1" s="1"/>
  <c r="AI1121" i="1" s="1"/>
  <c r="AH1125" i="1"/>
  <c r="AI1125" i="1" s="1"/>
  <c r="AG1129" i="1"/>
  <c r="AH1129" i="1" s="1"/>
  <c r="AI1129" i="1" s="1"/>
  <c r="AH1133" i="1"/>
  <c r="AI1133" i="1" s="1"/>
  <c r="AG1137" i="1"/>
  <c r="AH1137" i="1" s="1"/>
  <c r="AH1141" i="1"/>
  <c r="AI1141" i="1" s="1"/>
  <c r="AH1149" i="1"/>
  <c r="AI1149" i="1" s="1"/>
  <c r="AG1153" i="1"/>
  <c r="AH1153" i="1" s="1"/>
  <c r="AI1153" i="1" s="1"/>
  <c r="AH1157" i="1"/>
  <c r="AI1157" i="1" s="1"/>
  <c r="AG1161" i="1"/>
  <c r="AH1161" i="1" s="1"/>
  <c r="AI1161" i="1" s="1"/>
  <c r="AJ1172" i="1"/>
  <c r="AK1172" i="1" s="1"/>
  <c r="AG1174" i="1"/>
  <c r="AJ1174" i="1" s="1"/>
  <c r="AK1174" i="1" s="1"/>
  <c r="AL1183" i="1"/>
  <c r="AM1183" i="1" s="1"/>
  <c r="AJ1183" i="1"/>
  <c r="AK1183" i="1" s="1"/>
  <c r="AH1188" i="1"/>
  <c r="AI1188" i="1" s="1"/>
  <c r="AL1188" i="1"/>
  <c r="AM1188" i="1" s="1"/>
  <c r="AJ1192" i="1"/>
  <c r="AK1192" i="1" s="1"/>
  <c r="AJ1195" i="1"/>
  <c r="AK1195" i="1" s="1"/>
  <c r="AG1198" i="1"/>
  <c r="AJ1198" i="1" s="1"/>
  <c r="AK1198" i="1" s="1"/>
  <c r="AH1204" i="1"/>
  <c r="AI1204" i="1" s="1"/>
  <c r="AL1204" i="1"/>
  <c r="AM1204" i="1" s="1"/>
  <c r="AJ1208" i="1"/>
  <c r="AK1208" i="1" s="1"/>
  <c r="AL1210" i="1"/>
  <c r="AJ1210" i="1"/>
  <c r="AK1210" i="1" s="1"/>
  <c r="AL1226" i="1"/>
  <c r="AM1226" i="1" s="1"/>
  <c r="AJ1226" i="1"/>
  <c r="AK1226" i="1" s="1"/>
  <c r="AH1242" i="1"/>
  <c r="AI1242" i="1" s="1"/>
  <c r="AH1260" i="1"/>
  <c r="AI1260" i="1" s="1"/>
  <c r="AL1260" i="1"/>
  <c r="AM1260" i="1" s="1"/>
  <c r="AJ1260" i="1"/>
  <c r="AK1260" i="1" s="1"/>
  <c r="AG1264" i="1"/>
  <c r="AL1264" i="1" s="1"/>
  <c r="AM1264" i="1" s="1"/>
  <c r="AL1325" i="1"/>
  <c r="AM1325" i="1" s="1"/>
  <c r="AJ1325" i="1"/>
  <c r="AK1325" i="1" s="1"/>
  <c r="AH1325" i="1"/>
  <c r="AI1325" i="1" s="1"/>
  <c r="AL1343" i="1"/>
  <c r="AM1343" i="1" s="1"/>
  <c r="AJ1343" i="1"/>
  <c r="AK1343" i="1" s="1"/>
  <c r="AH1343" i="1"/>
  <c r="AI1343" i="1" s="1"/>
  <c r="AL1369" i="1"/>
  <c r="AM1369" i="1" s="1"/>
  <c r="AH1369" i="1"/>
  <c r="AI1369" i="1" s="1"/>
  <c r="AJ1369" i="1"/>
  <c r="AK1369" i="1" s="1"/>
  <c r="AG1373" i="1"/>
  <c r="AJ1373" i="1" s="1"/>
  <c r="AK1373" i="1" s="1"/>
  <c r="AG1410" i="1"/>
  <c r="AH1410" i="1" s="1"/>
  <c r="AI1410" i="1" s="1"/>
  <c r="AG1167" i="1"/>
  <c r="AH1167" i="1" s="1"/>
  <c r="AI1167" i="1" s="1"/>
  <c r="AH1168" i="1"/>
  <c r="AI1168" i="1" s="1"/>
  <c r="AL1192" i="1"/>
  <c r="AH1192" i="1"/>
  <c r="AI1192" i="1" s="1"/>
  <c r="AL1208" i="1"/>
  <c r="AM1208" i="1" s="1"/>
  <c r="AH1208" i="1"/>
  <c r="AI1208" i="1" s="1"/>
  <c r="AG1214" i="1"/>
  <c r="AL1214" i="1" s="1"/>
  <c r="AH1217" i="1"/>
  <c r="AI1217" i="1" s="1"/>
  <c r="AL1217" i="1"/>
  <c r="AM1217" i="1" s="1"/>
  <c r="AG1220" i="1"/>
  <c r="AH1220" i="1" s="1"/>
  <c r="AI1220" i="1" s="1"/>
  <c r="AG1230" i="1"/>
  <c r="AJ1230" i="1" s="1"/>
  <c r="AK1230" i="1" s="1"/>
  <c r="AJ1251" i="1"/>
  <c r="AK1251" i="1" s="1"/>
  <c r="AH1251" i="1"/>
  <c r="AI1251" i="1" s="1"/>
  <c r="AJ1267" i="1"/>
  <c r="AK1267" i="1" s="1"/>
  <c r="AH1267" i="1"/>
  <c r="AI1267" i="1" s="1"/>
  <c r="AG1270" i="1"/>
  <c r="AJ1270" i="1" s="1"/>
  <c r="AK1270" i="1" s="1"/>
  <c r="AJ1293" i="1"/>
  <c r="AK1293" i="1" s="1"/>
  <c r="AL1293" i="1"/>
  <c r="AM1293" i="1" s="1"/>
  <c r="AH1293" i="1"/>
  <c r="AI1293" i="1" s="1"/>
  <c r="AG1365" i="1"/>
  <c r="AJ1365" i="1" s="1"/>
  <c r="AK1365" i="1" s="1"/>
  <c r="AG1095" i="1"/>
  <c r="AL1095" i="1" s="1"/>
  <c r="AM1095" i="1" s="1"/>
  <c r="AG1119" i="1"/>
  <c r="AJ1119" i="1" s="1"/>
  <c r="AK1119" i="1" s="1"/>
  <c r="AG1127" i="1"/>
  <c r="AL1127" i="1" s="1"/>
  <c r="AG1135" i="1"/>
  <c r="AH1135" i="1" s="1"/>
  <c r="AI1135" i="1" s="1"/>
  <c r="AG1143" i="1"/>
  <c r="AJ1143" i="1" s="1"/>
  <c r="AK1143" i="1" s="1"/>
  <c r="AG1151" i="1"/>
  <c r="AH1151" i="1" s="1"/>
  <c r="AI1151" i="1" s="1"/>
  <c r="AG1159" i="1"/>
  <c r="AL1159" i="1" s="1"/>
  <c r="AM1159" i="1" s="1"/>
  <c r="AH1165" i="1"/>
  <c r="AI1165" i="1" s="1"/>
  <c r="AL1181" i="1"/>
  <c r="AM1181" i="1" s="1"/>
  <c r="AJ1181" i="1"/>
  <c r="AK1181" i="1" s="1"/>
  <c r="AH1181" i="1"/>
  <c r="AI1181" i="1" s="1"/>
  <c r="AJ1217" i="1"/>
  <c r="AK1217" i="1" s="1"/>
  <c r="AL1242" i="1"/>
  <c r="AM1242" i="1" s="1"/>
  <c r="AJ1242" i="1"/>
  <c r="AK1242" i="1" s="1"/>
  <c r="AL1251" i="1"/>
  <c r="AM1251" i="1" s="1"/>
  <c r="AH1258" i="1"/>
  <c r="AI1258" i="1" s="1"/>
  <c r="AL1261" i="1"/>
  <c r="AM1261" i="1" s="1"/>
  <c r="AJ1261" i="1"/>
  <c r="AK1261" i="1" s="1"/>
  <c r="AH1261" i="1"/>
  <c r="AI1261" i="1" s="1"/>
  <c r="AL1267" i="1"/>
  <c r="AH1274" i="1"/>
  <c r="AI1274" i="1" s="1"/>
  <c r="AG1058" i="1"/>
  <c r="AH1166" i="1"/>
  <c r="AI1166" i="1" s="1"/>
  <c r="AL1166" i="1"/>
  <c r="AM1166" i="1" s="1"/>
  <c r="AL1172" i="1"/>
  <c r="AM1172" i="1" s="1"/>
  <c r="AG1175" i="1"/>
  <c r="AH1175" i="1" s="1"/>
  <c r="AI1175" i="1" s="1"/>
  <c r="AL1184" i="1"/>
  <c r="AM1184" i="1" s="1"/>
  <c r="AJ1184" i="1"/>
  <c r="AK1184" i="1" s="1"/>
  <c r="AJ1196" i="1"/>
  <c r="AK1196" i="1" s="1"/>
  <c r="AH1218" i="1"/>
  <c r="AH1252" i="1"/>
  <c r="AI1252" i="1" s="1"/>
  <c r="AG1265" i="1"/>
  <c r="AJ1265" i="1" s="1"/>
  <c r="AK1265" i="1" s="1"/>
  <c r="AH1268" i="1"/>
  <c r="AI1268" i="1" s="1"/>
  <c r="AJ1228" i="1"/>
  <c r="AK1228" i="1" s="1"/>
  <c r="AJ1236" i="1"/>
  <c r="AK1236" i="1" s="1"/>
  <c r="AJ1244" i="1"/>
  <c r="AK1244" i="1" s="1"/>
  <c r="AJ1252" i="1"/>
  <c r="AK1252" i="1" s="1"/>
  <c r="AJ1268" i="1"/>
  <c r="AK1268" i="1" s="1"/>
  <c r="AH1289" i="1"/>
  <c r="AJ1291" i="1"/>
  <c r="AK1291" i="1" s="1"/>
  <c r="AL1323" i="1"/>
  <c r="AM1323" i="1" s="1"/>
  <c r="AJ1323" i="1"/>
  <c r="AK1323" i="1" s="1"/>
  <c r="AH1323" i="1"/>
  <c r="AI1323" i="1" s="1"/>
  <c r="AH1327" i="1"/>
  <c r="AI1327" i="1" s="1"/>
  <c r="AL1327" i="1"/>
  <c r="AM1327" i="1" s="1"/>
  <c r="AG1358" i="1"/>
  <c r="AL1358" i="1" s="1"/>
  <c r="AM1358" i="1" s="1"/>
  <c r="AG1374" i="1"/>
  <c r="AJ1374" i="1" s="1"/>
  <c r="AK1374" i="1" s="1"/>
  <c r="AJ1449" i="1"/>
  <c r="AK1449" i="1" s="1"/>
  <c r="AL1449" i="1"/>
  <c r="AM1449" i="1" s="1"/>
  <c r="AG1169" i="1"/>
  <c r="AL1169" i="1" s="1"/>
  <c r="AM1169" i="1" s="1"/>
  <c r="AG1177" i="1"/>
  <c r="AG1193" i="1"/>
  <c r="AJ1193" i="1" s="1"/>
  <c r="AK1193" i="1" s="1"/>
  <c r="AG1201" i="1"/>
  <c r="AJ1201" i="1" s="1"/>
  <c r="AK1201" i="1" s="1"/>
  <c r="AG1209" i="1"/>
  <c r="AJ1209" i="1" s="1"/>
  <c r="AK1209" i="1" s="1"/>
  <c r="AG1225" i="1"/>
  <c r="AJ1225" i="1" s="1"/>
  <c r="AK1225" i="1" s="1"/>
  <c r="AL1233" i="1"/>
  <c r="AM1233" i="1" s="1"/>
  <c r="AG1241" i="1"/>
  <c r="AL1241" i="1" s="1"/>
  <c r="AM1241" i="1" s="1"/>
  <c r="AH1245" i="1"/>
  <c r="AI1245" i="1" s="1"/>
  <c r="AG1249" i="1"/>
  <c r="AL1249" i="1" s="1"/>
  <c r="AM1249" i="1" s="1"/>
  <c r="AH1253" i="1"/>
  <c r="AI1253" i="1" s="1"/>
  <c r="AG1257" i="1"/>
  <c r="AJ1263" i="1"/>
  <c r="AK1263" i="1" s="1"/>
  <c r="AH1269" i="1"/>
  <c r="AI1269" i="1" s="1"/>
  <c r="AG1273" i="1"/>
  <c r="AL1281" i="1"/>
  <c r="AM1281" i="1" s="1"/>
  <c r="AG1284" i="1"/>
  <c r="AJ1289" i="1"/>
  <c r="AK1289" i="1" s="1"/>
  <c r="AJ1313" i="1"/>
  <c r="AK1313" i="1" s="1"/>
  <c r="AH1313" i="1"/>
  <c r="AI1313" i="1" s="1"/>
  <c r="AL1315" i="1"/>
  <c r="AM1315" i="1" s="1"/>
  <c r="AJ1315" i="1"/>
  <c r="AK1315" i="1" s="1"/>
  <c r="AH1315" i="1"/>
  <c r="AI1315" i="1" s="1"/>
  <c r="AG1321" i="1"/>
  <c r="AH1330" i="1"/>
  <c r="AI1330" i="1" s="1"/>
  <c r="AG1330" i="1"/>
  <c r="AL1330" i="1" s="1"/>
  <c r="AM1330" i="1" s="1"/>
  <c r="AH1335" i="1"/>
  <c r="AI1335" i="1" s="1"/>
  <c r="AL1335" i="1"/>
  <c r="AM1335" i="1" s="1"/>
  <c r="AJ1370" i="1"/>
  <c r="AK1370" i="1" s="1"/>
  <c r="AH1370" i="1"/>
  <c r="AI1370" i="1" s="1"/>
  <c r="AL1370" i="1"/>
  <c r="AM1370" i="1" s="1"/>
  <c r="AJ1384" i="1"/>
  <c r="AK1384" i="1" s="1"/>
  <c r="AH1384" i="1"/>
  <c r="AL1384" i="1"/>
  <c r="AM1384" i="1" s="1"/>
  <c r="AH1264" i="1"/>
  <c r="AI1264" i="1" s="1"/>
  <c r="AG1282" i="1"/>
  <c r="AL1282" i="1" s="1"/>
  <c r="AL1307" i="1"/>
  <c r="AM1307" i="1" s="1"/>
  <c r="AJ1307" i="1"/>
  <c r="AK1307" i="1" s="1"/>
  <c r="AH1307" i="1"/>
  <c r="AI1307" i="1" s="1"/>
  <c r="AL1317" i="1"/>
  <c r="AM1317" i="1" s="1"/>
  <c r="AJ1317" i="1"/>
  <c r="AK1317" i="1" s="1"/>
  <c r="AH1319" i="1"/>
  <c r="AI1319" i="1" s="1"/>
  <c r="AL1319" i="1"/>
  <c r="AM1319" i="1" s="1"/>
  <c r="AL1351" i="1"/>
  <c r="AM1351" i="1" s="1"/>
  <c r="AJ1351" i="1"/>
  <c r="AK1351" i="1" s="1"/>
  <c r="AH1351" i="1"/>
  <c r="AI1351" i="1" s="1"/>
  <c r="AH1171" i="1"/>
  <c r="AI1171" i="1" s="1"/>
  <c r="AH1179" i="1"/>
  <c r="AI1179" i="1" s="1"/>
  <c r="AH1187" i="1"/>
  <c r="AI1187" i="1" s="1"/>
  <c r="AG1191" i="1"/>
  <c r="AH1191" i="1" s="1"/>
  <c r="AI1191" i="1" s="1"/>
  <c r="AH1195" i="1"/>
  <c r="AI1195" i="1" s="1"/>
  <c r="AG1199" i="1"/>
  <c r="AH1199" i="1" s="1"/>
  <c r="AI1199" i="1" s="1"/>
  <c r="AH1203" i="1"/>
  <c r="AI1203" i="1" s="1"/>
  <c r="AG1207" i="1"/>
  <c r="AH1211" i="1"/>
  <c r="AI1211" i="1" s="1"/>
  <c r="AG1215" i="1"/>
  <c r="AH1215" i="1" s="1"/>
  <c r="AI1215" i="1" s="1"/>
  <c r="AH1219" i="1"/>
  <c r="AI1219" i="1" s="1"/>
  <c r="AG1223" i="1"/>
  <c r="AH1223" i="1" s="1"/>
  <c r="AI1223" i="1" s="1"/>
  <c r="AH1227" i="1"/>
  <c r="AI1227" i="1" s="1"/>
  <c r="AG1231" i="1"/>
  <c r="AH1231" i="1" s="1"/>
  <c r="AI1231" i="1" s="1"/>
  <c r="AG1239" i="1"/>
  <c r="AH1239" i="1" s="1"/>
  <c r="AI1239" i="1" s="1"/>
  <c r="AG1247" i="1"/>
  <c r="AH1247" i="1" s="1"/>
  <c r="AI1247" i="1" s="1"/>
  <c r="AG1255" i="1"/>
  <c r="AH1255" i="1" s="1"/>
  <c r="AI1255" i="1" s="1"/>
  <c r="AG1271" i="1"/>
  <c r="AH1271" i="1" s="1"/>
  <c r="AI1271" i="1" s="1"/>
  <c r="AJ1274" i="1"/>
  <c r="AK1274" i="1" s="1"/>
  <c r="AL1274" i="1"/>
  <c r="AM1274" i="1" s="1"/>
  <c r="AL1289" i="1"/>
  <c r="AM1289" i="1" s="1"/>
  <c r="AG1292" i="1"/>
  <c r="AJ1292" i="1" s="1"/>
  <c r="AK1292" i="1" s="1"/>
  <c r="AG1299" i="1"/>
  <c r="AL1299" i="1" s="1"/>
  <c r="AM1299" i="1" s="1"/>
  <c r="AG1305" i="1"/>
  <c r="AJ1305" i="1" s="1"/>
  <c r="AK1305" i="1" s="1"/>
  <c r="AL1309" i="1"/>
  <c r="AM1309" i="1" s="1"/>
  <c r="AJ1309" i="1"/>
  <c r="AK1309" i="1" s="1"/>
  <c r="AH1311" i="1"/>
  <c r="AI1311" i="1" s="1"/>
  <c r="AL1311" i="1"/>
  <c r="AM1311" i="1" s="1"/>
  <c r="AH1317" i="1"/>
  <c r="AI1317" i="1" s="1"/>
  <c r="AJ1326" i="1"/>
  <c r="AK1326" i="1" s="1"/>
  <c r="AH1326" i="1"/>
  <c r="AI1326" i="1" s="1"/>
  <c r="AG1328" i="1"/>
  <c r="AL1328" i="1" s="1"/>
  <c r="AM1328" i="1" s="1"/>
  <c r="AL1339" i="1"/>
  <c r="AM1339" i="1" s="1"/>
  <c r="AJ1339" i="1"/>
  <c r="AK1339" i="1" s="1"/>
  <c r="AH1339" i="1"/>
  <c r="AI1339" i="1" s="1"/>
  <c r="AL1344" i="1"/>
  <c r="AG1170" i="1"/>
  <c r="AJ1170" i="1" s="1"/>
  <c r="AK1170" i="1" s="1"/>
  <c r="AG1178" i="1"/>
  <c r="AJ1178" i="1" s="1"/>
  <c r="AK1178" i="1" s="1"/>
  <c r="AG1186" i="1"/>
  <c r="AJ1186" i="1" s="1"/>
  <c r="AK1186" i="1" s="1"/>
  <c r="AG1194" i="1"/>
  <c r="AJ1194" i="1" s="1"/>
  <c r="AK1194" i="1" s="1"/>
  <c r="AG1202" i="1"/>
  <c r="AJ1202" i="1" s="1"/>
  <c r="AK1202" i="1" s="1"/>
  <c r="AJ1264" i="1"/>
  <c r="AK1264" i="1" s="1"/>
  <c r="AG1280" i="1"/>
  <c r="AL1280" i="1" s="1"/>
  <c r="AM1280" i="1" s="1"/>
  <c r="AJ1280" i="1"/>
  <c r="AK1280" i="1" s="1"/>
  <c r="AG1290" i="1"/>
  <c r="AH1290" i="1" s="1"/>
  <c r="AI1290" i="1" s="1"/>
  <c r="AJ1297" i="1"/>
  <c r="AK1297" i="1" s="1"/>
  <c r="AH1297" i="1"/>
  <c r="AI1297" i="1" s="1"/>
  <c r="AL1301" i="1"/>
  <c r="AM1301" i="1" s="1"/>
  <c r="AJ1301" i="1"/>
  <c r="AK1301" i="1" s="1"/>
  <c r="AH1303" i="1"/>
  <c r="AI1303" i="1" s="1"/>
  <c r="AL1303" i="1"/>
  <c r="AM1303" i="1" s="1"/>
  <c r="AJ1318" i="1"/>
  <c r="AK1318" i="1" s="1"/>
  <c r="AJ1319" i="1"/>
  <c r="AK1319" i="1" s="1"/>
  <c r="AL1331" i="1"/>
  <c r="AM1331" i="1" s="1"/>
  <c r="AJ1331" i="1"/>
  <c r="AK1331" i="1" s="1"/>
  <c r="AH1331" i="1"/>
  <c r="AI1331" i="1" s="1"/>
  <c r="AJ1334" i="1"/>
  <c r="AK1334" i="1" s="1"/>
  <c r="AG1189" i="1"/>
  <c r="AL1189" i="1" s="1"/>
  <c r="AM1189" i="1" s="1"/>
  <c r="AG1197" i="1"/>
  <c r="AL1197" i="1" s="1"/>
  <c r="AM1197" i="1" s="1"/>
  <c r="AG1205" i="1"/>
  <c r="AL1205" i="1" s="1"/>
  <c r="AM1205" i="1" s="1"/>
  <c r="AG1213" i="1"/>
  <c r="AG1221" i="1"/>
  <c r="AJ1221" i="1" s="1"/>
  <c r="AK1221" i="1" s="1"/>
  <c r="AG1229" i="1"/>
  <c r="AH1229" i="1" s="1"/>
  <c r="AI1229" i="1" s="1"/>
  <c r="AG1237" i="1"/>
  <c r="AJ1237" i="1" s="1"/>
  <c r="AK1237" i="1" s="1"/>
  <c r="AH1282" i="1"/>
  <c r="AI1282" i="1" s="1"/>
  <c r="AH1283" i="1"/>
  <c r="AI1283" i="1" s="1"/>
  <c r="AH1295" i="1"/>
  <c r="AI1295" i="1" s="1"/>
  <c r="AL1295" i="1"/>
  <c r="AM1295" i="1" s="1"/>
  <c r="AG1340" i="1"/>
  <c r="AG1387" i="1"/>
  <c r="AL1387" i="1" s="1"/>
  <c r="AM1387" i="1" s="1"/>
  <c r="AG1176" i="1"/>
  <c r="AH1176" i="1" s="1"/>
  <c r="AI1176" i="1" s="1"/>
  <c r="AG1224" i="1"/>
  <c r="AG1232" i="1"/>
  <c r="AH1232" i="1" s="1"/>
  <c r="AI1232" i="1" s="1"/>
  <c r="AG1240" i="1"/>
  <c r="AH1240" i="1" s="1"/>
  <c r="AI1240" i="1" s="1"/>
  <c r="AG1248" i="1"/>
  <c r="AH1248" i="1" s="1"/>
  <c r="AI1248" i="1" s="1"/>
  <c r="AG1256" i="1"/>
  <c r="AH1256" i="1" s="1"/>
  <c r="AI1256" i="1" s="1"/>
  <c r="AG1272" i="1"/>
  <c r="AH1272" i="1" s="1"/>
  <c r="AI1272" i="1" s="1"/>
  <c r="AG1276" i="1"/>
  <c r="AG1278" i="1"/>
  <c r="AG1288" i="1"/>
  <c r="AJ1288" i="1" s="1"/>
  <c r="AK1288" i="1" s="1"/>
  <c r="AJ1302" i="1"/>
  <c r="AK1302" i="1" s="1"/>
  <c r="AJ1303" i="1"/>
  <c r="AK1303" i="1" s="1"/>
  <c r="AG1308" i="1"/>
  <c r="AJ1308" i="1" s="1"/>
  <c r="AK1308" i="1" s="1"/>
  <c r="AJ1329" i="1"/>
  <c r="AK1329" i="1" s="1"/>
  <c r="AG1332" i="1"/>
  <c r="AH1368" i="1"/>
  <c r="AI1368" i="1" s="1"/>
  <c r="AL1368" i="1"/>
  <c r="AM1368" i="1" s="1"/>
  <c r="AJ1368" i="1"/>
  <c r="AK1368" i="1" s="1"/>
  <c r="AL1372" i="1"/>
  <c r="AM1372" i="1" s="1"/>
  <c r="AJ1372" i="1"/>
  <c r="AK1372" i="1" s="1"/>
  <c r="AH1372" i="1"/>
  <c r="AI1372" i="1" s="1"/>
  <c r="AL1392" i="1"/>
  <c r="AM1392" i="1" s="1"/>
  <c r="AH1392" i="1"/>
  <c r="AI1392" i="1" s="1"/>
  <c r="AJ1392" i="1"/>
  <c r="AK1392" i="1" s="1"/>
  <c r="AH1328" i="1"/>
  <c r="AI1328" i="1" s="1"/>
  <c r="AJ1330" i="1"/>
  <c r="AK1330" i="1" s="1"/>
  <c r="AH1344" i="1"/>
  <c r="AI1344" i="1" s="1"/>
  <c r="AH1347" i="1"/>
  <c r="AI1347" i="1" s="1"/>
  <c r="AJ1347" i="1"/>
  <c r="AK1347" i="1" s="1"/>
  <c r="AG1350" i="1"/>
  <c r="AL1350" i="1" s="1"/>
  <c r="AJ1362" i="1"/>
  <c r="AK1362" i="1" s="1"/>
  <c r="AG1364" i="1"/>
  <c r="AH1364" i="1" s="1"/>
  <c r="AI1364" i="1" s="1"/>
  <c r="AL1375" i="1"/>
  <c r="AM1375" i="1" s="1"/>
  <c r="AG1375" i="1"/>
  <c r="AG1411" i="1"/>
  <c r="AH1411" i="1" s="1"/>
  <c r="AI1411" i="1" s="1"/>
  <c r="AH1464" i="1"/>
  <c r="AI1464" i="1" s="1"/>
  <c r="AL1464" i="1"/>
  <c r="AM1464" i="1" s="1"/>
  <c r="AJ1464" i="1"/>
  <c r="AK1464" i="1" s="1"/>
  <c r="AH1299" i="1"/>
  <c r="AI1299" i="1" s="1"/>
  <c r="AJ1333" i="1"/>
  <c r="AK1333" i="1" s="1"/>
  <c r="AJ1341" i="1"/>
  <c r="AK1341" i="1" s="1"/>
  <c r="AJ1346" i="1"/>
  <c r="AK1346" i="1" s="1"/>
  <c r="AH1360" i="1"/>
  <c r="AI1360" i="1" s="1"/>
  <c r="AL1360" i="1"/>
  <c r="AM1360" i="1" s="1"/>
  <c r="AG1382" i="1"/>
  <c r="AJ1382" i="1" s="1"/>
  <c r="AG1388" i="1"/>
  <c r="AL1388" i="1" s="1"/>
  <c r="AM1388" i="1" s="1"/>
  <c r="AH1294" i="1"/>
  <c r="AI1294" i="1" s="1"/>
  <c r="AG1298" i="1"/>
  <c r="AH1298" i="1" s="1"/>
  <c r="AI1298" i="1" s="1"/>
  <c r="AH1302" i="1"/>
  <c r="AI1302" i="1" s="1"/>
  <c r="AG1306" i="1"/>
  <c r="AL1306" i="1" s="1"/>
  <c r="AM1306" i="1" s="1"/>
  <c r="AH1310" i="1"/>
  <c r="AI1310" i="1" s="1"/>
  <c r="AG1314" i="1"/>
  <c r="AH1314" i="1" s="1"/>
  <c r="AI1314" i="1" s="1"/>
  <c r="AH1318" i="1"/>
  <c r="AI1318" i="1" s="1"/>
  <c r="AG1322" i="1"/>
  <c r="AH1322" i="1" s="1"/>
  <c r="AI1322" i="1" s="1"/>
  <c r="AH1334" i="1"/>
  <c r="AI1334" i="1" s="1"/>
  <c r="AG1338" i="1"/>
  <c r="AH1338" i="1" s="1"/>
  <c r="AH1342" i="1"/>
  <c r="AI1342" i="1" s="1"/>
  <c r="AG1345" i="1"/>
  <c r="AJ1345" i="1" s="1"/>
  <c r="AK1345" i="1" s="1"/>
  <c r="AH1352" i="1"/>
  <c r="AI1352" i="1" s="1"/>
  <c r="AG1355" i="1"/>
  <c r="AL1355" i="1" s="1"/>
  <c r="AM1355" i="1" s="1"/>
  <c r="AG1357" i="1"/>
  <c r="AJ1357" i="1" s="1"/>
  <c r="AK1357" i="1" s="1"/>
  <c r="AJ1415" i="1"/>
  <c r="AK1415" i="1" s="1"/>
  <c r="AH1415" i="1"/>
  <c r="AI1415" i="1" s="1"/>
  <c r="AL1415" i="1"/>
  <c r="AM1415" i="1" s="1"/>
  <c r="AG1421" i="1"/>
  <c r="AJ1421" i="1" s="1"/>
  <c r="AK1421" i="1" s="1"/>
  <c r="AH1329" i="1"/>
  <c r="AI1329" i="1" s="1"/>
  <c r="AH1337" i="1"/>
  <c r="AI1337" i="1" s="1"/>
  <c r="AJ1342" i="1"/>
  <c r="AK1342" i="1" s="1"/>
  <c r="AG1349" i="1"/>
  <c r="AH1371" i="1"/>
  <c r="AI1371" i="1" s="1"/>
  <c r="AJ1371" i="1"/>
  <c r="AK1371" i="1" s="1"/>
  <c r="AJ1378" i="1"/>
  <c r="AK1378" i="1" s="1"/>
  <c r="AG1383" i="1"/>
  <c r="AG1296" i="1"/>
  <c r="AL1296" i="1" s="1"/>
  <c r="AM1296" i="1" s="1"/>
  <c r="AG1304" i="1"/>
  <c r="AL1304" i="1" s="1"/>
  <c r="AM1304" i="1" s="1"/>
  <c r="AG1312" i="1"/>
  <c r="AH1312" i="1" s="1"/>
  <c r="AI1312" i="1" s="1"/>
  <c r="AG1320" i="1"/>
  <c r="AJ1320" i="1" s="1"/>
  <c r="AK1320" i="1" s="1"/>
  <c r="AG1336" i="1"/>
  <c r="AL1336" i="1" s="1"/>
  <c r="AM1336" i="1" s="1"/>
  <c r="AJ1354" i="1"/>
  <c r="AK1354" i="1" s="1"/>
  <c r="AH1363" i="1"/>
  <c r="AI1363" i="1" s="1"/>
  <c r="AG1376" i="1"/>
  <c r="AJ1376" i="1" s="1"/>
  <c r="AK1376" i="1" s="1"/>
  <c r="AJ1385" i="1"/>
  <c r="AK1385" i="1" s="1"/>
  <c r="AG1399" i="1"/>
  <c r="AL1402" i="1"/>
  <c r="AM1402" i="1" s="1"/>
  <c r="AJ1402" i="1"/>
  <c r="AK1402" i="1" s="1"/>
  <c r="AG1386" i="1"/>
  <c r="AL1386" i="1" s="1"/>
  <c r="AM1386" i="1" s="1"/>
  <c r="AH1413" i="1"/>
  <c r="AI1413" i="1" s="1"/>
  <c r="AL1413" i="1"/>
  <c r="AM1413" i="1" s="1"/>
  <c r="AJ1413" i="1"/>
  <c r="AK1413" i="1" s="1"/>
  <c r="AG1366" i="1"/>
  <c r="AH1366" i="1" s="1"/>
  <c r="AI1366" i="1" s="1"/>
  <c r="AL1378" i="1"/>
  <c r="AM1378" i="1" s="1"/>
  <c r="AJ1381" i="1"/>
  <c r="AK1381" i="1" s="1"/>
  <c r="AL1394" i="1"/>
  <c r="AM1394" i="1" s="1"/>
  <c r="AH1396" i="1"/>
  <c r="AI1396" i="1" s="1"/>
  <c r="AJ1434" i="1"/>
  <c r="AK1434" i="1" s="1"/>
  <c r="AL1434" i="1"/>
  <c r="AM1434" i="1" s="1"/>
  <c r="AJ1363" i="1"/>
  <c r="AK1363" i="1" s="1"/>
  <c r="AJ1379" i="1"/>
  <c r="AK1379" i="1" s="1"/>
  <c r="AJ1391" i="1"/>
  <c r="AK1391" i="1" s="1"/>
  <c r="AG1405" i="1"/>
  <c r="AJ1405" i="1" s="1"/>
  <c r="AK1405" i="1" s="1"/>
  <c r="AH1409" i="1"/>
  <c r="AI1409" i="1" s="1"/>
  <c r="AL1414" i="1"/>
  <c r="AM1414" i="1" s="1"/>
  <c r="AJ1414" i="1"/>
  <c r="AK1414" i="1" s="1"/>
  <c r="AG1419" i="1"/>
  <c r="AH1419" i="1" s="1"/>
  <c r="AI1419" i="1" s="1"/>
  <c r="AH1441" i="1"/>
  <c r="AI1441" i="1" s="1"/>
  <c r="AG1469" i="1"/>
  <c r="AL1469" i="1" s="1"/>
  <c r="AM1469" i="1" s="1"/>
  <c r="AH1385" i="1"/>
  <c r="AI1385" i="1" s="1"/>
  <c r="AL1417" i="1"/>
  <c r="AM1417" i="1" s="1"/>
  <c r="AJ1417" i="1"/>
  <c r="AK1417" i="1" s="1"/>
  <c r="AL1425" i="1"/>
  <c r="AJ1425" i="1"/>
  <c r="AK1425" i="1" s="1"/>
  <c r="AJ1441" i="1"/>
  <c r="AK1441" i="1" s="1"/>
  <c r="AL1441" i="1"/>
  <c r="AG1453" i="1"/>
  <c r="AH1453" i="1" s="1"/>
  <c r="AI1453" i="1" s="1"/>
  <c r="AJ1466" i="1"/>
  <c r="AK1466" i="1" s="1"/>
  <c r="AH1456" i="1"/>
  <c r="AI1456" i="1" s="1"/>
  <c r="AL1456" i="1"/>
  <c r="AM1456" i="1" s="1"/>
  <c r="AJ1456" i="1"/>
  <c r="AK1456" i="1" s="1"/>
  <c r="AJ1503" i="1"/>
  <c r="AK1503" i="1" s="1"/>
  <c r="AH1503" i="1"/>
  <c r="AI1503" i="1" s="1"/>
  <c r="AL1503" i="1"/>
  <c r="AM1503" i="1" s="1"/>
  <c r="AH1354" i="1"/>
  <c r="AH1362" i="1"/>
  <c r="AI1362" i="1" s="1"/>
  <c r="AG1389" i="1"/>
  <c r="AL1389" i="1" s="1"/>
  <c r="AM1389" i="1" s="1"/>
  <c r="AG1390" i="1"/>
  <c r="AH1390" i="1" s="1"/>
  <c r="AI1390" i="1" s="1"/>
  <c r="AJ1393" i="1"/>
  <c r="AH1400" i="1"/>
  <c r="AI1400" i="1" s="1"/>
  <c r="AL1401" i="1"/>
  <c r="AM1401" i="1" s="1"/>
  <c r="AJ1401" i="1"/>
  <c r="AJ1407" i="1"/>
  <c r="AK1407" i="1" s="1"/>
  <c r="AH1407" i="1"/>
  <c r="AI1407" i="1" s="1"/>
  <c r="AH1418" i="1"/>
  <c r="AI1418" i="1" s="1"/>
  <c r="AG1423" i="1"/>
  <c r="AH1423" i="1" s="1"/>
  <c r="AI1423" i="1" s="1"/>
  <c r="AH1426" i="1"/>
  <c r="AI1426" i="1" s="1"/>
  <c r="AL1432" i="1"/>
  <c r="AM1432" i="1" s="1"/>
  <c r="AG1436" i="1"/>
  <c r="AJ1436" i="1" s="1"/>
  <c r="AK1436" i="1" s="1"/>
  <c r="AH1459" i="1"/>
  <c r="AI1459" i="1" s="1"/>
  <c r="AL1459" i="1"/>
  <c r="AM1459" i="1" s="1"/>
  <c r="AJ1459" i="1"/>
  <c r="AK1459" i="1" s="1"/>
  <c r="AG1511" i="1"/>
  <c r="AH1511" i="1" s="1"/>
  <c r="AI1511" i="1" s="1"/>
  <c r="AG1353" i="1"/>
  <c r="AJ1359" i="1"/>
  <c r="AK1359" i="1" s="1"/>
  <c r="AG1361" i="1"/>
  <c r="AJ1361" i="1" s="1"/>
  <c r="AK1361" i="1" s="1"/>
  <c r="AG1377" i="1"/>
  <c r="AJ1377" i="1" s="1"/>
  <c r="AK1377" i="1" s="1"/>
  <c r="AG1403" i="1"/>
  <c r="AL1403" i="1" s="1"/>
  <c r="AM1403" i="1" s="1"/>
  <c r="AL1409" i="1"/>
  <c r="AJ1409" i="1"/>
  <c r="AK1409" i="1" s="1"/>
  <c r="AJ1416" i="1"/>
  <c r="AK1416" i="1" s="1"/>
  <c r="AJ1424" i="1"/>
  <c r="AK1424" i="1" s="1"/>
  <c r="AG1431" i="1"/>
  <c r="AH1431" i="1" s="1"/>
  <c r="AI1431" i="1" s="1"/>
  <c r="AG1467" i="1"/>
  <c r="AJ1467" i="1" s="1"/>
  <c r="AK1467" i="1" s="1"/>
  <c r="AH1501" i="1"/>
  <c r="AI1501" i="1" s="1"/>
  <c r="AL1501" i="1"/>
  <c r="AM1501" i="1" s="1"/>
  <c r="AJ1501" i="1"/>
  <c r="AG1348" i="1"/>
  <c r="AH1348" i="1" s="1"/>
  <c r="AI1348" i="1" s="1"/>
  <c r="AG1356" i="1"/>
  <c r="AH1356" i="1" s="1"/>
  <c r="AI1356" i="1" s="1"/>
  <c r="AG1380" i="1"/>
  <c r="AH1380" i="1" s="1"/>
  <c r="AI1380" i="1" s="1"/>
  <c r="AH1393" i="1"/>
  <c r="AI1393" i="1" s="1"/>
  <c r="AJ1400" i="1"/>
  <c r="AH1404" i="1"/>
  <c r="AI1404" i="1" s="1"/>
  <c r="AH1417" i="1"/>
  <c r="AI1417" i="1" s="1"/>
  <c r="AH1425" i="1"/>
  <c r="AI1425" i="1" s="1"/>
  <c r="AG1451" i="1"/>
  <c r="AH1451" i="1" s="1"/>
  <c r="AL1479" i="1"/>
  <c r="AM1479" i="1" s="1"/>
  <c r="AH1479" i="1"/>
  <c r="AI1479" i="1" s="1"/>
  <c r="AL1381" i="1"/>
  <c r="AM1381" i="1" s="1"/>
  <c r="AH1394" i="1"/>
  <c r="AI1394" i="1" s="1"/>
  <c r="AJ1395" i="1"/>
  <c r="AJ1396" i="1"/>
  <c r="AG1397" i="1"/>
  <c r="AJ1397" i="1" s="1"/>
  <c r="AK1397" i="1" s="1"/>
  <c r="AH1402" i="1"/>
  <c r="AI1402" i="1" s="1"/>
  <c r="AL1404" i="1"/>
  <c r="AM1404" i="1" s="1"/>
  <c r="AH1412" i="1"/>
  <c r="AI1412" i="1" s="1"/>
  <c r="AG1422" i="1"/>
  <c r="AL1422" i="1" s="1"/>
  <c r="AM1422" i="1" s="1"/>
  <c r="AH1434" i="1"/>
  <c r="AI1434" i="1" s="1"/>
  <c r="AH1440" i="1"/>
  <c r="AI1440" i="1" s="1"/>
  <c r="AJ1440" i="1"/>
  <c r="AL1482" i="1"/>
  <c r="AM1482" i="1" s="1"/>
  <c r="AH1482" i="1"/>
  <c r="AI1482" i="1" s="1"/>
  <c r="AG1429" i="1"/>
  <c r="AH1429" i="1" s="1"/>
  <c r="AI1429" i="1" s="1"/>
  <c r="AJ1433" i="1"/>
  <c r="AK1433" i="1" s="1"/>
  <c r="AG1443" i="1"/>
  <c r="AL1443" i="1" s="1"/>
  <c r="AM1443" i="1" s="1"/>
  <c r="AG1445" i="1"/>
  <c r="AH1445" i="1" s="1"/>
  <c r="AI1445" i="1" s="1"/>
  <c r="AJ1458" i="1"/>
  <c r="AK1458" i="1" s="1"/>
  <c r="AH1458" i="1"/>
  <c r="AI1458" i="1" s="1"/>
  <c r="AH1420" i="1"/>
  <c r="AI1420" i="1" s="1"/>
  <c r="AL1471" i="1"/>
  <c r="AM1471" i="1" s="1"/>
  <c r="AH1471" i="1"/>
  <c r="AI1471" i="1" s="1"/>
  <c r="AL1494" i="1"/>
  <c r="AM1494" i="1" s="1"/>
  <c r="AJ1494" i="1"/>
  <c r="AK1494" i="1" s="1"/>
  <c r="AH1494" i="1"/>
  <c r="AI1494" i="1" s="1"/>
  <c r="AG1427" i="1"/>
  <c r="AJ1427" i="1" s="1"/>
  <c r="AK1427" i="1" s="1"/>
  <c r="AG1428" i="1"/>
  <c r="AL1428" i="1" s="1"/>
  <c r="AM1428" i="1" s="1"/>
  <c r="AG1435" i="1"/>
  <c r="AJ1435" i="1" s="1"/>
  <c r="AK1435" i="1" s="1"/>
  <c r="AG1437" i="1"/>
  <c r="AH1437" i="1" s="1"/>
  <c r="AJ1448" i="1"/>
  <c r="AK1448" i="1" s="1"/>
  <c r="AG1452" i="1"/>
  <c r="AH1452" i="1" s="1"/>
  <c r="AI1452" i="1" s="1"/>
  <c r="AL1465" i="1"/>
  <c r="AM1465" i="1" s="1"/>
  <c r="AG1465" i="1"/>
  <c r="AJ1465" i="1" s="1"/>
  <c r="AK1465" i="1" s="1"/>
  <c r="AL1490" i="1"/>
  <c r="AM1490" i="1" s="1"/>
  <c r="AH1490" i="1"/>
  <c r="AI1490" i="1" s="1"/>
  <c r="AG1513" i="1"/>
  <c r="AH1513" i="1" s="1"/>
  <c r="AI1513" i="1" s="1"/>
  <c r="AG1398" i="1"/>
  <c r="AG1406" i="1"/>
  <c r="AH1442" i="1"/>
  <c r="AI1442" i="1" s="1"/>
  <c r="AL1448" i="1"/>
  <c r="AM1448" i="1" s="1"/>
  <c r="AG1461" i="1"/>
  <c r="AJ1461" i="1" s="1"/>
  <c r="AK1461" i="1" s="1"/>
  <c r="AL1472" i="1"/>
  <c r="AM1472" i="1" s="1"/>
  <c r="AJ1472" i="1"/>
  <c r="AK1472" i="1" s="1"/>
  <c r="AG1491" i="1"/>
  <c r="AJ1491" i="1" s="1"/>
  <c r="AK1491" i="1" s="1"/>
  <c r="AH1495" i="1"/>
  <c r="AI1495" i="1" s="1"/>
  <c r="AL1495" i="1"/>
  <c r="AM1495" i="1" s="1"/>
  <c r="AH1428" i="1"/>
  <c r="AI1428" i="1" s="1"/>
  <c r="AG1444" i="1"/>
  <c r="AH1444" i="1" s="1"/>
  <c r="AI1444" i="1" s="1"/>
  <c r="AH1449" i="1"/>
  <c r="AI1449" i="1" s="1"/>
  <c r="AJ1457" i="1"/>
  <c r="AK1457" i="1" s="1"/>
  <c r="AH1457" i="1"/>
  <c r="AI1457" i="1" s="1"/>
  <c r="AG1468" i="1"/>
  <c r="AL1468" i="1" s="1"/>
  <c r="AM1468" i="1" s="1"/>
  <c r="AL1492" i="1"/>
  <c r="AM1492" i="1" s="1"/>
  <c r="AJ1492" i="1"/>
  <c r="AK1492" i="1" s="1"/>
  <c r="AH1492" i="1"/>
  <c r="AG1507" i="1"/>
  <c r="AJ1507" i="1" s="1"/>
  <c r="AK1507" i="1" s="1"/>
  <c r="AH1433" i="1"/>
  <c r="AI1433" i="1" s="1"/>
  <c r="AH1465" i="1"/>
  <c r="AI1465" i="1" s="1"/>
  <c r="AJ1479" i="1"/>
  <c r="AK1479" i="1" s="1"/>
  <c r="AH1480" i="1"/>
  <c r="AI1480" i="1" s="1"/>
  <c r="AG1481" i="1"/>
  <c r="AH1481" i="1" s="1"/>
  <c r="AI1481" i="1" s="1"/>
  <c r="AL1487" i="1"/>
  <c r="AM1487" i="1" s="1"/>
  <c r="AJ1490" i="1"/>
  <c r="AK1490" i="1" s="1"/>
  <c r="AH1516" i="1"/>
  <c r="AG1499" i="1"/>
  <c r="AH1499" i="1" s="1"/>
  <c r="AI1499" i="1" s="1"/>
  <c r="AJ1545" i="1"/>
  <c r="AK1545" i="1" s="1"/>
  <c r="AL1545" i="1"/>
  <c r="AM1545" i="1" s="1"/>
  <c r="AH1545" i="1"/>
  <c r="AI1545" i="1" s="1"/>
  <c r="AH1577" i="1"/>
  <c r="AI1577" i="1" s="1"/>
  <c r="AL1577" i="1"/>
  <c r="AM1577" i="1" s="1"/>
  <c r="AJ1577" i="1"/>
  <c r="AG1477" i="1"/>
  <c r="AH1477" i="1" s="1"/>
  <c r="AI1477" i="1" s="1"/>
  <c r="AG1478" i="1"/>
  <c r="AL1478" i="1" s="1"/>
  <c r="AM1478" i="1" s="1"/>
  <c r="AJ1487" i="1"/>
  <c r="AG1489" i="1"/>
  <c r="AH1489" i="1" s="1"/>
  <c r="AI1489" i="1" s="1"/>
  <c r="AH1502" i="1"/>
  <c r="AI1502" i="1" s="1"/>
  <c r="AH1504" i="1"/>
  <c r="AI1504" i="1" s="1"/>
  <c r="AL1514" i="1"/>
  <c r="AM1514" i="1" s="1"/>
  <c r="AL1516" i="1"/>
  <c r="AM1516" i="1" s="1"/>
  <c r="AL1536" i="1"/>
  <c r="AM1536" i="1" s="1"/>
  <c r="AJ1536" i="1"/>
  <c r="AK1536" i="1" s="1"/>
  <c r="AH1536" i="1"/>
  <c r="AI1536" i="1" s="1"/>
  <c r="AG1430" i="1"/>
  <c r="AL1430" i="1" s="1"/>
  <c r="AM1430" i="1" s="1"/>
  <c r="AG1438" i="1"/>
  <c r="AG1446" i="1"/>
  <c r="AG1454" i="1"/>
  <c r="AL1454" i="1" s="1"/>
  <c r="AM1454" i="1" s="1"/>
  <c r="AG1462" i="1"/>
  <c r="AH1466" i="1"/>
  <c r="AI1466" i="1" s="1"/>
  <c r="AG1470" i="1"/>
  <c r="AJ1475" i="1"/>
  <c r="AJ1495" i="1"/>
  <c r="AK1495" i="1" s="1"/>
  <c r="AJ1502" i="1"/>
  <c r="AK1502" i="1" s="1"/>
  <c r="AJ1506" i="1"/>
  <c r="AK1506" i="1" s="1"/>
  <c r="AL1508" i="1"/>
  <c r="AM1508" i="1" s="1"/>
  <c r="AJ1508" i="1"/>
  <c r="AK1508" i="1" s="1"/>
  <c r="AH1512" i="1"/>
  <c r="AI1512" i="1" s="1"/>
  <c r="AG1517" i="1"/>
  <c r="AL1517" i="1" s="1"/>
  <c r="AH1546" i="1"/>
  <c r="AI1546" i="1" s="1"/>
  <c r="AL1546" i="1"/>
  <c r="AM1546" i="1" s="1"/>
  <c r="AJ1546" i="1"/>
  <c r="AK1546" i="1" s="1"/>
  <c r="AH1478" i="1"/>
  <c r="AI1478" i="1" s="1"/>
  <c r="AG1485" i="1"/>
  <c r="AJ1485" i="1" s="1"/>
  <c r="AG1527" i="1"/>
  <c r="AH1527" i="1" s="1"/>
  <c r="AI1527" i="1" s="1"/>
  <c r="AG1543" i="1"/>
  <c r="AL1543" i="1" s="1"/>
  <c r="AM1543" i="1" s="1"/>
  <c r="AG1460" i="1"/>
  <c r="AJ1471" i="1"/>
  <c r="AG1474" i="1"/>
  <c r="AL1474" i="1" s="1"/>
  <c r="AM1474" i="1" s="1"/>
  <c r="AJ1480" i="1"/>
  <c r="AK1480" i="1" s="1"/>
  <c r="AG1498" i="1"/>
  <c r="AH1498" i="1" s="1"/>
  <c r="AI1498" i="1" s="1"/>
  <c r="AL1500" i="1"/>
  <c r="AM1500" i="1" s="1"/>
  <c r="AJ1500" i="1"/>
  <c r="AK1500" i="1" s="1"/>
  <c r="AJ1512" i="1"/>
  <c r="AK1512" i="1" s="1"/>
  <c r="AG1515" i="1"/>
  <c r="AJ1515" i="1" s="1"/>
  <c r="AK1515" i="1" s="1"/>
  <c r="AG1439" i="1"/>
  <c r="AJ1439" i="1" s="1"/>
  <c r="AK1439" i="1" s="1"/>
  <c r="AG1447" i="1"/>
  <c r="AG1455" i="1"/>
  <c r="AG1463" i="1"/>
  <c r="AJ1463" i="1" s="1"/>
  <c r="AK1463" i="1" s="1"/>
  <c r="AH1472" i="1"/>
  <c r="AI1472" i="1" s="1"/>
  <c r="AG1473" i="1"/>
  <c r="AJ1473" i="1" s="1"/>
  <c r="AK1473" i="1" s="1"/>
  <c r="AH1475" i="1"/>
  <c r="AI1475" i="1" s="1"/>
  <c r="AJ1482" i="1"/>
  <c r="AG1483" i="1"/>
  <c r="AL1483" i="1" s="1"/>
  <c r="AM1483" i="1" s="1"/>
  <c r="AG1493" i="1"/>
  <c r="AJ1493" i="1" s="1"/>
  <c r="AG1509" i="1"/>
  <c r="AJ1509" i="1" s="1"/>
  <c r="AK1509" i="1" s="1"/>
  <c r="AH1518" i="1"/>
  <c r="AI1518" i="1" s="1"/>
  <c r="AL1518" i="1"/>
  <c r="AM1518" i="1" s="1"/>
  <c r="AJ1524" i="1"/>
  <c r="AK1524" i="1" s="1"/>
  <c r="AG1525" i="1"/>
  <c r="AH1525" i="1" s="1"/>
  <c r="AI1525" i="1" s="1"/>
  <c r="AJ1544" i="1"/>
  <c r="AK1544" i="1" s="1"/>
  <c r="AG1554" i="1"/>
  <c r="AL1554" i="1" s="1"/>
  <c r="AM1554" i="1" s="1"/>
  <c r="AH1559" i="1"/>
  <c r="AI1559" i="1" s="1"/>
  <c r="AL1559" i="1"/>
  <c r="AM1559" i="1" s="1"/>
  <c r="AL1568" i="1"/>
  <c r="AM1568" i="1" s="1"/>
  <c r="AG1604" i="1"/>
  <c r="AH1604" i="1" s="1"/>
  <c r="AI1604" i="1" s="1"/>
  <c r="AL1566" i="1"/>
  <c r="AM1566" i="1" s="1"/>
  <c r="AJ1566" i="1"/>
  <c r="AK1566" i="1" s="1"/>
  <c r="AL1573" i="1"/>
  <c r="AM1573" i="1" s="1"/>
  <c r="AH1588" i="1"/>
  <c r="AI1588" i="1" s="1"/>
  <c r="AL1588" i="1"/>
  <c r="AM1588" i="1" s="1"/>
  <c r="AJ1588" i="1"/>
  <c r="AK1588" i="1" s="1"/>
  <c r="AH1514" i="1"/>
  <c r="AI1514" i="1" s="1"/>
  <c r="AH1519" i="1"/>
  <c r="AI1519" i="1" s="1"/>
  <c r="AG1523" i="1"/>
  <c r="AL1523" i="1" s="1"/>
  <c r="AM1523" i="1" s="1"/>
  <c r="AH1528" i="1"/>
  <c r="AI1528" i="1" s="1"/>
  <c r="AJ1530" i="1"/>
  <c r="AK1530" i="1" s="1"/>
  <c r="AL1541" i="1"/>
  <c r="AM1541" i="1" s="1"/>
  <c r="AG1594" i="1"/>
  <c r="AJ1594" i="1" s="1"/>
  <c r="AK1594" i="1" s="1"/>
  <c r="AH1506" i="1"/>
  <c r="AI1506" i="1" s="1"/>
  <c r="AH1521" i="1"/>
  <c r="AI1521" i="1" s="1"/>
  <c r="AG1533" i="1"/>
  <c r="AJ1533" i="1" s="1"/>
  <c r="AK1533" i="1" s="1"/>
  <c r="AH1538" i="1"/>
  <c r="AL1550" i="1"/>
  <c r="AM1550" i="1" s="1"/>
  <c r="AH1550" i="1"/>
  <c r="AI1550" i="1" s="1"/>
  <c r="AG1555" i="1"/>
  <c r="AH1555" i="1" s="1"/>
  <c r="AI1555" i="1" s="1"/>
  <c r="AH1566" i="1"/>
  <c r="AG1569" i="1"/>
  <c r="AL1569" i="1" s="1"/>
  <c r="AM1569" i="1" s="1"/>
  <c r="AG1497" i="1"/>
  <c r="AJ1497" i="1" s="1"/>
  <c r="AG1505" i="1"/>
  <c r="AH1505" i="1" s="1"/>
  <c r="AI1505" i="1" s="1"/>
  <c r="AJ1514" i="1"/>
  <c r="AK1514" i="1" s="1"/>
  <c r="AG1522" i="1"/>
  <c r="AH1524" i="1"/>
  <c r="AI1524" i="1" s="1"/>
  <c r="AH1526" i="1"/>
  <c r="AI1526" i="1" s="1"/>
  <c r="AJ1528" i="1"/>
  <c r="AK1528" i="1" s="1"/>
  <c r="AG1532" i="1"/>
  <c r="AJ1532" i="1" s="1"/>
  <c r="AK1532" i="1" s="1"/>
  <c r="AG1537" i="1"/>
  <c r="AL1537" i="1" s="1"/>
  <c r="AM1537" i="1" s="1"/>
  <c r="AH1540" i="1"/>
  <c r="AI1540" i="1" s="1"/>
  <c r="AG1560" i="1"/>
  <c r="AJ1560" i="1" s="1"/>
  <c r="AK1560" i="1" s="1"/>
  <c r="AG1606" i="1"/>
  <c r="AG1616" i="1"/>
  <c r="AJ1616" i="1" s="1"/>
  <c r="AK1616" i="1" s="1"/>
  <c r="AG1620" i="1"/>
  <c r="AJ1620" i="1" s="1"/>
  <c r="AK1620" i="1" s="1"/>
  <c r="AG1476" i="1"/>
  <c r="AL1476" i="1" s="1"/>
  <c r="AM1476" i="1" s="1"/>
  <c r="AG1484" i="1"/>
  <c r="AL1484" i="1" s="1"/>
  <c r="AM1484" i="1" s="1"/>
  <c r="AH1523" i="1"/>
  <c r="AI1523" i="1" s="1"/>
  <c r="AJ1526" i="1"/>
  <c r="AK1526" i="1" s="1"/>
  <c r="AJ1531" i="1"/>
  <c r="AK1531" i="1" s="1"/>
  <c r="AG1531" i="1"/>
  <c r="AH1531" i="1" s="1"/>
  <c r="AI1531" i="1" s="1"/>
  <c r="AJ1549" i="1"/>
  <c r="AK1549" i="1" s="1"/>
  <c r="AL1549" i="1"/>
  <c r="AM1549" i="1" s="1"/>
  <c r="AJ1550" i="1"/>
  <c r="AK1550" i="1" s="1"/>
  <c r="AH1558" i="1"/>
  <c r="AI1558" i="1" s="1"/>
  <c r="AL1558" i="1"/>
  <c r="AM1558" i="1" s="1"/>
  <c r="AJ1558" i="1"/>
  <c r="AK1558" i="1" s="1"/>
  <c r="AH1572" i="1"/>
  <c r="AI1572" i="1" s="1"/>
  <c r="AH1529" i="1"/>
  <c r="AH1530" i="1"/>
  <c r="AI1530" i="1" s="1"/>
  <c r="AG1563" i="1"/>
  <c r="AL1563" i="1" s="1"/>
  <c r="AM1563" i="1" s="1"/>
  <c r="AH1580" i="1"/>
  <c r="AL1580" i="1"/>
  <c r="AM1580" i="1" s="1"/>
  <c r="AJ1580" i="1"/>
  <c r="AK1580" i="1" s="1"/>
  <c r="AL1608" i="1"/>
  <c r="AM1608" i="1" s="1"/>
  <c r="AG1608" i="1"/>
  <c r="AJ1608" i="1" s="1"/>
  <c r="AK1608" i="1" s="1"/>
  <c r="AG1612" i="1"/>
  <c r="AJ1612" i="1" s="1"/>
  <c r="AK1612" i="1" s="1"/>
  <c r="AJ1521" i="1"/>
  <c r="AK1521" i="1" s="1"/>
  <c r="AJ1529" i="1"/>
  <c r="AK1529" i="1" s="1"/>
  <c r="AG1539" i="1"/>
  <c r="AH1539" i="1" s="1"/>
  <c r="AG1548" i="1"/>
  <c r="AG1552" i="1"/>
  <c r="AJ1552" i="1" s="1"/>
  <c r="AK1552" i="1" s="1"/>
  <c r="AG1557" i="1"/>
  <c r="AL1557" i="1" s="1"/>
  <c r="AM1557" i="1" s="1"/>
  <c r="AH1564" i="1"/>
  <c r="AI1564" i="1" s="1"/>
  <c r="AG1571" i="1"/>
  <c r="AH1571" i="1" s="1"/>
  <c r="AI1571" i="1" s="1"/>
  <c r="AG1575" i="1"/>
  <c r="AL1575" i="1" s="1"/>
  <c r="AM1575" i="1" s="1"/>
  <c r="AG1596" i="1"/>
  <c r="AJ1596" i="1" s="1"/>
  <c r="AK1596" i="1" s="1"/>
  <c r="AG1607" i="1"/>
  <c r="AL1625" i="1"/>
  <c r="AM1625" i="1" s="1"/>
  <c r="AJ1625" i="1"/>
  <c r="AK1625" i="1" s="1"/>
  <c r="AH1625" i="1"/>
  <c r="AI1625" i="1" s="1"/>
  <c r="AH1535" i="1"/>
  <c r="AI1535" i="1" s="1"/>
  <c r="AL1535" i="1"/>
  <c r="AM1535" i="1" s="1"/>
  <c r="AL1540" i="1"/>
  <c r="AM1540" i="1" s="1"/>
  <c r="AJ1541" i="1"/>
  <c r="AK1541" i="1" s="1"/>
  <c r="AG1553" i="1"/>
  <c r="AH1553" i="1" s="1"/>
  <c r="AI1553" i="1" s="1"/>
  <c r="AJ1559" i="1"/>
  <c r="AK1559" i="1" s="1"/>
  <c r="AG1562" i="1"/>
  <c r="AJ1564" i="1"/>
  <c r="AK1564" i="1" s="1"/>
  <c r="AH1565" i="1"/>
  <c r="AI1565" i="1" s="1"/>
  <c r="AH1567" i="1"/>
  <c r="AI1567" i="1" s="1"/>
  <c r="AL1567" i="1"/>
  <c r="AM1567" i="1" s="1"/>
  <c r="AJ1568" i="1"/>
  <c r="AL1572" i="1"/>
  <c r="AM1572" i="1" s="1"/>
  <c r="AJ1573" i="1"/>
  <c r="AK1573" i="1" s="1"/>
  <c r="AL1619" i="1"/>
  <c r="AM1619" i="1" s="1"/>
  <c r="AJ1619" i="1"/>
  <c r="AK1619" i="1" s="1"/>
  <c r="AG1626" i="1"/>
  <c r="AL1626" i="1" s="1"/>
  <c r="AM1626" i="1" s="1"/>
  <c r="AG1630" i="1"/>
  <c r="AJ1630" i="1" s="1"/>
  <c r="AK1630" i="1" s="1"/>
  <c r="AG1586" i="1"/>
  <c r="AG1592" i="1"/>
  <c r="AG1602" i="1"/>
  <c r="AH1603" i="1"/>
  <c r="AI1603" i="1" s="1"/>
  <c r="AJ1609" i="1"/>
  <c r="AK1609" i="1" s="1"/>
  <c r="AG1614" i="1"/>
  <c r="AL1614" i="1" s="1"/>
  <c r="AM1614" i="1" s="1"/>
  <c r="AH1552" i="1"/>
  <c r="AI1552" i="1" s="1"/>
  <c r="AJ1556" i="1"/>
  <c r="AK1556" i="1" s="1"/>
  <c r="AJ1565" i="1"/>
  <c r="AK1565" i="1" s="1"/>
  <c r="AJ1587" i="1"/>
  <c r="AK1587" i="1" s="1"/>
  <c r="AJ1603" i="1"/>
  <c r="AK1603" i="1" s="1"/>
  <c r="AG1631" i="1"/>
  <c r="AL1631" i="1" s="1"/>
  <c r="AM1631" i="1" s="1"/>
  <c r="AG1582" i="1"/>
  <c r="AJ1582" i="1" s="1"/>
  <c r="AK1582" i="1" s="1"/>
  <c r="AH1583" i="1"/>
  <c r="AI1583" i="1" s="1"/>
  <c r="AG1598" i="1"/>
  <c r="AJ1598" i="1" s="1"/>
  <c r="AK1598" i="1" s="1"/>
  <c r="AL1610" i="1"/>
  <c r="AM1610" i="1" s="1"/>
  <c r="AG1610" i="1"/>
  <c r="AH1610" i="1" s="1"/>
  <c r="AI1610" i="1" s="1"/>
  <c r="AL1632" i="1"/>
  <c r="AM1632" i="1" s="1"/>
  <c r="AJ1632" i="1"/>
  <c r="AK1632" i="1" s="1"/>
  <c r="AH1632" i="1"/>
  <c r="AI1632" i="1" s="1"/>
  <c r="AL1556" i="1"/>
  <c r="AM1556" i="1" s="1"/>
  <c r="AJ1557" i="1"/>
  <c r="AK1557" i="1" s="1"/>
  <c r="AL1565" i="1"/>
  <c r="AM1565" i="1" s="1"/>
  <c r="AG1578" i="1"/>
  <c r="AH1578" i="1" s="1"/>
  <c r="AI1578" i="1" s="1"/>
  <c r="AJ1583" i="1"/>
  <c r="AK1583" i="1" s="1"/>
  <c r="AJ1599" i="1"/>
  <c r="AK1599" i="1" s="1"/>
  <c r="AG1615" i="1"/>
  <c r="AL1615" i="1" s="1"/>
  <c r="AM1615" i="1" s="1"/>
  <c r="AL1624" i="1"/>
  <c r="AM1624" i="1" s="1"/>
  <c r="AJ1624" i="1"/>
  <c r="AK1624" i="1" s="1"/>
  <c r="AH1624" i="1"/>
  <c r="AI1624" i="1" s="1"/>
  <c r="AG1628" i="1"/>
  <c r="AH1633" i="1"/>
  <c r="AI1633" i="1" s="1"/>
  <c r="AG1551" i="1"/>
  <c r="AJ1561" i="1"/>
  <c r="AK1561" i="1" s="1"/>
  <c r="AL1561" i="1"/>
  <c r="AM1561" i="1" s="1"/>
  <c r="AJ1571" i="1"/>
  <c r="AK1571" i="1" s="1"/>
  <c r="AH1579" i="1"/>
  <c r="AI1579" i="1" s="1"/>
  <c r="AG1584" i="1"/>
  <c r="AL1584" i="1" s="1"/>
  <c r="AM1584" i="1" s="1"/>
  <c r="AH1595" i="1"/>
  <c r="AI1595" i="1" s="1"/>
  <c r="AG1600" i="1"/>
  <c r="AL1600" i="1" s="1"/>
  <c r="AM1600" i="1" s="1"/>
  <c r="AL1621" i="1"/>
  <c r="AM1621" i="1" s="1"/>
  <c r="AL1633" i="1"/>
  <c r="AM1633" i="1" s="1"/>
  <c r="AJ1633" i="1"/>
  <c r="AK1633" i="1" s="1"/>
  <c r="AG1576" i="1"/>
  <c r="AH1576" i="1" s="1"/>
  <c r="AI1576" i="1" s="1"/>
  <c r="AJ1579" i="1"/>
  <c r="AJ1595" i="1"/>
  <c r="AK1595" i="1" s="1"/>
  <c r="AJ1622" i="1"/>
  <c r="AK1622" i="1" s="1"/>
  <c r="AL1622" i="1"/>
  <c r="AM1622" i="1" s="1"/>
  <c r="AG1622" i="1"/>
  <c r="AH1622" i="1" s="1"/>
  <c r="AI1622" i="1" s="1"/>
  <c r="AJ1613" i="1"/>
  <c r="AK1613" i="1" s="1"/>
  <c r="AG1618" i="1"/>
  <c r="AJ1618" i="1" s="1"/>
  <c r="AK1618" i="1" s="1"/>
  <c r="AG1623" i="1"/>
  <c r="AG1629" i="1"/>
  <c r="AH1629" i="1" s="1"/>
  <c r="AI1629" i="1" s="1"/>
  <c r="AJ1627" i="1"/>
  <c r="AK1627" i="1" s="1"/>
  <c r="AG1636" i="1"/>
  <c r="AH1636" i="1" s="1"/>
  <c r="AI1636" i="1" s="1"/>
  <c r="AG1634" i="1"/>
  <c r="AJ1634" i="1" s="1"/>
  <c r="AK1634" i="1" s="1"/>
  <c r="AG1637" i="1"/>
  <c r="AH1637" i="1" s="1"/>
  <c r="AI1637" i="1" s="1"/>
  <c r="AH1619" i="1"/>
  <c r="AI1619" i="1" s="1"/>
  <c r="AJ1635" i="1"/>
  <c r="AK1635" i="1" s="1"/>
  <c r="AG1639" i="1"/>
  <c r="AL1640" i="1"/>
  <c r="AM1640" i="1" s="1"/>
  <c r="AJ1640" i="1"/>
  <c r="AK1640" i="1" s="1"/>
  <c r="AH1640" i="1"/>
  <c r="AI1640" i="1" s="1"/>
  <c r="AG1638" i="1"/>
  <c r="AL1638" i="1" s="1"/>
  <c r="AM1638" i="1" s="1"/>
  <c r="AJ1610" i="1"/>
  <c r="AK1610" i="1" s="1"/>
  <c r="AH1627" i="1"/>
  <c r="AI1627" i="1" s="1"/>
  <c r="AH1635" i="1"/>
  <c r="AI1635" i="1" s="1"/>
  <c r="AJ1127" i="1" l="1"/>
  <c r="AK1127" i="1" s="1"/>
  <c r="AL577" i="1"/>
  <c r="AM577" i="1" s="1"/>
  <c r="AJ1336" i="1"/>
  <c r="AK1336" i="1" s="1"/>
  <c r="AL1288" i="1"/>
  <c r="AM1288" i="1" s="1"/>
  <c r="AH1079" i="1"/>
  <c r="AI1079" i="1" s="1"/>
  <c r="AL1452" i="1"/>
  <c r="AM1452" i="1" s="1"/>
  <c r="AL1364" i="1"/>
  <c r="AM1364" i="1" s="1"/>
  <c r="AH1214" i="1"/>
  <c r="AI1214" i="1" s="1"/>
  <c r="AH1185" i="1"/>
  <c r="AI1185" i="1" s="1"/>
  <c r="AH920" i="1"/>
  <c r="AI920" i="1" s="1"/>
  <c r="AJ61" i="1"/>
  <c r="AK61" i="1" s="1"/>
  <c r="AJ1629" i="1"/>
  <c r="AK1629" i="1" s="1"/>
  <c r="AL1629" i="1"/>
  <c r="AM1629" i="1" s="1"/>
  <c r="AH1620" i="1"/>
  <c r="AI1620" i="1" s="1"/>
  <c r="AL1594" i="1"/>
  <c r="AM1594" i="1" s="1"/>
  <c r="AJ1239" i="1"/>
  <c r="AK1239" i="1" s="1"/>
  <c r="AJ1045" i="1"/>
  <c r="AK1045" i="1" s="1"/>
  <c r="AL981" i="1"/>
  <c r="AM981" i="1" s="1"/>
  <c r="AH768" i="1"/>
  <c r="AI768" i="1" s="1"/>
  <c r="AL830" i="1"/>
  <c r="AM830" i="1" s="1"/>
  <c r="AL581" i="1"/>
  <c r="AM581" i="1" s="1"/>
  <c r="AL487" i="1"/>
  <c r="AM487" i="1" s="1"/>
  <c r="AJ339" i="1"/>
  <c r="AK339" i="1" s="1"/>
  <c r="AH182" i="1"/>
  <c r="AI182" i="1" s="1"/>
  <c r="AL323" i="1"/>
  <c r="AM323" i="1" s="1"/>
  <c r="AJ1386" i="1"/>
  <c r="AK1386" i="1" s="1"/>
  <c r="AL705" i="1"/>
  <c r="AM705" i="1" s="1"/>
  <c r="AL1531" i="1"/>
  <c r="AL1498" i="1"/>
  <c r="AM1498" i="1" s="1"/>
  <c r="AL1366" i="1"/>
  <c r="AM1366" i="1" s="1"/>
  <c r="AJ1197" i="1"/>
  <c r="AK1197" i="1" s="1"/>
  <c r="AJ1282" i="1"/>
  <c r="AK1282" i="1" s="1"/>
  <c r="AH940" i="1"/>
  <c r="AI940" i="1" s="1"/>
  <c r="AL860" i="1"/>
  <c r="AM860" i="1" s="1"/>
  <c r="AH870" i="1"/>
  <c r="AI870" i="1" s="1"/>
  <c r="AH788" i="1"/>
  <c r="AI788" i="1" s="1"/>
  <c r="AH581" i="1"/>
  <c r="AI581" i="1" s="1"/>
  <c r="AH545" i="1"/>
  <c r="AI545" i="1" s="1"/>
  <c r="AL290" i="1"/>
  <c r="AM290" i="1" s="1"/>
  <c r="AJ1364" i="1"/>
  <c r="AK1364" i="1" s="1"/>
  <c r="AH1123" i="1"/>
  <c r="AI1123" i="1" s="1"/>
  <c r="AH884" i="1"/>
  <c r="AI884" i="1" s="1"/>
  <c r="AH746" i="1"/>
  <c r="AI746" i="1" s="1"/>
  <c r="AH174" i="1"/>
  <c r="AI174" i="1" s="1"/>
  <c r="AH1469" i="1"/>
  <c r="AI1469" i="1" s="1"/>
  <c r="AJ1469" i="1"/>
  <c r="AK1469" i="1" s="1"/>
  <c r="AL1357" i="1"/>
  <c r="AM1357" i="1" s="1"/>
  <c r="AJ1328" i="1"/>
  <c r="AK1328" i="1" s="1"/>
  <c r="AJ1072" i="1"/>
  <c r="AK1072" i="1" s="1"/>
  <c r="AJ768" i="1"/>
  <c r="AK768" i="1" s="1"/>
  <c r="AL930" i="1"/>
  <c r="AM930" i="1" s="1"/>
  <c r="AH705" i="1"/>
  <c r="AI705" i="1" s="1"/>
  <c r="AH1435" i="1"/>
  <c r="AI1435" i="1" s="1"/>
  <c r="AJ1255" i="1"/>
  <c r="AK1255" i="1" s="1"/>
  <c r="AH1190" i="1"/>
  <c r="AI1190" i="1" s="1"/>
  <c r="AH1014" i="1"/>
  <c r="AI1014" i="1" s="1"/>
  <c r="AH1052" i="1"/>
  <c r="AI1052" i="1" s="1"/>
  <c r="AH856" i="1"/>
  <c r="AI856" i="1" s="1"/>
  <c r="AJ775" i="1"/>
  <c r="AK775" i="1" s="1"/>
  <c r="AH862" i="1"/>
  <c r="AI862" i="1" s="1"/>
  <c r="AL785" i="1"/>
  <c r="AM785" i="1" s="1"/>
  <c r="AH658" i="1"/>
  <c r="AI658" i="1" s="1"/>
  <c r="AL724" i="1"/>
  <c r="AM724" i="1" s="1"/>
  <c r="AH577" i="1"/>
  <c r="AI577" i="1" s="1"/>
  <c r="AJ487" i="1"/>
  <c r="AK487" i="1" s="1"/>
  <c r="AL330" i="1"/>
  <c r="AM330" i="1" s="1"/>
  <c r="AH298" i="1"/>
  <c r="AI298" i="1" s="1"/>
  <c r="AH70" i="1"/>
  <c r="AI70" i="1" s="1"/>
  <c r="AL1596" i="1"/>
  <c r="AM1596" i="1" s="1"/>
  <c r="AL1072" i="1"/>
  <c r="AM1072" i="1" s="1"/>
  <c r="AJ1636" i="1"/>
  <c r="AK1636" i="1" s="1"/>
  <c r="AH1463" i="1"/>
  <c r="AI1463" i="1" s="1"/>
  <c r="AJ1095" i="1"/>
  <c r="AK1095" i="1" s="1"/>
  <c r="AL1089" i="1"/>
  <c r="AM1089" i="1" s="1"/>
  <c r="AJ1014" i="1"/>
  <c r="AK1014" i="1" s="1"/>
  <c r="AL990" i="1"/>
  <c r="AM990" i="1" s="1"/>
  <c r="AH1028" i="1"/>
  <c r="AI1028" i="1" s="1"/>
  <c r="AL864" i="1"/>
  <c r="AM864" i="1" s="1"/>
  <c r="AL870" i="1"/>
  <c r="AM870" i="1" s="1"/>
  <c r="AJ808" i="1"/>
  <c r="AH806" i="1"/>
  <c r="AI806" i="1" s="1"/>
  <c r="AH785" i="1"/>
  <c r="AI785" i="1" s="1"/>
  <c r="AJ724" i="1"/>
  <c r="AK724" i="1" s="1"/>
  <c r="AJ614" i="1"/>
  <c r="AK614" i="1" s="1"/>
  <c r="AJ531" i="1"/>
  <c r="AK531" i="1" s="1"/>
  <c r="AJ467" i="1"/>
  <c r="AK467" i="1" s="1"/>
  <c r="AJ471" i="1"/>
  <c r="AK471" i="1" s="1"/>
  <c r="AL475" i="1"/>
  <c r="AM475" i="1" s="1"/>
  <c r="AL521" i="1"/>
  <c r="AM521" i="1" s="1"/>
  <c r="AL235" i="1"/>
  <c r="AL44" i="1"/>
  <c r="AM44" i="1" s="1"/>
  <c r="AH421" i="1"/>
  <c r="AI421" i="1" s="1"/>
  <c r="AH61" i="1"/>
  <c r="AI61" i="1" s="1"/>
  <c r="AJ322" i="1"/>
  <c r="AK322" i="1" s="1"/>
  <c r="AH370" i="1"/>
  <c r="AI370" i="1" s="1"/>
  <c r="AJ46" i="1"/>
  <c r="AK46" i="1" s="1"/>
  <c r="AH1630" i="1"/>
  <c r="AI1630" i="1" s="1"/>
  <c r="AH1596" i="1"/>
  <c r="AI1596" i="1" s="1"/>
  <c r="AJ1474" i="1"/>
  <c r="AH1439" i="1"/>
  <c r="AI1439" i="1" s="1"/>
  <c r="AL1513" i="1"/>
  <c r="AM1513" i="1" s="1"/>
  <c r="AL1423" i="1"/>
  <c r="AM1423" i="1" s="1"/>
  <c r="AJ1356" i="1"/>
  <c r="AK1356" i="1" s="1"/>
  <c r="AJ1423" i="1"/>
  <c r="AK1423" i="1" s="1"/>
  <c r="AH1382" i="1"/>
  <c r="AI1382" i="1" s="1"/>
  <c r="AJ1232" i="1"/>
  <c r="AK1232" i="1" s="1"/>
  <c r="AJ1215" i="1"/>
  <c r="AK1215" i="1" s="1"/>
  <c r="AH1374" i="1"/>
  <c r="AI1374" i="1" s="1"/>
  <c r="AH1178" i="1"/>
  <c r="AI1178" i="1" s="1"/>
  <c r="AL1121" i="1"/>
  <c r="AM1121" i="1" s="1"/>
  <c r="AL1103" i="1"/>
  <c r="AM1103" i="1" s="1"/>
  <c r="AH1016" i="1"/>
  <c r="AI1016" i="1" s="1"/>
  <c r="AJ956" i="1"/>
  <c r="AK956" i="1" s="1"/>
  <c r="AL1064" i="1"/>
  <c r="AM1064" i="1" s="1"/>
  <c r="AJ1028" i="1"/>
  <c r="AL965" i="1"/>
  <c r="AM965" i="1" s="1"/>
  <c r="AJ802" i="1"/>
  <c r="AK802" i="1" s="1"/>
  <c r="AL817" i="1"/>
  <c r="AM817" i="1" s="1"/>
  <c r="AL856" i="1"/>
  <c r="AM856" i="1" s="1"/>
  <c r="AL821" i="1"/>
  <c r="AM821" i="1" s="1"/>
  <c r="AL873" i="1"/>
  <c r="AM873" i="1" s="1"/>
  <c r="AL778" i="1"/>
  <c r="AM778" i="1" s="1"/>
  <c r="AJ673" i="1"/>
  <c r="AK673" i="1" s="1"/>
  <c r="AL659" i="1"/>
  <c r="AL621" i="1"/>
  <c r="AM621" i="1" s="1"/>
  <c r="AL568" i="1"/>
  <c r="AM568" i="1" s="1"/>
  <c r="AH669" i="1"/>
  <c r="AI669" i="1" s="1"/>
  <c r="AJ613" i="1"/>
  <c r="AK613" i="1" s="1"/>
  <c r="AL699" i="1"/>
  <c r="AM699" i="1" s="1"/>
  <c r="AH589" i="1"/>
  <c r="AI589" i="1" s="1"/>
  <c r="AH469" i="1"/>
  <c r="AI469" i="1" s="1"/>
  <c r="AJ529" i="1"/>
  <c r="AK529" i="1" s="1"/>
  <c r="AL615" i="1"/>
  <c r="AM615" i="1" s="1"/>
  <c r="AH513" i="1"/>
  <c r="AL488" i="1"/>
  <c r="AM488" i="1" s="1"/>
  <c r="AL439" i="1"/>
  <c r="AM439" i="1" s="1"/>
  <c r="AJ403" i="1"/>
  <c r="AJ355" i="1"/>
  <c r="AK355" i="1" s="1"/>
  <c r="AH225" i="1"/>
  <c r="AI225" i="1" s="1"/>
  <c r="AJ537" i="1"/>
  <c r="AK537" i="1" s="1"/>
  <c r="AH290" i="1"/>
  <c r="AI290" i="1" s="1"/>
  <c r="AH328" i="1"/>
  <c r="AI328" i="1" s="1"/>
  <c r="AH258" i="1"/>
  <c r="AI258" i="1" s="1"/>
  <c r="AH956" i="1"/>
  <c r="AI956" i="1" s="1"/>
  <c r="AH568" i="1"/>
  <c r="AI568" i="1" s="1"/>
  <c r="AH699" i="1"/>
  <c r="AI699" i="1" s="1"/>
  <c r="AJ589" i="1"/>
  <c r="AK589" i="1" s="1"/>
  <c r="AJ513" i="1"/>
  <c r="AK513" i="1" s="1"/>
  <c r="AH439" i="1"/>
  <c r="AJ258" i="1"/>
  <c r="AK258" i="1" s="1"/>
  <c r="AL119" i="1"/>
  <c r="AM119" i="1" s="1"/>
  <c r="AJ965" i="1"/>
  <c r="AK965" i="1" s="1"/>
  <c r="AL1191" i="1"/>
  <c r="AJ1121" i="1"/>
  <c r="AH1626" i="1"/>
  <c r="AI1626" i="1" s="1"/>
  <c r="AJ1523" i="1"/>
  <c r="AK1523" i="1" s="1"/>
  <c r="AL1444" i="1"/>
  <c r="AM1444" i="1" s="1"/>
  <c r="AJ1419" i="1"/>
  <c r="AK1419" i="1" s="1"/>
  <c r="AL1382" i="1"/>
  <c r="AM1382" i="1" s="1"/>
  <c r="AL1374" i="1"/>
  <c r="AM1374" i="1" s="1"/>
  <c r="AJ1214" i="1"/>
  <c r="AK1214" i="1" s="1"/>
  <c r="AJ1410" i="1"/>
  <c r="AK1410" i="1" s="1"/>
  <c r="AL1174" i="1"/>
  <c r="AM1174" i="1" s="1"/>
  <c r="AJ1103" i="1"/>
  <c r="AK1103" i="1" s="1"/>
  <c r="AL1178" i="1"/>
  <c r="AM1178" i="1" s="1"/>
  <c r="AH1119" i="1"/>
  <c r="AI1119" i="1" s="1"/>
  <c r="AH1254" i="1"/>
  <c r="AI1254" i="1" s="1"/>
  <c r="AL1044" i="1"/>
  <c r="AM1044" i="1" s="1"/>
  <c r="AL982" i="1"/>
  <c r="AM982" i="1" s="1"/>
  <c r="AJ794" i="1"/>
  <c r="AK794" i="1" s="1"/>
  <c r="AH930" i="1"/>
  <c r="AI930" i="1" s="1"/>
  <c r="AH846" i="1"/>
  <c r="AI846" i="1" s="1"/>
  <c r="AL848" i="1"/>
  <c r="AJ806" i="1"/>
  <c r="AH709" i="1"/>
  <c r="AI709" i="1" s="1"/>
  <c r="AL872" i="1"/>
  <c r="AM872" i="1" s="1"/>
  <c r="AL769" i="1"/>
  <c r="AM769" i="1" s="1"/>
  <c r="AL739" i="1"/>
  <c r="AL717" i="1"/>
  <c r="AM717" i="1" s="1"/>
  <c r="AJ628" i="1"/>
  <c r="AK628" i="1" s="1"/>
  <c r="AL747" i="1"/>
  <c r="AM747" i="1" s="1"/>
  <c r="AJ621" i="1"/>
  <c r="AK621" i="1" s="1"/>
  <c r="AJ597" i="1"/>
  <c r="AK597" i="1" s="1"/>
  <c r="AL628" i="1"/>
  <c r="AM628" i="1" s="1"/>
  <c r="AJ401" i="1"/>
  <c r="AK401" i="1" s="1"/>
  <c r="AL445" i="1"/>
  <c r="AM445" i="1" s="1"/>
  <c r="AJ234" i="1"/>
  <c r="AK234" i="1" s="1"/>
  <c r="AJ394" i="1"/>
  <c r="AL102" i="1"/>
  <c r="AM102" i="1" s="1"/>
  <c r="AL444" i="1"/>
  <c r="AH1638" i="1"/>
  <c r="AI1638" i="1" s="1"/>
  <c r="AH1618" i="1"/>
  <c r="AI1618" i="1" s="1"/>
  <c r="AH1608" i="1"/>
  <c r="AI1608" i="1" s="1"/>
  <c r="AL1620" i="1"/>
  <c r="AM1620" i="1" s="1"/>
  <c r="AH1594" i="1"/>
  <c r="AI1594" i="1" s="1"/>
  <c r="AL1439" i="1"/>
  <c r="AL1255" i="1"/>
  <c r="AM1255" i="1" s="1"/>
  <c r="AH1174" i="1"/>
  <c r="AI1174" i="1" s="1"/>
  <c r="AL1115" i="1"/>
  <c r="AL1029" i="1"/>
  <c r="AM1029" i="1" s="1"/>
  <c r="AH970" i="1"/>
  <c r="AI970" i="1" s="1"/>
  <c r="AH897" i="1"/>
  <c r="AI897" i="1" s="1"/>
  <c r="AJ813" i="1"/>
  <c r="AL913" i="1"/>
  <c r="AM913" i="1" s="1"/>
  <c r="AH872" i="1"/>
  <c r="AI872" i="1" s="1"/>
  <c r="AH769" i="1"/>
  <c r="AI769" i="1" s="1"/>
  <c r="AH739" i="1"/>
  <c r="AI739" i="1" s="1"/>
  <c r="AL708" i="1"/>
  <c r="AM708" i="1" s="1"/>
  <c r="AJ667" i="1"/>
  <c r="AK667" i="1" s="1"/>
  <c r="AJ551" i="1"/>
  <c r="AK551" i="1" s="1"/>
  <c r="AH747" i="1"/>
  <c r="AI747" i="1" s="1"/>
  <c r="AL673" i="1"/>
  <c r="AM673" i="1" s="1"/>
  <c r="AH615" i="1"/>
  <c r="AI615" i="1" s="1"/>
  <c r="AJ646" i="1"/>
  <c r="AK646" i="1" s="1"/>
  <c r="AH501" i="1"/>
  <c r="AI501" i="1" s="1"/>
  <c r="AH535" i="1"/>
  <c r="AI535" i="1" s="1"/>
  <c r="AH431" i="1"/>
  <c r="AI431" i="1" s="1"/>
  <c r="AL213" i="1"/>
  <c r="AM213" i="1" s="1"/>
  <c r="AJ152" i="1"/>
  <c r="AK152" i="1" s="1"/>
  <c r="AJ33" i="1"/>
  <c r="AK33" i="1" s="1"/>
  <c r="AJ151" i="1"/>
  <c r="AK151" i="1" s="1"/>
  <c r="AL150" i="1"/>
  <c r="AM150" i="1" s="1"/>
  <c r="AH659" i="1"/>
  <c r="AI659" i="1" s="1"/>
  <c r="AJ1322" i="1"/>
  <c r="AK1322" i="1" s="1"/>
  <c r="AL900" i="1"/>
  <c r="AM900" i="1" s="1"/>
  <c r="AJ1600" i="1"/>
  <c r="AK1600" i="1" s="1"/>
  <c r="AJ1604" i="1"/>
  <c r="AK1604" i="1" s="1"/>
  <c r="AJ1451" i="1"/>
  <c r="AK1451" i="1" s="1"/>
  <c r="AJ1411" i="1"/>
  <c r="AK1411" i="1" s="1"/>
  <c r="AJ1070" i="1"/>
  <c r="AK1070" i="1" s="1"/>
  <c r="AL1105" i="1"/>
  <c r="AM1105" i="1" s="1"/>
  <c r="AH1040" i="1"/>
  <c r="AI1040" i="1" s="1"/>
  <c r="AJ773" i="1"/>
  <c r="AK773" i="1" s="1"/>
  <c r="AJ791" i="1"/>
  <c r="AH762" i="1"/>
  <c r="AI762" i="1" s="1"/>
  <c r="AL541" i="1"/>
  <c r="AJ477" i="1"/>
  <c r="AK477" i="1" s="1"/>
  <c r="AL501" i="1"/>
  <c r="AM501" i="1" s="1"/>
  <c r="AJ331" i="1"/>
  <c r="AK331" i="1" s="1"/>
  <c r="AJ328" i="1"/>
  <c r="AK328" i="1" s="1"/>
  <c r="AJ1513" i="1"/>
  <c r="AK1513" i="1" s="1"/>
  <c r="AJ1105" i="1"/>
  <c r="AK1105" i="1" s="1"/>
  <c r="AH1070" i="1"/>
  <c r="AH1131" i="1"/>
  <c r="AI1131" i="1" s="1"/>
  <c r="AJ1053" i="1"/>
  <c r="AK1053" i="1" s="1"/>
  <c r="AL1030" i="1"/>
  <c r="AM1030" i="1" s="1"/>
  <c r="AJ778" i="1"/>
  <c r="AK778" i="1" s="1"/>
  <c r="AL865" i="1"/>
  <c r="AM865" i="1" s="1"/>
  <c r="AJ701" i="1"/>
  <c r="AK701" i="1" s="1"/>
  <c r="AL585" i="1"/>
  <c r="AM585" i="1" s="1"/>
  <c r="AJ541" i="1"/>
  <c r="AK541" i="1" s="1"/>
  <c r="AH467" i="1"/>
  <c r="AI467" i="1" s="1"/>
  <c r="AL522" i="1"/>
  <c r="AM522" i="1" s="1"/>
  <c r="AL471" i="1"/>
  <c r="AM471" i="1" s="1"/>
  <c r="AJ289" i="1"/>
  <c r="AK289" i="1" s="1"/>
  <c r="AJ217" i="1"/>
  <c r="AK217" i="1" s="1"/>
  <c r="AH294" i="1"/>
  <c r="AI294" i="1" s="1"/>
  <c r="AL293" i="1"/>
  <c r="AM293" i="1" s="1"/>
  <c r="AH144" i="1"/>
  <c r="AI144" i="1" s="1"/>
  <c r="AL299" i="1"/>
  <c r="AM299" i="1" s="1"/>
  <c r="AL59" i="1"/>
  <c r="AM59" i="1" s="1"/>
  <c r="AH60" i="1"/>
  <c r="AI60" i="1" s="1"/>
  <c r="AJ426" i="1"/>
  <c r="AK426" i="1" s="1"/>
  <c r="AH1485" i="1"/>
  <c r="AI1485" i="1" s="1"/>
  <c r="AH1357" i="1"/>
  <c r="AI1357" i="1" s="1"/>
  <c r="AL1225" i="1"/>
  <c r="AM1225" i="1" s="1"/>
  <c r="AL1053" i="1"/>
  <c r="AM1053" i="1" s="1"/>
  <c r="AJ1104" i="1"/>
  <c r="AK1104" i="1" s="1"/>
  <c r="AL920" i="1"/>
  <c r="AM920" i="1" s="1"/>
  <c r="AJ1006" i="1"/>
  <c r="AK1006" i="1" s="1"/>
  <c r="AL788" i="1"/>
  <c r="AM788" i="1" s="1"/>
  <c r="AH873" i="1"/>
  <c r="AI873" i="1" s="1"/>
  <c r="AJ677" i="1"/>
  <c r="AK677" i="1" s="1"/>
  <c r="AJ571" i="1"/>
  <c r="AK571" i="1" s="1"/>
  <c r="AL463" i="1"/>
  <c r="AM463" i="1" s="1"/>
  <c r="AH485" i="1"/>
  <c r="AI485" i="1" s="1"/>
  <c r="AL469" i="1"/>
  <c r="AM469" i="1" s="1"/>
  <c r="AJ294" i="1"/>
  <c r="AK294" i="1" s="1"/>
  <c r="AJ371" i="1"/>
  <c r="AK371" i="1" s="1"/>
  <c r="AJ248" i="1"/>
  <c r="AK248" i="1" s="1"/>
  <c r="AJ298" i="1"/>
  <c r="AK298" i="1" s="1"/>
  <c r="AJ218" i="1"/>
  <c r="AK218" i="1" s="1"/>
  <c r="AL174" i="1"/>
  <c r="AM174" i="1" s="1"/>
  <c r="AJ1505" i="1"/>
  <c r="AK1505" i="1" s="1"/>
  <c r="AL1405" i="1"/>
  <c r="AM1405" i="1" s="1"/>
  <c r="AL1202" i="1"/>
  <c r="AL1373" i="1"/>
  <c r="AM1373" i="1" s="1"/>
  <c r="AH1201" i="1"/>
  <c r="AI1201" i="1" s="1"/>
  <c r="AH1143" i="1"/>
  <c r="AI1143" i="1" s="1"/>
  <c r="AL1237" i="1"/>
  <c r="AM1237" i="1" s="1"/>
  <c r="AL1129" i="1"/>
  <c r="AM1129" i="1" s="1"/>
  <c r="AL1087" i="1"/>
  <c r="AL1206" i="1"/>
  <c r="AM1206" i="1" s="1"/>
  <c r="AL1246" i="1"/>
  <c r="AM1246" i="1" s="1"/>
  <c r="AL972" i="1"/>
  <c r="AM972" i="1" s="1"/>
  <c r="AL896" i="1"/>
  <c r="AM896" i="1" s="1"/>
  <c r="AJ818" i="1"/>
  <c r="AL793" i="1"/>
  <c r="AM793" i="1" s="1"/>
  <c r="AL749" i="1"/>
  <c r="AM749" i="1" s="1"/>
  <c r="AL763" i="1"/>
  <c r="AM763" i="1" s="1"/>
  <c r="AJ580" i="1"/>
  <c r="AK580" i="1" s="1"/>
  <c r="AL565" i="1"/>
  <c r="AM565" i="1" s="1"/>
  <c r="AL489" i="1"/>
  <c r="AM489" i="1" s="1"/>
  <c r="AJ305" i="1"/>
  <c r="AK305" i="1" s="1"/>
  <c r="AL481" i="1"/>
  <c r="AM481" i="1" s="1"/>
  <c r="AH401" i="1"/>
  <c r="AL297" i="1"/>
  <c r="AM297" i="1" s="1"/>
  <c r="AH118" i="1"/>
  <c r="AI118" i="1" s="1"/>
  <c r="AL314" i="1"/>
  <c r="AH237" i="1"/>
  <c r="AI237" i="1" s="1"/>
  <c r="AH229" i="1"/>
  <c r="AI229" i="1" s="1"/>
  <c r="AL202" i="1"/>
  <c r="AM202" i="1" s="1"/>
  <c r="AL386" i="1"/>
  <c r="AM386" i="1" s="1"/>
  <c r="AL282" i="1"/>
  <c r="AM282" i="1" s="1"/>
  <c r="AL1120" i="1"/>
  <c r="AL1618" i="1"/>
  <c r="AM1618" i="1" s="1"/>
  <c r="AL1582" i="1"/>
  <c r="AM1582" i="1" s="1"/>
  <c r="AL1604" i="1"/>
  <c r="AM1604" i="1" s="1"/>
  <c r="AL1525" i="1"/>
  <c r="AM1525" i="1" s="1"/>
  <c r="AH1509" i="1"/>
  <c r="AI1509" i="1" s="1"/>
  <c r="AJ1527" i="1"/>
  <c r="AK1527" i="1" s="1"/>
  <c r="AL1499" i="1"/>
  <c r="AM1499" i="1" s="1"/>
  <c r="AL1437" i="1"/>
  <c r="AM1437" i="1" s="1"/>
  <c r="AH1397" i="1"/>
  <c r="AI1397" i="1" s="1"/>
  <c r="AL1427" i="1"/>
  <c r="AM1427" i="1" s="1"/>
  <c r="AH1405" i="1"/>
  <c r="AL1376" i="1"/>
  <c r="AM1376" i="1" s="1"/>
  <c r="AH1320" i="1"/>
  <c r="AI1320" i="1" s="1"/>
  <c r="AH1308" i="1"/>
  <c r="AI1308" i="1" s="1"/>
  <c r="AJ1199" i="1"/>
  <c r="AL1175" i="1"/>
  <c r="AM1175" i="1" s="1"/>
  <c r="AL1270" i="1"/>
  <c r="AM1270" i="1" s="1"/>
  <c r="AH1373" i="1"/>
  <c r="AI1373" i="1" s="1"/>
  <c r="AL1238" i="1"/>
  <c r="AM1238" i="1" s="1"/>
  <c r="AH1160" i="1"/>
  <c r="AI1160" i="1" s="1"/>
  <c r="AH1120" i="1"/>
  <c r="AI1120" i="1" s="1"/>
  <c r="AH1206" i="1"/>
  <c r="AI1206" i="1" s="1"/>
  <c r="AJ921" i="1"/>
  <c r="AK921" i="1" s="1"/>
  <c r="AH876" i="1"/>
  <c r="AI876" i="1" s="1"/>
  <c r="AL1012" i="1"/>
  <c r="AM1012" i="1" s="1"/>
  <c r="AL997" i="1"/>
  <c r="AM997" i="1" s="1"/>
  <c r="AH972" i="1"/>
  <c r="AI972" i="1" s="1"/>
  <c r="AL884" i="1"/>
  <c r="AM884" i="1" s="1"/>
  <c r="AJ829" i="1"/>
  <c r="AK829" i="1" s="1"/>
  <c r="AJ919" i="1"/>
  <c r="AK919" i="1" s="1"/>
  <c r="AH896" i="1"/>
  <c r="AI896" i="1" s="1"/>
  <c r="AH845" i="1"/>
  <c r="AI845" i="1" s="1"/>
  <c r="AH793" i="1"/>
  <c r="AI793" i="1" s="1"/>
  <c r="AL928" i="1"/>
  <c r="AM928" i="1" s="1"/>
  <c r="AL952" i="1"/>
  <c r="AM952" i="1" s="1"/>
  <c r="AH809" i="1"/>
  <c r="AI809" i="1" s="1"/>
  <c r="AH763" i="1"/>
  <c r="AI763" i="1" s="1"/>
  <c r="AL731" i="1"/>
  <c r="AH623" i="1"/>
  <c r="AI623" i="1" s="1"/>
  <c r="AH580" i="1"/>
  <c r="AI580" i="1" s="1"/>
  <c r="AJ563" i="1"/>
  <c r="AK563" i="1" s="1"/>
  <c r="AH565" i="1"/>
  <c r="AI565" i="1" s="1"/>
  <c r="AJ515" i="1"/>
  <c r="AK515" i="1" s="1"/>
  <c r="AL557" i="1"/>
  <c r="AM557" i="1" s="1"/>
  <c r="AJ517" i="1"/>
  <c r="AK517" i="1" s="1"/>
  <c r="AL573" i="1"/>
  <c r="AM573" i="1" s="1"/>
  <c r="AH525" i="1"/>
  <c r="AI525" i="1" s="1"/>
  <c r="AL532" i="1"/>
  <c r="AM532" i="1" s="1"/>
  <c r="AL459" i="1"/>
  <c r="AM459" i="1" s="1"/>
  <c r="AJ241" i="1"/>
  <c r="AK241" i="1" s="1"/>
  <c r="AH481" i="1"/>
  <c r="AI481" i="1" s="1"/>
  <c r="AJ431" i="1"/>
  <c r="AK431" i="1" s="1"/>
  <c r="AH110" i="1"/>
  <c r="AI110" i="1" s="1"/>
  <c r="AH314" i="1"/>
  <c r="AI314" i="1" s="1"/>
  <c r="AL227" i="1"/>
  <c r="AM227" i="1" s="1"/>
  <c r="AL187" i="1"/>
  <c r="AM187" i="1" s="1"/>
  <c r="AH88" i="1"/>
  <c r="AI88" i="1" s="1"/>
  <c r="AJ143" i="1"/>
  <c r="AK143" i="1" s="1"/>
  <c r="AH154" i="1"/>
  <c r="AI154" i="1" s="1"/>
  <c r="AL384" i="1"/>
  <c r="AM384" i="1" s="1"/>
  <c r="AL307" i="1"/>
  <c r="AM307" i="1" s="1"/>
  <c r="AL104" i="1"/>
  <c r="AM104" i="1" s="1"/>
  <c r="AH202" i="1"/>
  <c r="AI202" i="1" s="1"/>
  <c r="AH386" i="1"/>
  <c r="AI386" i="1" s="1"/>
  <c r="AJ282" i="1"/>
  <c r="AK282" i="1" s="1"/>
  <c r="AL143" i="1"/>
  <c r="AM143" i="1" s="1"/>
  <c r="AL1509" i="1"/>
  <c r="AM1509" i="1" s="1"/>
  <c r="AH1209" i="1"/>
  <c r="AJ1626" i="1"/>
  <c r="AK1626" i="1" s="1"/>
  <c r="AJ1575" i="1"/>
  <c r="AK1575" i="1" s="1"/>
  <c r="AH1584" i="1"/>
  <c r="AJ1539" i="1"/>
  <c r="AK1539" i="1" s="1"/>
  <c r="AH1582" i="1"/>
  <c r="AI1582" i="1" s="1"/>
  <c r="AH1557" i="1"/>
  <c r="AI1557" i="1" s="1"/>
  <c r="AL1571" i="1"/>
  <c r="AM1571" i="1" s="1"/>
  <c r="AJ1563" i="1"/>
  <c r="AK1563" i="1" s="1"/>
  <c r="AL1616" i="1"/>
  <c r="AM1616" i="1" s="1"/>
  <c r="AJ1569" i="1"/>
  <c r="AK1569" i="1" s="1"/>
  <c r="AL1527" i="1"/>
  <c r="AM1527" i="1" s="1"/>
  <c r="AL1533" i="1"/>
  <c r="AL1451" i="1"/>
  <c r="AM1451" i="1" s="1"/>
  <c r="AH1376" i="1"/>
  <c r="AI1376" i="1" s="1"/>
  <c r="AL1411" i="1"/>
  <c r="AM1411" i="1" s="1"/>
  <c r="AJ1314" i="1"/>
  <c r="AK1314" i="1" s="1"/>
  <c r="AJ1290" i="1"/>
  <c r="AK1290" i="1" s="1"/>
  <c r="AJ1189" i="1"/>
  <c r="AK1189" i="1" s="1"/>
  <c r="AH1237" i="1"/>
  <c r="AI1237" i="1" s="1"/>
  <c r="AH1197" i="1"/>
  <c r="AI1197" i="1" s="1"/>
  <c r="AL1198" i="1"/>
  <c r="AM1198" i="1" s="1"/>
  <c r="AJ1151" i="1"/>
  <c r="AK1151" i="1" s="1"/>
  <c r="AH1238" i="1"/>
  <c r="AI1238" i="1" s="1"/>
  <c r="AL1131" i="1"/>
  <c r="AL1151" i="1"/>
  <c r="AM1151" i="1" s="1"/>
  <c r="AL1300" i="1"/>
  <c r="AM1300" i="1" s="1"/>
  <c r="AL1088" i="1"/>
  <c r="AL1147" i="1"/>
  <c r="AM1147" i="1" s="1"/>
  <c r="AL1046" i="1"/>
  <c r="AM1046" i="1" s="1"/>
  <c r="AH1115" i="1"/>
  <c r="AI1115" i="1" s="1"/>
  <c r="AH1012" i="1"/>
  <c r="AI1012" i="1" s="1"/>
  <c r="AL984" i="1"/>
  <c r="AM984" i="1" s="1"/>
  <c r="AL973" i="1"/>
  <c r="AM973" i="1" s="1"/>
  <c r="AJ886" i="1"/>
  <c r="AL944" i="1"/>
  <c r="AH808" i="1"/>
  <c r="AI808" i="1" s="1"/>
  <c r="AH749" i="1"/>
  <c r="AI749" i="1" s="1"/>
  <c r="AH701" i="1"/>
  <c r="AI701" i="1" s="1"/>
  <c r="AL802" i="1"/>
  <c r="AM802" i="1" s="1"/>
  <c r="AJ708" i="1"/>
  <c r="AK708" i="1" s="1"/>
  <c r="AH731" i="1"/>
  <c r="AI731" i="1" s="1"/>
  <c r="AL667" i="1"/>
  <c r="AM667" i="1" s="1"/>
  <c r="AL746" i="1"/>
  <c r="AM746" i="1" s="1"/>
  <c r="AL624" i="1"/>
  <c r="AM624" i="1" s="1"/>
  <c r="AL645" i="1"/>
  <c r="AL614" i="1"/>
  <c r="AM614" i="1" s="1"/>
  <c r="AL561" i="1"/>
  <c r="AM561" i="1" s="1"/>
  <c r="AL639" i="1"/>
  <c r="AM639" i="1" s="1"/>
  <c r="AL629" i="1"/>
  <c r="AM629" i="1" s="1"/>
  <c r="AH557" i="1"/>
  <c r="AI557" i="1" s="1"/>
  <c r="AJ485" i="1"/>
  <c r="AK485" i="1" s="1"/>
  <c r="AJ445" i="1"/>
  <c r="AK445" i="1" s="1"/>
  <c r="AL551" i="1"/>
  <c r="AJ447" i="1"/>
  <c r="AK447" i="1" s="1"/>
  <c r="AH532" i="1"/>
  <c r="AI532" i="1" s="1"/>
  <c r="AL525" i="1"/>
  <c r="AM525" i="1" s="1"/>
  <c r="AJ212" i="1"/>
  <c r="AK212" i="1" s="1"/>
  <c r="AL465" i="1"/>
  <c r="AM465" i="1" s="1"/>
  <c r="AJ393" i="1"/>
  <c r="AK393" i="1" s="1"/>
  <c r="AJ265" i="1"/>
  <c r="AL531" i="1"/>
  <c r="AM531" i="1" s="1"/>
  <c r="AL497" i="1"/>
  <c r="AM497" i="1" s="1"/>
  <c r="AL515" i="1"/>
  <c r="AM515" i="1" s="1"/>
  <c r="AL441" i="1"/>
  <c r="AM441" i="1" s="1"/>
  <c r="AH393" i="1"/>
  <c r="AI393" i="1" s="1"/>
  <c r="AH353" i="1"/>
  <c r="AI353" i="1" s="1"/>
  <c r="AJ259" i="1"/>
  <c r="AK259" i="1" s="1"/>
  <c r="AH201" i="1"/>
  <c r="AI201" i="1" s="1"/>
  <c r="AJ306" i="1"/>
  <c r="AK306" i="1" s="1"/>
  <c r="AJ104" i="1"/>
  <c r="AK104" i="1" s="1"/>
  <c r="AL517" i="1"/>
  <c r="AM517" i="1" s="1"/>
  <c r="AL217" i="1"/>
  <c r="AM217" i="1" s="1"/>
  <c r="AJ226" i="1"/>
  <c r="AK226" i="1" s="1"/>
  <c r="AL331" i="1"/>
  <c r="AM331" i="1" s="1"/>
  <c r="AL245" i="1"/>
  <c r="AM245" i="1" s="1"/>
  <c r="AJ110" i="1"/>
  <c r="AK110" i="1" s="1"/>
  <c r="AJ59" i="1"/>
  <c r="AK59" i="1" s="1"/>
  <c r="AL426" i="1"/>
  <c r="AM426" i="1" s="1"/>
  <c r="AL122" i="1"/>
  <c r="AM122" i="1" s="1"/>
  <c r="AH792" i="1"/>
  <c r="AI792" i="1" s="1"/>
  <c r="AJ48" i="1"/>
  <c r="AK48" i="1" s="1"/>
  <c r="AL1308" i="1"/>
  <c r="AM1308" i="1" s="1"/>
  <c r="AL1636" i="1"/>
  <c r="AM1636" i="1" s="1"/>
  <c r="AJ1584" i="1"/>
  <c r="AK1584" i="1" s="1"/>
  <c r="AJ1578" i="1"/>
  <c r="AH1563" i="1"/>
  <c r="AJ1525" i="1"/>
  <c r="AK1525" i="1" s="1"/>
  <c r="AL1493" i="1"/>
  <c r="AM1493" i="1" s="1"/>
  <c r="AJ1498" i="1"/>
  <c r="AK1498" i="1" s="1"/>
  <c r="AL1435" i="1"/>
  <c r="AM1435" i="1" s="1"/>
  <c r="AL1390" i="1"/>
  <c r="AM1390" i="1" s="1"/>
  <c r="AL1453" i="1"/>
  <c r="AM1453" i="1" s="1"/>
  <c r="AL1419" i="1"/>
  <c r="AM1419" i="1" s="1"/>
  <c r="AH1386" i="1"/>
  <c r="AI1386" i="1" s="1"/>
  <c r="AH1304" i="1"/>
  <c r="AI1304" i="1" s="1"/>
  <c r="AH1202" i="1"/>
  <c r="AI1202" i="1" s="1"/>
  <c r="AL1221" i="1"/>
  <c r="AM1221" i="1" s="1"/>
  <c r="AJ1167" i="1"/>
  <c r="AK1167" i="1" s="1"/>
  <c r="AH1198" i="1"/>
  <c r="AI1198" i="1" s="1"/>
  <c r="AL1163" i="1"/>
  <c r="AM1163" i="1" s="1"/>
  <c r="AH1095" i="1"/>
  <c r="AI1095" i="1" s="1"/>
  <c r="AH1300" i="1"/>
  <c r="AI1300" i="1" s="1"/>
  <c r="AJ1088" i="1"/>
  <c r="AK1088" i="1" s="1"/>
  <c r="AJ1038" i="1"/>
  <c r="AK1038" i="1" s="1"/>
  <c r="AH1147" i="1"/>
  <c r="AI1147" i="1" s="1"/>
  <c r="AL1119" i="1"/>
  <c r="AL1052" i="1"/>
  <c r="AM1052" i="1" s="1"/>
  <c r="AL1040" i="1"/>
  <c r="AM1040" i="1" s="1"/>
  <c r="AJ912" i="1"/>
  <c r="AK912" i="1" s="1"/>
  <c r="AL888" i="1"/>
  <c r="AM888" i="1" s="1"/>
  <c r="AH944" i="1"/>
  <c r="AI944" i="1" s="1"/>
  <c r="AJ834" i="1"/>
  <c r="AK834" i="1" s="1"/>
  <c r="AJ823" i="1"/>
  <c r="AK823" i="1" s="1"/>
  <c r="AJ864" i="1"/>
  <c r="AK864" i="1" s="1"/>
  <c r="AL846" i="1"/>
  <c r="AM846" i="1" s="1"/>
  <c r="AL777" i="1"/>
  <c r="AM777" i="1" s="1"/>
  <c r="AH817" i="1"/>
  <c r="AI817" i="1" s="1"/>
  <c r="AJ762" i="1"/>
  <c r="AK762" i="1" s="1"/>
  <c r="AJ748" i="1"/>
  <c r="AK748" i="1" s="1"/>
  <c r="AJ585" i="1"/>
  <c r="AK585" i="1" s="1"/>
  <c r="AL675" i="1"/>
  <c r="AM675" i="1" s="1"/>
  <c r="AJ606" i="1"/>
  <c r="AK606" i="1" s="1"/>
  <c r="AH609" i="1"/>
  <c r="AL575" i="1"/>
  <c r="AM575" i="1" s="1"/>
  <c r="AH645" i="1"/>
  <c r="AI645" i="1" s="1"/>
  <c r="AL598" i="1"/>
  <c r="AL764" i="1"/>
  <c r="AM764" i="1" s="1"/>
  <c r="AH613" i="1"/>
  <c r="AI613" i="1" s="1"/>
  <c r="AJ488" i="1"/>
  <c r="AK488" i="1" s="1"/>
  <c r="AH629" i="1"/>
  <c r="AI629" i="1" s="1"/>
  <c r="AH483" i="1"/>
  <c r="AI483" i="1" s="1"/>
  <c r="AH536" i="1"/>
  <c r="AI536" i="1" s="1"/>
  <c r="AH465" i="1"/>
  <c r="AI465" i="1" s="1"/>
  <c r="AJ417" i="1"/>
  <c r="AK417" i="1" s="1"/>
  <c r="AJ297" i="1"/>
  <c r="AH497" i="1"/>
  <c r="AI497" i="1" s="1"/>
  <c r="AJ198" i="1"/>
  <c r="AK198" i="1" s="1"/>
  <c r="AJ307" i="1"/>
  <c r="AK307" i="1" s="1"/>
  <c r="AL197" i="1"/>
  <c r="AM197" i="1" s="1"/>
  <c r="AJ384" i="1"/>
  <c r="AK384" i="1" s="1"/>
  <c r="AJ17" i="1"/>
  <c r="AK17" i="1" s="1"/>
  <c r="AJ473" i="1"/>
  <c r="AK473" i="1" s="1"/>
  <c r="AL483" i="1"/>
  <c r="AM483" i="1" s="1"/>
  <c r="AL371" i="1"/>
  <c r="AM371" i="1" s="1"/>
  <c r="AJ127" i="1"/>
  <c r="AK127" i="1" s="1"/>
  <c r="AL29" i="1"/>
  <c r="AM29" i="1" s="1"/>
  <c r="AH394" i="1"/>
  <c r="AI394" i="1" s="1"/>
  <c r="AH245" i="1"/>
  <c r="AI245" i="1" s="1"/>
  <c r="AH66" i="1"/>
  <c r="AI66" i="1" s="1"/>
  <c r="AL370" i="1"/>
  <c r="AM370" i="1" s="1"/>
  <c r="AL103" i="1"/>
  <c r="AM103" i="1" s="1"/>
  <c r="AL338" i="1"/>
  <c r="AM338" i="1" s="1"/>
  <c r="AL151" i="1"/>
  <c r="AM151" i="1" s="1"/>
  <c r="AL82" i="1"/>
  <c r="AM82" i="1" s="1"/>
  <c r="AL160" i="1"/>
  <c r="AM160" i="1" s="1"/>
  <c r="AJ78" i="1"/>
  <c r="AK78" i="1" s="1"/>
  <c r="AL1397" i="1"/>
  <c r="AM1397" i="1" s="1"/>
  <c r="AH1497" i="1"/>
  <c r="AI1497" i="1" s="1"/>
  <c r="AL1497" i="1"/>
  <c r="AM1497" i="1" s="1"/>
  <c r="AJ1312" i="1"/>
  <c r="AK1312" i="1" s="1"/>
  <c r="AH1288" i="1"/>
  <c r="AI1288" i="1" s="1"/>
  <c r="AJ1191" i="1"/>
  <c r="AK1191" i="1" s="1"/>
  <c r="AL1153" i="1"/>
  <c r="AM1153" i="1" s="1"/>
  <c r="AH992" i="1"/>
  <c r="AI992" i="1" s="1"/>
  <c r="AL1005" i="1"/>
  <c r="AM1005" i="1" s="1"/>
  <c r="AJ792" i="1"/>
  <c r="AH832" i="1"/>
  <c r="AI832" i="1" s="1"/>
  <c r="AL953" i="1"/>
  <c r="AM953" i="1" s="1"/>
  <c r="AL818" i="1"/>
  <c r="AM818" i="1" s="1"/>
  <c r="AL813" i="1"/>
  <c r="AM813" i="1" s="1"/>
  <c r="AH741" i="1"/>
  <c r="AI741" i="1" s="1"/>
  <c r="AL732" i="1"/>
  <c r="AM732" i="1" s="1"/>
  <c r="AL748" i="1"/>
  <c r="AM748" i="1" s="1"/>
  <c r="AH604" i="1"/>
  <c r="AL596" i="1"/>
  <c r="AM596" i="1" s="1"/>
  <c r="AJ201" i="1"/>
  <c r="AK201" i="1" s="1"/>
  <c r="AL646" i="1"/>
  <c r="AM646" i="1" s="1"/>
  <c r="AH305" i="1"/>
  <c r="AI305" i="1" s="1"/>
  <c r="AJ251" i="1"/>
  <c r="AJ64" i="1"/>
  <c r="AH48" i="1"/>
  <c r="AI48" i="1" s="1"/>
  <c r="AL225" i="1"/>
  <c r="AM225" i="1" s="1"/>
  <c r="AL135" i="1"/>
  <c r="AM135" i="1" s="1"/>
  <c r="AH588" i="1"/>
  <c r="AI588" i="1" s="1"/>
  <c r="AH1537" i="1"/>
  <c r="AI1537" i="1" s="1"/>
  <c r="AL1630" i="1"/>
  <c r="AM1630" i="1" s="1"/>
  <c r="AJ1555" i="1"/>
  <c r="AK1555" i="1" s="1"/>
  <c r="AL1485" i="1"/>
  <c r="AM1485" i="1" s="1"/>
  <c r="AH1361" i="1"/>
  <c r="AI1361" i="1" s="1"/>
  <c r="AH1336" i="1"/>
  <c r="AL1292" i="1"/>
  <c r="AM1292" i="1" s="1"/>
  <c r="AJ1358" i="1"/>
  <c r="AK1358" i="1" s="1"/>
  <c r="AH1170" i="1"/>
  <c r="AI1170" i="1" s="1"/>
  <c r="AL1185" i="1"/>
  <c r="AM1185" i="1" s="1"/>
  <c r="AH1159" i="1"/>
  <c r="AI1159" i="1" s="1"/>
  <c r="AL1254" i="1"/>
  <c r="AM1254" i="1" s="1"/>
  <c r="AJ1030" i="1"/>
  <c r="AK1030" i="1" s="1"/>
  <c r="AH1087" i="1"/>
  <c r="AI1087" i="1" s="1"/>
  <c r="AJ832" i="1"/>
  <c r="AK832" i="1" s="1"/>
  <c r="AH834" i="1"/>
  <c r="AI834" i="1" s="1"/>
  <c r="AL829" i="1"/>
  <c r="AM829" i="1" s="1"/>
  <c r="AJ709" i="1"/>
  <c r="AK709" i="1" s="1"/>
  <c r="AL916" i="1"/>
  <c r="AM916" i="1" s="1"/>
  <c r="AL700" i="1"/>
  <c r="AM700" i="1" s="1"/>
  <c r="AJ755" i="1"/>
  <c r="AK755" i="1" s="1"/>
  <c r="AL528" i="1"/>
  <c r="AM528" i="1" s="1"/>
  <c r="AJ235" i="1"/>
  <c r="AK235" i="1" s="1"/>
  <c r="AL189" i="1"/>
  <c r="AM189" i="1" s="1"/>
  <c r="AH537" i="1"/>
  <c r="AI537" i="1" s="1"/>
  <c r="AL339" i="1"/>
  <c r="AM339" i="1" s="1"/>
  <c r="AL291" i="1"/>
  <c r="AM291" i="1" s="1"/>
  <c r="AH221" i="1"/>
  <c r="AI221" i="1" s="1"/>
  <c r="AH158" i="1"/>
  <c r="AI158" i="1" s="1"/>
  <c r="AJ128" i="1"/>
  <c r="AK128" i="1" s="1"/>
  <c r="AH160" i="1"/>
  <c r="AI160" i="1" s="1"/>
  <c r="AL203" i="1"/>
  <c r="AM203" i="1" s="1"/>
  <c r="AL126" i="1"/>
  <c r="AL130" i="1"/>
  <c r="AM130" i="1" s="1"/>
  <c r="AH44" i="1"/>
  <c r="AI44" i="1" s="1"/>
  <c r="AL62" i="1"/>
  <c r="AM62" i="1" s="1"/>
  <c r="AH82" i="1"/>
  <c r="AI82" i="1" s="1"/>
  <c r="AL1637" i="1"/>
  <c r="AM1637" i="1" s="1"/>
  <c r="AH1575" i="1"/>
  <c r="AL1160" i="1"/>
  <c r="AM1160" i="1" s="1"/>
  <c r="AH1600" i="1"/>
  <c r="AI1600" i="1" s="1"/>
  <c r="AJ1229" i="1"/>
  <c r="AK1229" i="1" s="1"/>
  <c r="AL1155" i="1"/>
  <c r="AM1155" i="1" s="1"/>
  <c r="AH948" i="1"/>
  <c r="AI948" i="1" s="1"/>
  <c r="AL927" i="1"/>
  <c r="AM927" i="1" s="1"/>
  <c r="AJ905" i="1"/>
  <c r="AK905" i="1" s="1"/>
  <c r="AJ845" i="1"/>
  <c r="AK845" i="1" s="1"/>
  <c r="AJ826" i="1"/>
  <c r="AK826" i="1" s="1"/>
  <c r="AL940" i="1"/>
  <c r="AM940" i="1" s="1"/>
  <c r="AH596" i="1"/>
  <c r="AI596" i="1" s="1"/>
  <c r="AL606" i="1"/>
  <c r="AM606" i="1" s="1"/>
  <c r="AL527" i="1"/>
  <c r="AM527" i="1" s="1"/>
  <c r="AL229" i="1"/>
  <c r="AM229" i="1" s="1"/>
  <c r="AJ211" i="1"/>
  <c r="AK211" i="1" s="1"/>
  <c r="AH205" i="1"/>
  <c r="AI205" i="1" s="1"/>
  <c r="AL251" i="1"/>
  <c r="AM251" i="1" s="1"/>
  <c r="AH197" i="1"/>
  <c r="AI197" i="1" s="1"/>
  <c r="AJ88" i="1"/>
  <c r="AK88" i="1" s="1"/>
  <c r="AJ250" i="1"/>
  <c r="AL259" i="1"/>
  <c r="AM259" i="1" s="1"/>
  <c r="AJ210" i="1"/>
  <c r="AL421" i="1"/>
  <c r="AM421" i="1" s="1"/>
  <c r="AJ183" i="1"/>
  <c r="AK183" i="1" s="1"/>
  <c r="AL427" i="1"/>
  <c r="AM427" i="1" s="1"/>
  <c r="AL267" i="1"/>
  <c r="AM267" i="1" s="1"/>
  <c r="AJ62" i="1"/>
  <c r="AK62" i="1" s="1"/>
  <c r="AJ988" i="1"/>
  <c r="AK988" i="1" s="1"/>
  <c r="AL988" i="1"/>
  <c r="AM988" i="1" s="1"/>
  <c r="AH988" i="1"/>
  <c r="AI988" i="1" s="1"/>
  <c r="AJ194" i="1"/>
  <c r="AK194" i="1" s="1"/>
  <c r="AL194" i="1"/>
  <c r="AM194" i="1" s="1"/>
  <c r="AH194" i="1"/>
  <c r="AI194" i="1" s="1"/>
  <c r="AJ1638" i="1"/>
  <c r="AK1638" i="1" s="1"/>
  <c r="AJ1628" i="1"/>
  <c r="AK1628" i="1" s="1"/>
  <c r="AH1628" i="1"/>
  <c r="AI1628" i="1" s="1"/>
  <c r="AL1628" i="1"/>
  <c r="AM1628" i="1" s="1"/>
  <c r="AJ1586" i="1"/>
  <c r="AK1586" i="1" s="1"/>
  <c r="AH1586" i="1"/>
  <c r="AI1586" i="1" s="1"/>
  <c r="AH1562" i="1"/>
  <c r="AJ1562" i="1"/>
  <c r="AK1562" i="1" s="1"/>
  <c r="AL1562" i="1"/>
  <c r="AM1562" i="1" s="1"/>
  <c r="AJ1477" i="1"/>
  <c r="AK1477" i="1" s="1"/>
  <c r="AJ1389" i="1"/>
  <c r="AK1389" i="1" s="1"/>
  <c r="AH1389" i="1"/>
  <c r="AI1389" i="1" s="1"/>
  <c r="AJ1383" i="1"/>
  <c r="AH1383" i="1"/>
  <c r="AI1383" i="1" s="1"/>
  <c r="AL1383" i="1"/>
  <c r="AM1383" i="1" s="1"/>
  <c r="AL1232" i="1"/>
  <c r="AM1232" i="1" s="1"/>
  <c r="AH989" i="1"/>
  <c r="AI989" i="1" s="1"/>
  <c r="AL989" i="1"/>
  <c r="AM989" i="1" s="1"/>
  <c r="AJ989" i="1"/>
  <c r="AK989" i="1" s="1"/>
  <c r="AJ857" i="1"/>
  <c r="AK857" i="1" s="1"/>
  <c r="AH857" i="1"/>
  <c r="AI857" i="1" s="1"/>
  <c r="AL857" i="1"/>
  <c r="AM857" i="1" s="1"/>
  <c r="AJ822" i="1"/>
  <c r="AL822" i="1"/>
  <c r="AM822" i="1" s="1"/>
  <c r="AH822" i="1"/>
  <c r="AI822" i="1" s="1"/>
  <c r="AL765" i="1"/>
  <c r="AM765" i="1" s="1"/>
  <c r="AJ765" i="1"/>
  <c r="AK765" i="1" s="1"/>
  <c r="AH765" i="1"/>
  <c r="AI765" i="1" s="1"/>
  <c r="AL693" i="1"/>
  <c r="AM693" i="1" s="1"/>
  <c r="AH693" i="1"/>
  <c r="AI693" i="1" s="1"/>
  <c r="AJ693" i="1"/>
  <c r="AK693" i="1" s="1"/>
  <c r="AH630" i="1"/>
  <c r="AI630" i="1" s="1"/>
  <c r="AJ630" i="1"/>
  <c r="AK630" i="1" s="1"/>
  <c r="AL759" i="1"/>
  <c r="AM759" i="1" s="1"/>
  <c r="AH759" i="1"/>
  <c r="AI759" i="1" s="1"/>
  <c r="AJ759" i="1"/>
  <c r="AK759" i="1" s="1"/>
  <c r="AH660" i="1"/>
  <c r="AI660" i="1" s="1"/>
  <c r="AL660" i="1"/>
  <c r="AM660" i="1" s="1"/>
  <c r="AJ660" i="1"/>
  <c r="AK660" i="1" s="1"/>
  <c r="AJ261" i="1"/>
  <c r="AK261" i="1" s="1"/>
  <c r="AL261" i="1"/>
  <c r="AM261" i="1" s="1"/>
  <c r="AH261" i="1"/>
  <c r="AI261" i="1" s="1"/>
  <c r="AJ86" i="1"/>
  <c r="AK86" i="1" s="1"/>
  <c r="AL86" i="1"/>
  <c r="AM86" i="1" s="1"/>
  <c r="AH86" i="1"/>
  <c r="AL105" i="1"/>
  <c r="AM105" i="1" s="1"/>
  <c r="AH105" i="1"/>
  <c r="AI105" i="1" s="1"/>
  <c r="AJ105" i="1"/>
  <c r="AK105" i="1" s="1"/>
  <c r="AJ1592" i="1"/>
  <c r="AK1592" i="1" s="1"/>
  <c r="AH1592" i="1"/>
  <c r="AI1592" i="1" s="1"/>
  <c r="AL1592" i="1"/>
  <c r="AM1592" i="1" s="1"/>
  <c r="AH1207" i="1"/>
  <c r="AI1207" i="1" s="1"/>
  <c r="AJ1207" i="1"/>
  <c r="AK1207" i="1" s="1"/>
  <c r="AL1207" i="1"/>
  <c r="AM1207" i="1" s="1"/>
  <c r="AH1598" i="1"/>
  <c r="AI1598" i="1" s="1"/>
  <c r="AL1598" i="1"/>
  <c r="AM1598" i="1" s="1"/>
  <c r="AJ1614" i="1"/>
  <c r="AK1614" i="1" s="1"/>
  <c r="AH1614" i="1"/>
  <c r="AI1614" i="1" s="1"/>
  <c r="AL1586" i="1"/>
  <c r="AM1586" i="1" s="1"/>
  <c r="AH1460" i="1"/>
  <c r="AI1460" i="1" s="1"/>
  <c r="AJ1460" i="1"/>
  <c r="AK1460" i="1" s="1"/>
  <c r="AH1224" i="1"/>
  <c r="AI1224" i="1" s="1"/>
  <c r="AJ1224" i="1"/>
  <c r="AK1224" i="1" s="1"/>
  <c r="AH1058" i="1"/>
  <c r="AI1058" i="1" s="1"/>
  <c r="AJ1058" i="1"/>
  <c r="AK1058" i="1" s="1"/>
  <c r="AL1058" i="1"/>
  <c r="AM1058" i="1" s="1"/>
  <c r="AJ1128" i="1"/>
  <c r="AK1128" i="1" s="1"/>
  <c r="AH1128" i="1"/>
  <c r="AL1128" i="1"/>
  <c r="AM1128" i="1" s="1"/>
  <c r="AL1081" i="1"/>
  <c r="AM1081" i="1" s="1"/>
  <c r="AJ1081" i="1"/>
  <c r="AK1081" i="1" s="1"/>
  <c r="AH1081" i="1"/>
  <c r="AI1081" i="1" s="1"/>
  <c r="AH810" i="1"/>
  <c r="AI810" i="1" s="1"/>
  <c r="AL810" i="1"/>
  <c r="AM810" i="1" s="1"/>
  <c r="AJ801" i="1"/>
  <c r="AK801" i="1" s="1"/>
  <c r="AL801" i="1"/>
  <c r="AM801" i="1" s="1"/>
  <c r="AH801" i="1"/>
  <c r="AI801" i="1" s="1"/>
  <c r="AH740" i="1"/>
  <c r="AJ740" i="1"/>
  <c r="AK740" i="1" s="1"/>
  <c r="AL740" i="1"/>
  <c r="AM740" i="1" s="1"/>
  <c r="AH665" i="1"/>
  <c r="AI665" i="1" s="1"/>
  <c r="AL665" i="1"/>
  <c r="AM665" i="1" s="1"/>
  <c r="AJ665" i="1"/>
  <c r="AK665" i="1" s="1"/>
  <c r="AL369" i="1"/>
  <c r="AM369" i="1" s="1"/>
  <c r="AH369" i="1"/>
  <c r="AI369" i="1" s="1"/>
  <c r="AJ281" i="1"/>
  <c r="AK281" i="1" s="1"/>
  <c r="AH281" i="1"/>
  <c r="AI281" i="1" s="1"/>
  <c r="AL281" i="1"/>
  <c r="AJ209" i="1"/>
  <c r="AL209" i="1"/>
  <c r="AM209" i="1" s="1"/>
  <c r="AH209" i="1"/>
  <c r="AI209" i="1" s="1"/>
  <c r="AJ74" i="1"/>
  <c r="AK74" i="1" s="1"/>
  <c r="AH74" i="1"/>
  <c r="AI74" i="1" s="1"/>
  <c r="AL74" i="1"/>
  <c r="AM74" i="1" s="1"/>
  <c r="AH38" i="1"/>
  <c r="AI38" i="1" s="1"/>
  <c r="AJ38" i="1"/>
  <c r="AK38" i="1" s="1"/>
  <c r="AL38" i="1"/>
  <c r="AM38" i="1" s="1"/>
  <c r="AG4" i="1"/>
  <c r="AE1" i="1" a="1"/>
  <c r="AE1" i="1" s="1"/>
  <c r="AP2" i="1" s="1" a="1"/>
  <c r="AP2" i="1" s="1"/>
  <c r="AD1" i="1" a="1"/>
  <c r="AF107" i="1" s="1" a="1"/>
  <c r="AF107" i="1" s="1"/>
  <c r="AH1639" i="1"/>
  <c r="AI1639" i="1" s="1"/>
  <c r="AL1639" i="1"/>
  <c r="AM1639" i="1" s="1"/>
  <c r="AJ1639" i="1"/>
  <c r="AK1639" i="1" s="1"/>
  <c r="AJ738" i="1"/>
  <c r="AK738" i="1" s="1"/>
  <c r="AL738" i="1"/>
  <c r="AM738" i="1" s="1"/>
  <c r="AH738" i="1"/>
  <c r="AI738" i="1" s="1"/>
  <c r="AJ40" i="1"/>
  <c r="AK40" i="1" s="1"/>
  <c r="AL40" i="1"/>
  <c r="AM40" i="1" s="1"/>
  <c r="AH40" i="1"/>
  <c r="AI40" i="1" s="1"/>
  <c r="AL1431" i="1"/>
  <c r="AM1431" i="1" s="1"/>
  <c r="AJ1431" i="1"/>
  <c r="AK1431" i="1" s="1"/>
  <c r="AL1436" i="1"/>
  <c r="AH1436" i="1"/>
  <c r="AI1436" i="1" s="1"/>
  <c r="AH1421" i="1"/>
  <c r="AI1421" i="1" s="1"/>
  <c r="AL1421" i="1"/>
  <c r="AM1421" i="1" s="1"/>
  <c r="AH1278" i="1"/>
  <c r="AI1278" i="1" s="1"/>
  <c r="AL1278" i="1"/>
  <c r="AM1278" i="1" s="1"/>
  <c r="AJ1278" i="1"/>
  <c r="AK1278" i="1" s="1"/>
  <c r="AJ1284" i="1"/>
  <c r="AK1284" i="1" s="1"/>
  <c r="AH1284" i="1"/>
  <c r="AI1284" i="1" s="1"/>
  <c r="AL1284" i="1"/>
  <c r="AJ924" i="1"/>
  <c r="AK924" i="1" s="1"/>
  <c r="AL924" i="1"/>
  <c r="AM924" i="1" s="1"/>
  <c r="AH924" i="1"/>
  <c r="AI924" i="1" s="1"/>
  <c r="AL722" i="1"/>
  <c r="AM722" i="1" s="1"/>
  <c r="AJ722" i="1"/>
  <c r="AK722" i="1" s="1"/>
  <c r="AJ605" i="1"/>
  <c r="AK605" i="1" s="1"/>
  <c r="AL605" i="1"/>
  <c r="AM605" i="1" s="1"/>
  <c r="AH605" i="1"/>
  <c r="AH25" i="1"/>
  <c r="AI25" i="1" s="1"/>
  <c r="AL25" i="1"/>
  <c r="AM25" i="1" s="1"/>
  <c r="AJ25" i="1"/>
  <c r="AK25" i="1" s="1"/>
  <c r="AJ1517" i="1"/>
  <c r="AK1517" i="1" s="1"/>
  <c r="AH1517" i="1"/>
  <c r="AI1517" i="1" s="1"/>
  <c r="AJ1403" i="1"/>
  <c r="AK1403" i="1" s="1"/>
  <c r="AH1403" i="1"/>
  <c r="AI1403" i="1" s="1"/>
  <c r="AL420" i="1"/>
  <c r="AM420" i="1" s="1"/>
  <c r="AH420" i="1"/>
  <c r="AI420" i="1" s="1"/>
  <c r="AJ420" i="1"/>
  <c r="AK420" i="1" s="1"/>
  <c r="AJ1623" i="1"/>
  <c r="AK1623" i="1" s="1"/>
  <c r="AH1623" i="1"/>
  <c r="AI1623" i="1" s="1"/>
  <c r="AL1623" i="1"/>
  <c r="AM1623" i="1" s="1"/>
  <c r="AL1553" i="1"/>
  <c r="AM1553" i="1" s="1"/>
  <c r="AH1612" i="1"/>
  <c r="AI1612" i="1" s="1"/>
  <c r="AL1612" i="1"/>
  <c r="AM1612" i="1" s="1"/>
  <c r="AH1606" i="1"/>
  <c r="AI1606" i="1" s="1"/>
  <c r="AL1606" i="1"/>
  <c r="AM1606" i="1" s="1"/>
  <c r="AJ1606" i="1"/>
  <c r="AK1606" i="1" s="1"/>
  <c r="AL1477" i="1"/>
  <c r="AM1477" i="1" s="1"/>
  <c r="AH1507" i="1"/>
  <c r="AI1507" i="1" s="1"/>
  <c r="AL1507" i="1"/>
  <c r="AM1507" i="1" s="1"/>
  <c r="AL1460" i="1"/>
  <c r="AM1460" i="1" s="1"/>
  <c r="AH1422" i="1"/>
  <c r="AI1422" i="1" s="1"/>
  <c r="AJ1422" i="1"/>
  <c r="AK1422" i="1" s="1"/>
  <c r="AL1399" i="1"/>
  <c r="AM1399" i="1" s="1"/>
  <c r="AJ1399" i="1"/>
  <c r="AK1399" i="1" s="1"/>
  <c r="AH1399" i="1"/>
  <c r="AI1399" i="1" s="1"/>
  <c r="AJ1388" i="1"/>
  <c r="AK1388" i="1" s="1"/>
  <c r="AH1388" i="1"/>
  <c r="AI1388" i="1" s="1"/>
  <c r="AH1375" i="1"/>
  <c r="AI1375" i="1" s="1"/>
  <c r="AJ1375" i="1"/>
  <c r="AK1375" i="1" s="1"/>
  <c r="AJ1276" i="1"/>
  <c r="AK1276" i="1" s="1"/>
  <c r="AH1276" i="1"/>
  <c r="AI1276" i="1" s="1"/>
  <c r="AL1276" i="1"/>
  <c r="AM1276" i="1" s="1"/>
  <c r="AH1321" i="1"/>
  <c r="AI1321" i="1" s="1"/>
  <c r="AJ1321" i="1"/>
  <c r="AK1321" i="1" s="1"/>
  <c r="AL1321" i="1"/>
  <c r="AM1321" i="1" s="1"/>
  <c r="AL1224" i="1"/>
  <c r="AM1224" i="1" s="1"/>
  <c r="AJ810" i="1"/>
  <c r="AK810" i="1" s="1"/>
  <c r="AH882" i="1"/>
  <c r="AI882" i="1" s="1"/>
  <c r="AL882" i="1"/>
  <c r="AM882" i="1" s="1"/>
  <c r="AJ882" i="1"/>
  <c r="AK882" i="1" s="1"/>
  <c r="AH507" i="1"/>
  <c r="AI507" i="1" s="1"/>
  <c r="AJ507" i="1"/>
  <c r="AL507" i="1"/>
  <c r="AM507" i="1" s="1"/>
  <c r="AL443" i="1"/>
  <c r="AM443" i="1" s="1"/>
  <c r="AH443" i="1"/>
  <c r="AJ443" i="1"/>
  <c r="AK443" i="1" s="1"/>
  <c r="AH1443" i="1"/>
  <c r="AI1443" i="1" s="1"/>
  <c r="AJ1443" i="1"/>
  <c r="AK1443" i="1" s="1"/>
  <c r="AJ449" i="1"/>
  <c r="AK449" i="1" s="1"/>
  <c r="AL449" i="1"/>
  <c r="AM449" i="1" s="1"/>
  <c r="AH449" i="1"/>
  <c r="AI449" i="1" s="1"/>
  <c r="AJ1553" i="1"/>
  <c r="AK1553" i="1" s="1"/>
  <c r="AH1476" i="1"/>
  <c r="AJ1476" i="1"/>
  <c r="AK1476" i="1" s="1"/>
  <c r="AJ1353" i="1"/>
  <c r="AK1353" i="1" s="1"/>
  <c r="AH1353" i="1"/>
  <c r="AI1353" i="1" s="1"/>
  <c r="AL1353" i="1"/>
  <c r="AM1353" i="1" s="1"/>
  <c r="AJ1349" i="1"/>
  <c r="AK1349" i="1" s="1"/>
  <c r="AH1349" i="1"/>
  <c r="AI1349" i="1" s="1"/>
  <c r="AJ1340" i="1"/>
  <c r="AK1340" i="1" s="1"/>
  <c r="AH1340" i="1"/>
  <c r="AI1340" i="1" s="1"/>
  <c r="AL1340" i="1"/>
  <c r="AM1340" i="1" s="1"/>
  <c r="AH1213" i="1"/>
  <c r="AI1213" i="1" s="1"/>
  <c r="AJ1213" i="1"/>
  <c r="AK1213" i="1" s="1"/>
  <c r="AL1213" i="1"/>
  <c r="AM1213" i="1" s="1"/>
  <c r="AL1135" i="1"/>
  <c r="AM1135" i="1" s="1"/>
  <c r="AJ1135" i="1"/>
  <c r="AK1135" i="1" s="1"/>
  <c r="AJ1032" i="1"/>
  <c r="AK1032" i="1" s="1"/>
  <c r="AL1032" i="1"/>
  <c r="AM1032" i="1" s="1"/>
  <c r="AH1032" i="1"/>
  <c r="AI1032" i="1" s="1"/>
  <c r="AJ960" i="1"/>
  <c r="AK960" i="1" s="1"/>
  <c r="AH960" i="1"/>
  <c r="AI960" i="1" s="1"/>
  <c r="AL960" i="1"/>
  <c r="AM960" i="1" s="1"/>
  <c r="AH1037" i="1"/>
  <c r="AL1037" i="1"/>
  <c r="AM1037" i="1" s="1"/>
  <c r="AJ1037" i="1"/>
  <c r="AK1037" i="1" s="1"/>
  <c r="AL805" i="1"/>
  <c r="AM805" i="1" s="1"/>
  <c r="AH805" i="1"/>
  <c r="AI805" i="1" s="1"/>
  <c r="AJ805" i="1"/>
  <c r="AK805" i="1" s="1"/>
  <c r="AH783" i="1"/>
  <c r="AI783" i="1" s="1"/>
  <c r="AJ783" i="1"/>
  <c r="AK783" i="1" s="1"/>
  <c r="AL783" i="1"/>
  <c r="AM783" i="1" s="1"/>
  <c r="AJ572" i="1"/>
  <c r="AK572" i="1" s="1"/>
  <c r="AH572" i="1"/>
  <c r="AI572" i="1" s="1"/>
  <c r="AL572" i="1"/>
  <c r="AM572" i="1" s="1"/>
  <c r="AH671" i="1"/>
  <c r="AI671" i="1" s="1"/>
  <c r="AL671" i="1"/>
  <c r="AM671" i="1" s="1"/>
  <c r="AJ671" i="1"/>
  <c r="AK671" i="1" s="1"/>
  <c r="AH432" i="1"/>
  <c r="AI432" i="1" s="1"/>
  <c r="AJ432" i="1"/>
  <c r="AK432" i="1" s="1"/>
  <c r="AL432" i="1"/>
  <c r="AM432" i="1" s="1"/>
  <c r="AH315" i="1"/>
  <c r="AI315" i="1" s="1"/>
  <c r="AJ315" i="1"/>
  <c r="AK315" i="1" s="1"/>
  <c r="AL374" i="1"/>
  <c r="AM374" i="1" s="1"/>
  <c r="AJ374" i="1"/>
  <c r="AK374" i="1" s="1"/>
  <c r="AH374" i="1"/>
  <c r="AI374" i="1" s="1"/>
  <c r="AH55" i="1"/>
  <c r="AI55" i="1" s="1"/>
  <c r="AL55" i="1"/>
  <c r="AM55" i="1" s="1"/>
  <c r="AH184" i="1"/>
  <c r="AI184" i="1" s="1"/>
  <c r="AL184" i="1"/>
  <c r="AM184" i="1" s="1"/>
  <c r="AJ184" i="1"/>
  <c r="AK184" i="1" s="1"/>
  <c r="AL1634" i="1"/>
  <c r="AM1634" i="1" s="1"/>
  <c r="AH1634" i="1"/>
  <c r="AI1634" i="1" s="1"/>
  <c r="AH1551" i="1"/>
  <c r="AI1551" i="1" s="1"/>
  <c r="AL1551" i="1"/>
  <c r="AM1551" i="1" s="1"/>
  <c r="AJ1551" i="1"/>
  <c r="AK1551" i="1" s="1"/>
  <c r="AJ1602" i="1"/>
  <c r="AK1602" i="1" s="1"/>
  <c r="AH1602" i="1"/>
  <c r="AI1602" i="1" s="1"/>
  <c r="AJ1455" i="1"/>
  <c r="AK1455" i="1" s="1"/>
  <c r="AL1455" i="1"/>
  <c r="AH1455" i="1"/>
  <c r="AI1455" i="1" s="1"/>
  <c r="AJ1446" i="1"/>
  <c r="AH1446" i="1"/>
  <c r="AI1446" i="1" s="1"/>
  <c r="AL1446" i="1"/>
  <c r="AM1446" i="1" s="1"/>
  <c r="AJ1481" i="1"/>
  <c r="AK1481" i="1" s="1"/>
  <c r="AL1481" i="1"/>
  <c r="AM1481" i="1" s="1"/>
  <c r="AJ1511" i="1"/>
  <c r="AK1511" i="1" s="1"/>
  <c r="AL1511" i="1"/>
  <c r="AM1511" i="1" s="1"/>
  <c r="AL1349" i="1"/>
  <c r="AJ1332" i="1"/>
  <c r="AK1332" i="1" s="1"/>
  <c r="AH1332" i="1"/>
  <c r="AH1305" i="1"/>
  <c r="AI1305" i="1" s="1"/>
  <c r="AL1305" i="1"/>
  <c r="AM1305" i="1" s="1"/>
  <c r="AH945" i="1"/>
  <c r="AL945" i="1"/>
  <c r="AM945" i="1" s="1"/>
  <c r="AH866" i="1"/>
  <c r="AI866" i="1" s="1"/>
  <c r="AL866" i="1"/>
  <c r="AM866" i="1" s="1"/>
  <c r="AL824" i="1"/>
  <c r="AM824" i="1" s="1"/>
  <c r="AH824" i="1"/>
  <c r="AI824" i="1" s="1"/>
  <c r="AJ824" i="1"/>
  <c r="AK824" i="1" s="1"/>
  <c r="AJ815" i="1"/>
  <c r="AK815" i="1" s="1"/>
  <c r="AH815" i="1"/>
  <c r="AI815" i="1" s="1"/>
  <c r="AL815" i="1"/>
  <c r="AM815" i="1" s="1"/>
  <c r="AJ772" i="1"/>
  <c r="AK772" i="1" s="1"/>
  <c r="AH772" i="1"/>
  <c r="AI772" i="1" s="1"/>
  <c r="AL772" i="1"/>
  <c r="AM772" i="1" s="1"/>
  <c r="AL617" i="1"/>
  <c r="AM617" i="1" s="1"/>
  <c r="AH617" i="1"/>
  <c r="AI617" i="1" s="1"/>
  <c r="AJ617" i="1"/>
  <c r="AK617" i="1" s="1"/>
  <c r="AL579" i="1"/>
  <c r="AM579" i="1" s="1"/>
  <c r="AH579" i="1"/>
  <c r="AI579" i="1" s="1"/>
  <c r="AJ579" i="1"/>
  <c r="AK579" i="1" s="1"/>
  <c r="AJ435" i="1"/>
  <c r="AK435" i="1" s="1"/>
  <c r="AH435" i="1"/>
  <c r="AI435" i="1" s="1"/>
  <c r="AL435" i="1"/>
  <c r="AM435" i="1" s="1"/>
  <c r="AH195" i="1"/>
  <c r="AI195" i="1" s="1"/>
  <c r="AL195" i="1"/>
  <c r="AM195" i="1" s="1"/>
  <c r="AJ195" i="1"/>
  <c r="AK195" i="1" s="1"/>
  <c r="AJ378" i="1"/>
  <c r="AK378" i="1" s="1"/>
  <c r="AL378" i="1"/>
  <c r="AM378" i="1" s="1"/>
  <c r="AH378" i="1"/>
  <c r="AI378" i="1" s="1"/>
  <c r="AJ186" i="1"/>
  <c r="AK186" i="1" s="1"/>
  <c r="AL186" i="1"/>
  <c r="AM186" i="1" s="1"/>
  <c r="AH186" i="1"/>
  <c r="AI186" i="1" s="1"/>
  <c r="AH111" i="1"/>
  <c r="AI111" i="1" s="1"/>
  <c r="AL111" i="1"/>
  <c r="AJ337" i="1"/>
  <c r="AK337" i="1" s="1"/>
  <c r="AL337" i="1"/>
  <c r="AM337" i="1" s="1"/>
  <c r="AH337" i="1"/>
  <c r="AI337" i="1" s="1"/>
  <c r="AJ20" i="1"/>
  <c r="AK20" i="1" s="1"/>
  <c r="AL20" i="1"/>
  <c r="AH20" i="1"/>
  <c r="AI20" i="1" s="1"/>
  <c r="AJ346" i="1"/>
  <c r="AL346" i="1"/>
  <c r="AM346" i="1" s="1"/>
  <c r="AH346" i="1"/>
  <c r="AI346" i="1" s="1"/>
  <c r="AH1468" i="1"/>
  <c r="AI1468" i="1" s="1"/>
  <c r="AJ1468" i="1"/>
  <c r="AK1468" i="1" s="1"/>
  <c r="AH1257" i="1"/>
  <c r="AI1257" i="1" s="1"/>
  <c r="AJ1257" i="1"/>
  <c r="AK1257" i="1" s="1"/>
  <c r="AL1257" i="1"/>
  <c r="AM1257" i="1" s="1"/>
  <c r="AH243" i="1"/>
  <c r="AI243" i="1" s="1"/>
  <c r="AL243" i="1"/>
  <c r="AM243" i="1" s="1"/>
  <c r="AJ243" i="1"/>
  <c r="AK243" i="1" s="1"/>
  <c r="AJ120" i="1"/>
  <c r="AK120" i="1" s="1"/>
  <c r="AL120" i="1"/>
  <c r="AM120" i="1" s="1"/>
  <c r="AH120" i="1"/>
  <c r="AI120" i="1" s="1"/>
  <c r="AL1602" i="1"/>
  <c r="AM1602" i="1" s="1"/>
  <c r="AL1522" i="1"/>
  <c r="AM1522" i="1" s="1"/>
  <c r="AJ1522" i="1"/>
  <c r="AH1522" i="1"/>
  <c r="AI1522" i="1" s="1"/>
  <c r="AJ1447" i="1"/>
  <c r="AK1447" i="1" s="1"/>
  <c r="AL1447" i="1"/>
  <c r="AH1447" i="1"/>
  <c r="AI1447" i="1" s="1"/>
  <c r="AJ1438" i="1"/>
  <c r="AK1438" i="1" s="1"/>
  <c r="AH1438" i="1"/>
  <c r="AI1438" i="1" s="1"/>
  <c r="AL1438" i="1"/>
  <c r="AM1438" i="1" s="1"/>
  <c r="AH1306" i="1"/>
  <c r="AI1306" i="1" s="1"/>
  <c r="AJ1306" i="1"/>
  <c r="AK1306" i="1" s="1"/>
  <c r="AL1332" i="1"/>
  <c r="AM1332" i="1" s="1"/>
  <c r="AJ879" i="1"/>
  <c r="AK879" i="1" s="1"/>
  <c r="AH879" i="1"/>
  <c r="AI879" i="1" s="1"/>
  <c r="AL879" i="1"/>
  <c r="AM879" i="1" s="1"/>
  <c r="AJ866" i="1"/>
  <c r="AK866" i="1" s="1"/>
  <c r="AH692" i="1"/>
  <c r="AI692" i="1" s="1"/>
  <c r="AL692" i="1"/>
  <c r="AM692" i="1" s="1"/>
  <c r="AJ692" i="1"/>
  <c r="AK692" i="1" s="1"/>
  <c r="AH831" i="1"/>
  <c r="AI831" i="1" s="1"/>
  <c r="AL831" i="1"/>
  <c r="AM831" i="1" s="1"/>
  <c r="AJ831" i="1"/>
  <c r="AK831" i="1" s="1"/>
  <c r="AJ662" i="1"/>
  <c r="AK662" i="1" s="1"/>
  <c r="AH662" i="1"/>
  <c r="AI662" i="1" s="1"/>
  <c r="AL662" i="1"/>
  <c r="AM662" i="1" s="1"/>
  <c r="AH567" i="1"/>
  <c r="AI567" i="1" s="1"/>
  <c r="AL567" i="1"/>
  <c r="AJ723" i="1"/>
  <c r="AK723" i="1" s="1"/>
  <c r="AH723" i="1"/>
  <c r="AI723" i="1" s="1"/>
  <c r="AL723" i="1"/>
  <c r="AM723" i="1" s="1"/>
  <c r="AJ496" i="1"/>
  <c r="AL496" i="1"/>
  <c r="AM496" i="1" s="1"/>
  <c r="AH496" i="1"/>
  <c r="AI496" i="1" s="1"/>
  <c r="AJ418" i="1"/>
  <c r="AK418" i="1" s="1"/>
  <c r="AL418" i="1"/>
  <c r="AM418" i="1" s="1"/>
  <c r="AH418" i="1"/>
  <c r="AI418" i="1" s="1"/>
  <c r="AJ111" i="1"/>
  <c r="AK111" i="1" s="1"/>
  <c r="AJ242" i="1"/>
  <c r="AK242" i="1" s="1"/>
  <c r="AH242" i="1"/>
  <c r="AI242" i="1" s="1"/>
  <c r="AL242" i="1"/>
  <c r="AM242" i="1" s="1"/>
  <c r="AJ1607" i="1"/>
  <c r="AK1607" i="1" s="1"/>
  <c r="AH1607" i="1"/>
  <c r="AI1607" i="1" s="1"/>
  <c r="AJ1406" i="1"/>
  <c r="AK1406" i="1" s="1"/>
  <c r="AH1406" i="1"/>
  <c r="AI1406" i="1" s="1"/>
  <c r="AL1505" i="1"/>
  <c r="AM1505" i="1" s="1"/>
  <c r="AL1320" i="1"/>
  <c r="AM1320" i="1" s="1"/>
  <c r="AH1273" i="1"/>
  <c r="AI1273" i="1" s="1"/>
  <c r="AJ1273" i="1"/>
  <c r="AJ1096" i="1"/>
  <c r="AK1096" i="1" s="1"/>
  <c r="AJ1144" i="1"/>
  <c r="AK1144" i="1" s="1"/>
  <c r="AL1137" i="1"/>
  <c r="AM1137" i="1" s="1"/>
  <c r="AJ1004" i="1"/>
  <c r="AK1004" i="1" s="1"/>
  <c r="AH916" i="1"/>
  <c r="AI916" i="1" s="1"/>
  <c r="AJ1036" i="1"/>
  <c r="AJ911" i="1"/>
  <c r="AK911" i="1" s="1"/>
  <c r="AH911" i="1"/>
  <c r="AI911" i="1" s="1"/>
  <c r="AJ814" i="1"/>
  <c r="AJ733" i="1"/>
  <c r="AK733" i="1" s="1"/>
  <c r="AL689" i="1"/>
  <c r="AJ691" i="1"/>
  <c r="AK691" i="1" s="1"/>
  <c r="AH561" i="1"/>
  <c r="AI561" i="1" s="1"/>
  <c r="AJ196" i="1"/>
  <c r="AK196" i="1" s="1"/>
  <c r="AH196" i="1"/>
  <c r="AI196" i="1" s="1"/>
  <c r="AH417" i="1"/>
  <c r="AI417" i="1" s="1"/>
  <c r="AH176" i="1"/>
  <c r="AI176" i="1" s="1"/>
  <c r="AH112" i="1"/>
  <c r="AI112" i="1" s="1"/>
  <c r="AH89" i="1"/>
  <c r="AI89" i="1" s="1"/>
  <c r="AJ89" i="1"/>
  <c r="AK89" i="1" s="1"/>
  <c r="AJ1637" i="1"/>
  <c r="AK1637" i="1" s="1"/>
  <c r="AJ1631" i="1"/>
  <c r="AK1631" i="1" s="1"/>
  <c r="AH1631" i="1"/>
  <c r="AI1631" i="1" s="1"/>
  <c r="AL1607" i="1"/>
  <c r="AM1607" i="1" s="1"/>
  <c r="AL1539" i="1"/>
  <c r="AM1539" i="1" s="1"/>
  <c r="AH1616" i="1"/>
  <c r="AI1616" i="1" s="1"/>
  <c r="AJ1576" i="1"/>
  <c r="AK1576" i="1" s="1"/>
  <c r="AL1555" i="1"/>
  <c r="AM1555" i="1" s="1"/>
  <c r="AH1554" i="1"/>
  <c r="AI1554" i="1" s="1"/>
  <c r="AH1493" i="1"/>
  <c r="AI1493" i="1" s="1"/>
  <c r="AL1473" i="1"/>
  <c r="AM1473" i="1" s="1"/>
  <c r="AH1515" i="1"/>
  <c r="AI1515" i="1" s="1"/>
  <c r="AJ1483" i="1"/>
  <c r="AK1483" i="1" s="1"/>
  <c r="AH1543" i="1"/>
  <c r="AJ1462" i="1"/>
  <c r="AK1462" i="1" s="1"/>
  <c r="AH1462" i="1"/>
  <c r="AI1462" i="1" s="1"/>
  <c r="AL1489" i="1"/>
  <c r="AM1489" i="1" s="1"/>
  <c r="AH1474" i="1"/>
  <c r="AI1474" i="1" s="1"/>
  <c r="AJ1444" i="1"/>
  <c r="AK1444" i="1" s="1"/>
  <c r="AH1491" i="1"/>
  <c r="AI1491" i="1" s="1"/>
  <c r="AL1461" i="1"/>
  <c r="AM1461" i="1" s="1"/>
  <c r="AJ1398" i="1"/>
  <c r="AK1398" i="1" s="1"/>
  <c r="AH1398" i="1"/>
  <c r="AI1398" i="1" s="1"/>
  <c r="AL1463" i="1"/>
  <c r="AM1463" i="1" s="1"/>
  <c r="AJ1437" i="1"/>
  <c r="AK1437" i="1" s="1"/>
  <c r="AL1445" i="1"/>
  <c r="AM1445" i="1" s="1"/>
  <c r="AL1429" i="1"/>
  <c r="AL1467" i="1"/>
  <c r="AM1467" i="1" s="1"/>
  <c r="AJ1453" i="1"/>
  <c r="AK1453" i="1" s="1"/>
  <c r="AL1356" i="1"/>
  <c r="AM1356" i="1" s="1"/>
  <c r="AJ1296" i="1"/>
  <c r="AK1296" i="1" s="1"/>
  <c r="AH1345" i="1"/>
  <c r="AJ1298" i="1"/>
  <c r="AK1298" i="1" s="1"/>
  <c r="AL1312" i="1"/>
  <c r="AM1312" i="1" s="1"/>
  <c r="AH1387" i="1"/>
  <c r="AI1387" i="1" s="1"/>
  <c r="AL1314" i="1"/>
  <c r="AM1314" i="1" s="1"/>
  <c r="AL1348" i="1"/>
  <c r="AJ1256" i="1"/>
  <c r="AK1256" i="1" s="1"/>
  <c r="AH1292" i="1"/>
  <c r="AI1292" i="1" s="1"/>
  <c r="AJ1271" i="1"/>
  <c r="AK1271" i="1" s="1"/>
  <c r="AH1205" i="1"/>
  <c r="AH1189" i="1"/>
  <c r="AI1189" i="1" s="1"/>
  <c r="AH1194" i="1"/>
  <c r="AI1194" i="1" s="1"/>
  <c r="AL1265" i="1"/>
  <c r="AM1265" i="1" s="1"/>
  <c r="AL1199" i="1"/>
  <c r="AM1199" i="1" s="1"/>
  <c r="AL1365" i="1"/>
  <c r="AM1365" i="1" s="1"/>
  <c r="AH1270" i="1"/>
  <c r="AI1270" i="1" s="1"/>
  <c r="AL1230" i="1"/>
  <c r="AM1230" i="1" s="1"/>
  <c r="AL1410" i="1"/>
  <c r="AM1410" i="1" s="1"/>
  <c r="AJ1159" i="1"/>
  <c r="AK1159" i="1" s="1"/>
  <c r="AL1286" i="1"/>
  <c r="AM1286" i="1" s="1"/>
  <c r="AL1139" i="1"/>
  <c r="AM1139" i="1" s="1"/>
  <c r="AL1123" i="1"/>
  <c r="AM1123" i="1" s="1"/>
  <c r="AL1256" i="1"/>
  <c r="AM1256" i="1" s="1"/>
  <c r="AH1225" i="1"/>
  <c r="AI1225" i="1" s="1"/>
  <c r="AL1136" i="1"/>
  <c r="AM1136" i="1" s="1"/>
  <c r="AL1073" i="1"/>
  <c r="AM1073" i="1" s="1"/>
  <c r="AL1079" i="1"/>
  <c r="AM1079" i="1" s="1"/>
  <c r="AJ1046" i="1"/>
  <c r="AK1046" i="1" s="1"/>
  <c r="AL1102" i="1"/>
  <c r="AM1102" i="1" s="1"/>
  <c r="AL1071" i="1"/>
  <c r="AL1080" i="1"/>
  <c r="AM1080" i="1" s="1"/>
  <c r="AL1152" i="1"/>
  <c r="AM1152" i="1" s="1"/>
  <c r="AH1000" i="1"/>
  <c r="AH1246" i="1"/>
  <c r="AI1246" i="1" s="1"/>
  <c r="AH1044" i="1"/>
  <c r="AI1044" i="1" s="1"/>
  <c r="AJ982" i="1"/>
  <c r="AL958" i="1"/>
  <c r="AM958" i="1" s="1"/>
  <c r="AJ990" i="1"/>
  <c r="AJ970" i="1"/>
  <c r="AK970" i="1" s="1"/>
  <c r="AH919" i="1"/>
  <c r="AI919" i="1" s="1"/>
  <c r="AJ1064" i="1"/>
  <c r="AK1064" i="1" s="1"/>
  <c r="AH908" i="1"/>
  <c r="AI908" i="1" s="1"/>
  <c r="AL1048" i="1"/>
  <c r="AM1048" i="1" s="1"/>
  <c r="AL874" i="1"/>
  <c r="AM874" i="1" s="1"/>
  <c r="AJ997" i="1"/>
  <c r="AK997" i="1" s="1"/>
  <c r="AL976" i="1"/>
  <c r="AM976" i="1" s="1"/>
  <c r="AJ903" i="1"/>
  <c r="AH903" i="1"/>
  <c r="AI903" i="1" s="1"/>
  <c r="AL929" i="1"/>
  <c r="AM929" i="1" s="1"/>
  <c r="AL903" i="1"/>
  <c r="AM903" i="1" s="1"/>
  <c r="AH888" i="1"/>
  <c r="AI888" i="1" s="1"/>
  <c r="AL897" i="1"/>
  <c r="AM897" i="1" s="1"/>
  <c r="AH964" i="1"/>
  <c r="AI964" i="1" s="1"/>
  <c r="AJ784" i="1"/>
  <c r="AK784" i="1" s="1"/>
  <c r="AJ874" i="1"/>
  <c r="AK874" i="1" s="1"/>
  <c r="AL852" i="1"/>
  <c r="AH816" i="1"/>
  <c r="AI816" i="1" s="1"/>
  <c r="AL796" i="1"/>
  <c r="AM796" i="1" s="1"/>
  <c r="AL937" i="1"/>
  <c r="AM937" i="1" s="1"/>
  <c r="AJ807" i="1"/>
  <c r="AH773" i="1"/>
  <c r="AI773" i="1" s="1"/>
  <c r="AH777" i="1"/>
  <c r="AI777" i="1" s="1"/>
  <c r="AH928" i="1"/>
  <c r="AI928" i="1" s="1"/>
  <c r="AL966" i="1"/>
  <c r="AM966" i="1" s="1"/>
  <c r="AL878" i="1"/>
  <c r="AM878" i="1" s="1"/>
  <c r="AL807" i="1"/>
  <c r="AM807" i="1" s="1"/>
  <c r="AJ725" i="1"/>
  <c r="AK725" i="1" s="1"/>
  <c r="AJ754" i="1"/>
  <c r="AK754" i="1" s="1"/>
  <c r="AL854" i="1"/>
  <c r="AL838" i="1"/>
  <c r="AM838" i="1" s="1"/>
  <c r="AH757" i="1"/>
  <c r="AI757" i="1" s="1"/>
  <c r="AH685" i="1"/>
  <c r="AI685" i="1" s="1"/>
  <c r="AJ756" i="1"/>
  <c r="AK756" i="1" s="1"/>
  <c r="AJ732" i="1"/>
  <c r="AJ684" i="1"/>
  <c r="AK684" i="1" s="1"/>
  <c r="AL974" i="1"/>
  <c r="AM974" i="1" s="1"/>
  <c r="AL868" i="1"/>
  <c r="AM868" i="1" s="1"/>
  <c r="AH830" i="1"/>
  <c r="AI830" i="1" s="1"/>
  <c r="AJ599" i="1"/>
  <c r="AK599" i="1" s="1"/>
  <c r="AH599" i="1"/>
  <c r="AI599" i="1" s="1"/>
  <c r="AL775" i="1"/>
  <c r="AM775" i="1" s="1"/>
  <c r="AL683" i="1"/>
  <c r="AM683" i="1" s="1"/>
  <c r="AJ647" i="1"/>
  <c r="AK647" i="1" s="1"/>
  <c r="AJ543" i="1"/>
  <c r="AK543" i="1" s="1"/>
  <c r="AL707" i="1"/>
  <c r="AM707" i="1" s="1"/>
  <c r="AL563" i="1"/>
  <c r="AM563" i="1" s="1"/>
  <c r="AL850" i="1"/>
  <c r="AM850" i="1" s="1"/>
  <c r="AL715" i="1"/>
  <c r="AM715" i="1" s="1"/>
  <c r="AH675" i="1"/>
  <c r="AI675" i="1" s="1"/>
  <c r="AJ555" i="1"/>
  <c r="AK555" i="1" s="1"/>
  <c r="AH624" i="1"/>
  <c r="AI624" i="1" s="1"/>
  <c r="AL543" i="1"/>
  <c r="AM543" i="1" s="1"/>
  <c r="AL782" i="1"/>
  <c r="AM782" i="1" s="1"/>
  <c r="AJ491" i="1"/>
  <c r="AJ451" i="1"/>
  <c r="AK451" i="1" s="1"/>
  <c r="AL653" i="1"/>
  <c r="AM653" i="1" s="1"/>
  <c r="AJ472" i="1"/>
  <c r="AK472" i="1" s="1"/>
  <c r="AJ509" i="1"/>
  <c r="AK509" i="1" s="1"/>
  <c r="AH475" i="1"/>
  <c r="AI475" i="1" s="1"/>
  <c r="AH451" i="1"/>
  <c r="AL880" i="1"/>
  <c r="AM880" i="1" s="1"/>
  <c r="AL647" i="1"/>
  <c r="AM647" i="1" s="1"/>
  <c r="AH573" i="1"/>
  <c r="AI573" i="1" s="1"/>
  <c r="AJ479" i="1"/>
  <c r="AK479" i="1" s="1"/>
  <c r="AL536" i="1"/>
  <c r="AM536" i="1" s="1"/>
  <c r="AH489" i="1"/>
  <c r="AI489" i="1" s="1"/>
  <c r="AJ188" i="1"/>
  <c r="AK188" i="1" s="1"/>
  <c r="AH188" i="1"/>
  <c r="AI188" i="1" s="1"/>
  <c r="AL472" i="1"/>
  <c r="AM472" i="1" s="1"/>
  <c r="AJ425" i="1"/>
  <c r="AK425" i="1" s="1"/>
  <c r="AJ377" i="1"/>
  <c r="AK377" i="1" s="1"/>
  <c r="AJ353" i="1"/>
  <c r="AK353" i="1" s="1"/>
  <c r="AJ329" i="1"/>
  <c r="AK329" i="1" s="1"/>
  <c r="AJ273" i="1"/>
  <c r="AL461" i="1"/>
  <c r="AM461" i="1" s="1"/>
  <c r="AL477" i="1"/>
  <c r="AM477" i="1" s="1"/>
  <c r="AH441" i="1"/>
  <c r="AI441" i="1" s="1"/>
  <c r="AH389" i="1"/>
  <c r="AI389" i="1" s="1"/>
  <c r="AJ389" i="1"/>
  <c r="AH289" i="1"/>
  <c r="AI289" i="1" s="1"/>
  <c r="AJ267" i="1"/>
  <c r="AH249" i="1"/>
  <c r="AI249" i="1" s="1"/>
  <c r="AH206" i="1"/>
  <c r="AI206" i="1" s="1"/>
  <c r="AL476" i="1"/>
  <c r="AM476" i="1" s="1"/>
  <c r="AL402" i="1"/>
  <c r="AM402" i="1" s="1"/>
  <c r="AH330" i="1"/>
  <c r="AI330" i="1" s="1"/>
  <c r="AL198" i="1"/>
  <c r="AM198" i="1" s="1"/>
  <c r="AL411" i="1"/>
  <c r="AM411" i="1" s="1"/>
  <c r="AL425" i="1"/>
  <c r="AM425" i="1" s="1"/>
  <c r="AJ136" i="1"/>
  <c r="AK136" i="1" s="1"/>
  <c r="AJ112" i="1"/>
  <c r="AK112" i="1" s="1"/>
  <c r="AL410" i="1"/>
  <c r="AM410" i="1" s="1"/>
  <c r="AL200" i="1"/>
  <c r="AM200" i="1" s="1"/>
  <c r="AH31" i="1"/>
  <c r="AI31" i="1" s="1"/>
  <c r="AJ31" i="1"/>
  <c r="AK31" i="1" s="1"/>
  <c r="AL533" i="1"/>
  <c r="AM533" i="1" s="1"/>
  <c r="AH463" i="1"/>
  <c r="AI463" i="1" s="1"/>
  <c r="AH293" i="1"/>
  <c r="AI293" i="1" s="1"/>
  <c r="AH136" i="1"/>
  <c r="AI136" i="1" s="1"/>
  <c r="AH72" i="1"/>
  <c r="AI72" i="1" s="1"/>
  <c r="AL361" i="1"/>
  <c r="AM361" i="1" s="1"/>
  <c r="AJ167" i="1"/>
  <c r="AK167" i="1" s="1"/>
  <c r="AJ63" i="1"/>
  <c r="AK63" i="1" s="1"/>
  <c r="AL403" i="1"/>
  <c r="AM403" i="1" s="1"/>
  <c r="AL236" i="1"/>
  <c r="AM236" i="1" s="1"/>
  <c r="AL182" i="1"/>
  <c r="AM182" i="1" s="1"/>
  <c r="AH162" i="1"/>
  <c r="AI162" i="1" s="1"/>
  <c r="AL134" i="1"/>
  <c r="AM134" i="1" s="1"/>
  <c r="AL70" i="1"/>
  <c r="AM70" i="1" s="1"/>
  <c r="AL248" i="1"/>
  <c r="AM248" i="1" s="1"/>
  <c r="AL107" i="1"/>
  <c r="AM107" i="1" s="1"/>
  <c r="AH29" i="1"/>
  <c r="AI29" i="1" s="1"/>
  <c r="AH338" i="1"/>
  <c r="AI338" i="1" s="1"/>
  <c r="AJ118" i="1"/>
  <c r="AK118" i="1" s="1"/>
  <c r="AL108" i="1"/>
  <c r="AM108" i="1" s="1"/>
  <c r="AL80" i="1"/>
  <c r="AL79" i="1"/>
  <c r="AL9" i="1"/>
  <c r="AM9" i="1" s="1"/>
  <c r="AJ1247" i="1"/>
  <c r="AK1247" i="1" s="1"/>
  <c r="AL1273" i="1"/>
  <c r="AM1273" i="1" s="1"/>
  <c r="AH1054" i="1"/>
  <c r="AI1054" i="1" s="1"/>
  <c r="AJ996" i="1"/>
  <c r="AH780" i="1"/>
  <c r="AI780" i="1" s="1"/>
  <c r="AL607" i="1"/>
  <c r="AM607" i="1" s="1"/>
  <c r="AJ453" i="1"/>
  <c r="AK453" i="1" s="1"/>
  <c r="AH341" i="1"/>
  <c r="AI341" i="1" s="1"/>
  <c r="AJ341" i="1"/>
  <c r="AK341" i="1" s="1"/>
  <c r="AH193" i="1"/>
  <c r="AI193" i="1" s="1"/>
  <c r="AH138" i="1"/>
  <c r="AI138" i="1" s="1"/>
  <c r="AL1576" i="1"/>
  <c r="AM1576" i="1" s="1"/>
  <c r="AL1560" i="1"/>
  <c r="AM1560" i="1" s="1"/>
  <c r="AH1569" i="1"/>
  <c r="AI1569" i="1" s="1"/>
  <c r="AL1552" i="1"/>
  <c r="AM1552" i="1" s="1"/>
  <c r="AL1578" i="1"/>
  <c r="AM1578" i="1" s="1"/>
  <c r="AJ1489" i="1"/>
  <c r="AK1489" i="1" s="1"/>
  <c r="AL1515" i="1"/>
  <c r="AM1515" i="1" s="1"/>
  <c r="AJ1499" i="1"/>
  <c r="AK1499" i="1" s="1"/>
  <c r="AL1491" i="1"/>
  <c r="AM1491" i="1" s="1"/>
  <c r="AH1461" i="1"/>
  <c r="AI1461" i="1" s="1"/>
  <c r="AJ1452" i="1"/>
  <c r="AK1452" i="1" s="1"/>
  <c r="AJ1445" i="1"/>
  <c r="AK1445" i="1" s="1"/>
  <c r="AJ1429" i="1"/>
  <c r="AK1429" i="1" s="1"/>
  <c r="AH1467" i="1"/>
  <c r="AI1467" i="1" s="1"/>
  <c r="AJ1348" i="1"/>
  <c r="AK1348" i="1" s="1"/>
  <c r="AL1361" i="1"/>
  <c r="AM1361" i="1" s="1"/>
  <c r="AJ1350" i="1"/>
  <c r="AK1350" i="1" s="1"/>
  <c r="AH1350" i="1"/>
  <c r="AI1350" i="1" s="1"/>
  <c r="AH1296" i="1"/>
  <c r="AI1296" i="1" s="1"/>
  <c r="AJ1387" i="1"/>
  <c r="AK1387" i="1" s="1"/>
  <c r="AL1345" i="1"/>
  <c r="AM1345" i="1" s="1"/>
  <c r="AL1290" i="1"/>
  <c r="AJ1248" i="1"/>
  <c r="AK1248" i="1" s="1"/>
  <c r="AJ1176" i="1"/>
  <c r="AK1176" i="1" s="1"/>
  <c r="AH1241" i="1"/>
  <c r="AI1241" i="1" s="1"/>
  <c r="AJ1241" i="1"/>
  <c r="AK1241" i="1" s="1"/>
  <c r="AJ1223" i="1"/>
  <c r="AK1223" i="1" s="1"/>
  <c r="AL1201" i="1"/>
  <c r="AM1201" i="1" s="1"/>
  <c r="AH1177" i="1"/>
  <c r="AI1177" i="1" s="1"/>
  <c r="AJ1177" i="1"/>
  <c r="AK1177" i="1" s="1"/>
  <c r="AH1186" i="1"/>
  <c r="AI1186" i="1" s="1"/>
  <c r="AH1265" i="1"/>
  <c r="AI1265" i="1" s="1"/>
  <c r="AL1215" i="1"/>
  <c r="AM1215" i="1" s="1"/>
  <c r="AH1365" i="1"/>
  <c r="AI1365" i="1" s="1"/>
  <c r="AH1230" i="1"/>
  <c r="AI1230" i="1" s="1"/>
  <c r="AL1170" i="1"/>
  <c r="AM1170" i="1" s="1"/>
  <c r="AH1286" i="1"/>
  <c r="AI1286" i="1" s="1"/>
  <c r="AJ1161" i="1"/>
  <c r="AK1161" i="1" s="1"/>
  <c r="AJ1097" i="1"/>
  <c r="AH1193" i="1"/>
  <c r="AH1136" i="1"/>
  <c r="AI1136" i="1" s="1"/>
  <c r="AH1163" i="1"/>
  <c r="AI1163" i="1" s="1"/>
  <c r="AH1063" i="1"/>
  <c r="AI1063" i="1" s="1"/>
  <c r="AH1102" i="1"/>
  <c r="AI1102" i="1" s="1"/>
  <c r="AH1038" i="1"/>
  <c r="AI1038" i="1" s="1"/>
  <c r="AL1143" i="1"/>
  <c r="AM1143" i="1" s="1"/>
  <c r="AJ1080" i="1"/>
  <c r="AK1080" i="1" s="1"/>
  <c r="AJ1005" i="1"/>
  <c r="AH1152" i="1"/>
  <c r="AI1152" i="1" s="1"/>
  <c r="AJ998" i="1"/>
  <c r="AK998" i="1" s="1"/>
  <c r="AH900" i="1"/>
  <c r="AI900" i="1" s="1"/>
  <c r="AL1045" i="1"/>
  <c r="AM1045" i="1" s="1"/>
  <c r="AJ951" i="1"/>
  <c r="AK951" i="1" s="1"/>
  <c r="AH951" i="1"/>
  <c r="AI951" i="1" s="1"/>
  <c r="AJ895" i="1"/>
  <c r="AK895" i="1" s="1"/>
  <c r="AH895" i="1"/>
  <c r="AI895" i="1" s="1"/>
  <c r="AL948" i="1"/>
  <c r="AH886" i="1"/>
  <c r="AI886" i="1" s="1"/>
  <c r="AJ964" i="1"/>
  <c r="AK964" i="1" s="1"/>
  <c r="AJ865" i="1"/>
  <c r="AK865" i="1" s="1"/>
  <c r="AJ776" i="1"/>
  <c r="AK776" i="1" s="1"/>
  <c r="AL911" i="1"/>
  <c r="AM911" i="1" s="1"/>
  <c r="AJ855" i="1"/>
  <c r="AK855" i="1" s="1"/>
  <c r="AH855" i="1"/>
  <c r="AI855" i="1" s="1"/>
  <c r="AJ821" i="1"/>
  <c r="AK821" i="1" s="1"/>
  <c r="AL828" i="1"/>
  <c r="AM828" i="1" s="1"/>
  <c r="AL812" i="1"/>
  <c r="AM812" i="1" s="1"/>
  <c r="AH776" i="1"/>
  <c r="AI776" i="1" s="1"/>
  <c r="AL825" i="1"/>
  <c r="AM825" i="1" s="1"/>
  <c r="AL908" i="1"/>
  <c r="AM908" i="1" s="1"/>
  <c r="AH836" i="1"/>
  <c r="AH804" i="1"/>
  <c r="AI804" i="1" s="1"/>
  <c r="AH878" i="1"/>
  <c r="AI878" i="1" s="1"/>
  <c r="AJ717" i="1"/>
  <c r="AK717" i="1" s="1"/>
  <c r="AH854" i="1"/>
  <c r="AI854" i="1" s="1"/>
  <c r="AH838" i="1"/>
  <c r="AI838" i="1" s="1"/>
  <c r="AH754" i="1"/>
  <c r="AI754" i="1" s="1"/>
  <c r="AH730" i="1"/>
  <c r="AI730" i="1" s="1"/>
  <c r="AH702" i="1"/>
  <c r="AI702" i="1" s="1"/>
  <c r="AJ702" i="1"/>
  <c r="AK702" i="1" s="1"/>
  <c r="AH860" i="1"/>
  <c r="AI860" i="1" s="1"/>
  <c r="AJ689" i="1"/>
  <c r="AK689" i="1" s="1"/>
  <c r="AH683" i="1"/>
  <c r="AI683" i="1" s="1"/>
  <c r="AJ639" i="1"/>
  <c r="AK639" i="1" s="1"/>
  <c r="AJ583" i="1"/>
  <c r="AK583" i="1" s="1"/>
  <c r="AH707" i="1"/>
  <c r="AI707" i="1" s="1"/>
  <c r="AJ609" i="1"/>
  <c r="AK609" i="1" s="1"/>
  <c r="AL741" i="1"/>
  <c r="AM741" i="1" s="1"/>
  <c r="AH715" i="1"/>
  <c r="AI715" i="1" s="1"/>
  <c r="AL685" i="1"/>
  <c r="AH620" i="1"/>
  <c r="AI620" i="1" s="1"/>
  <c r="AJ598" i="1"/>
  <c r="AK598" i="1" s="1"/>
  <c r="AH553" i="1"/>
  <c r="AI553" i="1" s="1"/>
  <c r="AL588" i="1"/>
  <c r="AM588" i="1" s="1"/>
  <c r="AH782" i="1"/>
  <c r="AI782" i="1" s="1"/>
  <c r="AH653" i="1"/>
  <c r="AI653" i="1" s="1"/>
  <c r="AJ448" i="1"/>
  <c r="AK448" i="1" s="1"/>
  <c r="AL447" i="1"/>
  <c r="AM447" i="1" s="1"/>
  <c r="AH880" i="1"/>
  <c r="AI880" i="1" s="1"/>
  <c r="AL440" i="1"/>
  <c r="AJ204" i="1"/>
  <c r="AJ249" i="1"/>
  <c r="AK249" i="1" s="1"/>
  <c r="AJ246" i="1"/>
  <c r="AK246" i="1" s="1"/>
  <c r="AJ411" i="1"/>
  <c r="AJ387" i="1"/>
  <c r="AK387" i="1" s="1"/>
  <c r="AH361" i="1"/>
  <c r="AI361" i="1" s="1"/>
  <c r="AH313" i="1"/>
  <c r="AI313" i="1" s="1"/>
  <c r="AL285" i="1"/>
  <c r="AM285" i="1" s="1"/>
  <c r="AH265" i="1"/>
  <c r="AI265" i="1" s="1"/>
  <c r="AJ200" i="1"/>
  <c r="AK200" i="1" s="1"/>
  <c r="AH476" i="1"/>
  <c r="AI476" i="1" s="1"/>
  <c r="AH402" i="1"/>
  <c r="AI402" i="1" s="1"/>
  <c r="AH189" i="1"/>
  <c r="AI189" i="1" s="1"/>
  <c r="AL419" i="1"/>
  <c r="AL211" i="1"/>
  <c r="AM211" i="1" s="1"/>
  <c r="AJ80" i="1"/>
  <c r="AK80" i="1" s="1"/>
  <c r="AJ56" i="1"/>
  <c r="AK56" i="1" s="1"/>
  <c r="AH12" i="1"/>
  <c r="AI12" i="1" s="1"/>
  <c r="AH410" i="1"/>
  <c r="AL237" i="1"/>
  <c r="AM237" i="1" s="1"/>
  <c r="AL395" i="1"/>
  <c r="AM395" i="1" s="1"/>
  <c r="AJ187" i="1"/>
  <c r="AK187" i="1" s="1"/>
  <c r="AH168" i="1"/>
  <c r="AI168" i="1" s="1"/>
  <c r="AH64" i="1"/>
  <c r="AI64" i="1" s="1"/>
  <c r="AL30" i="1"/>
  <c r="AM30" i="1" s="1"/>
  <c r="AL14" i="1"/>
  <c r="AM14" i="1" s="1"/>
  <c r="AJ159" i="1"/>
  <c r="AK159" i="1" s="1"/>
  <c r="AJ119" i="1"/>
  <c r="AK119" i="1" s="1"/>
  <c r="AH81" i="1"/>
  <c r="AI81" i="1" s="1"/>
  <c r="AJ81" i="1"/>
  <c r="AK81" i="1" s="1"/>
  <c r="AL355" i="1"/>
  <c r="AM355" i="1" s="1"/>
  <c r="AH90" i="1"/>
  <c r="AI90" i="1" s="1"/>
  <c r="AJ22" i="1"/>
  <c r="AK22" i="1" s="1"/>
  <c r="AJ6" i="1"/>
  <c r="AK6" i="1" s="1"/>
  <c r="AL379" i="1"/>
  <c r="AM379" i="1" s="1"/>
  <c r="AL178" i="1"/>
  <c r="AM178" i="1" s="1"/>
  <c r="AL167" i="1"/>
  <c r="AM167" i="1" s="1"/>
  <c r="AJ166" i="1"/>
  <c r="AK166" i="1" s="1"/>
  <c r="AL66" i="1"/>
  <c r="AM66" i="1" s="1"/>
  <c r="AL17" i="1"/>
  <c r="AL81" i="1"/>
  <c r="AH108" i="1"/>
  <c r="AI108" i="1" s="1"/>
  <c r="AL1532" i="1"/>
  <c r="AH1532" i="1"/>
  <c r="AI1532" i="1" s="1"/>
  <c r="AH1127" i="1"/>
  <c r="AI1127" i="1" s="1"/>
  <c r="AJ1222" i="1"/>
  <c r="AK1222" i="1" s="1"/>
  <c r="AL1054" i="1"/>
  <c r="AM1054" i="1" s="1"/>
  <c r="AJ1020" i="1"/>
  <c r="AK1020" i="1" s="1"/>
  <c r="AH686" i="1"/>
  <c r="AJ686" i="1"/>
  <c r="AK686" i="1" s="1"/>
  <c r="AL601" i="1"/>
  <c r="AM601" i="1" s="1"/>
  <c r="AH65" i="1"/>
  <c r="AI65" i="1" s="1"/>
  <c r="AJ65" i="1"/>
  <c r="AJ1484" i="1"/>
  <c r="AK1484" i="1" s="1"/>
  <c r="AH1484" i="1"/>
  <c r="AI1484" i="1" s="1"/>
  <c r="AJ1454" i="1"/>
  <c r="AK1454" i="1" s="1"/>
  <c r="AH1454" i="1"/>
  <c r="AI1454" i="1" s="1"/>
  <c r="AH1483" i="1"/>
  <c r="AJ1478" i="1"/>
  <c r="AK1478" i="1" s="1"/>
  <c r="AH1377" i="1"/>
  <c r="AI1377" i="1" s="1"/>
  <c r="AJ1299" i="1"/>
  <c r="AK1299" i="1" s="1"/>
  <c r="AL1377" i="1"/>
  <c r="AM1377" i="1" s="1"/>
  <c r="AH1280" i="1"/>
  <c r="AJ1240" i="1"/>
  <c r="AK1240" i="1" s="1"/>
  <c r="AH1221" i="1"/>
  <c r="AI1221" i="1" s="1"/>
  <c r="AH1169" i="1"/>
  <c r="AI1169" i="1" s="1"/>
  <c r="AJ1169" i="1"/>
  <c r="AK1169" i="1" s="1"/>
  <c r="AH1358" i="1"/>
  <c r="AI1358" i="1" s="1"/>
  <c r="AL1186" i="1"/>
  <c r="AM1186" i="1" s="1"/>
  <c r="AL1194" i="1"/>
  <c r="AM1194" i="1" s="1"/>
  <c r="AJ1137" i="1"/>
  <c r="AK1137" i="1" s="1"/>
  <c r="AH968" i="1"/>
  <c r="AI968" i="1" s="1"/>
  <c r="AJ968" i="1"/>
  <c r="AK968" i="1" s="1"/>
  <c r="AL1097" i="1"/>
  <c r="AM1097" i="1" s="1"/>
  <c r="AJ953" i="1"/>
  <c r="AK953" i="1" s="1"/>
  <c r="AJ954" i="1"/>
  <c r="AH954" i="1"/>
  <c r="AI954" i="1" s="1"/>
  <c r="AJ943" i="1"/>
  <c r="AK943" i="1" s="1"/>
  <c r="AH943" i="1"/>
  <c r="AI943" i="1" s="1"/>
  <c r="AJ887" i="1"/>
  <c r="AH887" i="1"/>
  <c r="AI887" i="1" s="1"/>
  <c r="AL1008" i="1"/>
  <c r="AM1008" i="1" s="1"/>
  <c r="AJ816" i="1"/>
  <c r="AK816" i="1" s="1"/>
  <c r="AJ847" i="1"/>
  <c r="AK847" i="1" s="1"/>
  <c r="AH847" i="1"/>
  <c r="AI847" i="1" s="1"/>
  <c r="AH1006" i="1"/>
  <c r="AI1006" i="1" s="1"/>
  <c r="AJ850" i="1"/>
  <c r="AK850" i="1" s="1"/>
  <c r="AH828" i="1"/>
  <c r="AI828" i="1" s="1"/>
  <c r="AH750" i="1"/>
  <c r="AI750" i="1" s="1"/>
  <c r="AJ750" i="1"/>
  <c r="AK750" i="1" s="1"/>
  <c r="AJ700" i="1"/>
  <c r="AK700" i="1" s="1"/>
  <c r="AL921" i="1"/>
  <c r="AM921" i="1" s="1"/>
  <c r="AL847" i="1"/>
  <c r="AM847" i="1" s="1"/>
  <c r="AL826" i="1"/>
  <c r="AM826" i="1" s="1"/>
  <c r="AJ575" i="1"/>
  <c r="AK575" i="1" s="1"/>
  <c r="AJ601" i="1"/>
  <c r="AK601" i="1" s="1"/>
  <c r="AH677" i="1"/>
  <c r="AH616" i="1"/>
  <c r="AI616" i="1" s="1"/>
  <c r="AJ616" i="1"/>
  <c r="AK616" i="1" s="1"/>
  <c r="AL733" i="1"/>
  <c r="AM733" i="1" s="1"/>
  <c r="AH571" i="1"/>
  <c r="AI571" i="1" s="1"/>
  <c r="AJ440" i="1"/>
  <c r="AK440" i="1" s="1"/>
  <c r="AJ493" i="1"/>
  <c r="AK493" i="1" s="1"/>
  <c r="AL638" i="1"/>
  <c r="AM638" i="1" s="1"/>
  <c r="AL583" i="1"/>
  <c r="AL553" i="1"/>
  <c r="AH509" i="1"/>
  <c r="AI509" i="1" s="1"/>
  <c r="AH479" i="1"/>
  <c r="AI479" i="1" s="1"/>
  <c r="AL539" i="1"/>
  <c r="AM539" i="1" s="1"/>
  <c r="AH236" i="1"/>
  <c r="AI236" i="1" s="1"/>
  <c r="AH527" i="1"/>
  <c r="AI527" i="1" s="1"/>
  <c r="AH357" i="1"/>
  <c r="AI357" i="1" s="1"/>
  <c r="AJ357" i="1"/>
  <c r="AH333" i="1"/>
  <c r="AI333" i="1" s="1"/>
  <c r="AJ333" i="1"/>
  <c r="AK333" i="1" s="1"/>
  <c r="AH241" i="1"/>
  <c r="AI241" i="1" s="1"/>
  <c r="AJ219" i="1"/>
  <c r="AL387" i="1"/>
  <c r="AM387" i="1" s="1"/>
  <c r="AJ176" i="1"/>
  <c r="AK176" i="1" s="1"/>
  <c r="AL377" i="1"/>
  <c r="AM377" i="1" s="1"/>
  <c r="AH23" i="1"/>
  <c r="AI23" i="1" s="1"/>
  <c r="AJ23" i="1"/>
  <c r="AK23" i="1" s="1"/>
  <c r="AH128" i="1"/>
  <c r="AI128" i="1" s="1"/>
  <c r="AH56" i="1"/>
  <c r="AI56" i="1" s="1"/>
  <c r="AL347" i="1"/>
  <c r="AM347" i="1" s="1"/>
  <c r="AH213" i="1"/>
  <c r="AI213" i="1" s="1"/>
  <c r="AH153" i="1"/>
  <c r="AI153" i="1" s="1"/>
  <c r="AJ153" i="1"/>
  <c r="AK153" i="1" s="1"/>
  <c r="AJ79" i="1"/>
  <c r="AK79" i="1" s="1"/>
  <c r="AH57" i="1"/>
  <c r="AI57" i="1" s="1"/>
  <c r="AJ57" i="1"/>
  <c r="AK57" i="1" s="1"/>
  <c r="AH178" i="1"/>
  <c r="AI178" i="1" s="1"/>
  <c r="AH130" i="1"/>
  <c r="AI130" i="1" s="1"/>
  <c r="AL168" i="1"/>
  <c r="AM168" i="1" s="1"/>
  <c r="AL72" i="1"/>
  <c r="AM72" i="1" s="1"/>
  <c r="AL152" i="1"/>
  <c r="AM152" i="1" s="1"/>
  <c r="AL162" i="1"/>
  <c r="AM162" i="1" s="1"/>
  <c r="AL58" i="1"/>
  <c r="AM58" i="1" s="1"/>
  <c r="AJ1" i="1"/>
  <c r="AK1" i="1" s="1"/>
  <c r="AH1" i="1"/>
  <c r="AI1" i="1" s="1"/>
  <c r="AL1" i="1"/>
  <c r="AM1" i="1" s="1"/>
  <c r="AL63" i="1"/>
  <c r="AM63" i="1" s="1"/>
  <c r="AL183" i="1"/>
  <c r="AM183" i="1" s="1"/>
  <c r="AH6" i="1"/>
  <c r="AI6" i="1" s="1"/>
  <c r="AL138" i="1"/>
  <c r="AM138" i="1" s="1"/>
  <c r="AL159" i="1"/>
  <c r="AM159" i="1" s="1"/>
  <c r="AL65" i="1"/>
  <c r="AM65" i="1" s="1"/>
  <c r="AL47" i="1"/>
  <c r="AM47" i="1" s="1"/>
  <c r="AL127" i="1"/>
  <c r="AH30" i="1"/>
  <c r="AI30" i="1" s="1"/>
  <c r="AL31" i="1"/>
  <c r="AM31" i="1" s="1"/>
  <c r="AJ1205" i="1"/>
  <c r="AK1205" i="1" s="1"/>
  <c r="AJ906" i="1"/>
  <c r="AK906" i="1" s="1"/>
  <c r="AH906" i="1"/>
  <c r="AI906" i="1" s="1"/>
  <c r="AH694" i="1"/>
  <c r="AI694" i="1" s="1"/>
  <c r="AJ694" i="1"/>
  <c r="AK694" i="1" s="1"/>
  <c r="AJ658" i="1"/>
  <c r="AK658" i="1" s="1"/>
  <c r="AH612" i="1"/>
  <c r="AI612" i="1" s="1"/>
  <c r="AJ499" i="1"/>
  <c r="AK499" i="1" s="1"/>
  <c r="AH499" i="1"/>
  <c r="AI499" i="1" s="1"/>
  <c r="AJ480" i="1"/>
  <c r="AK480" i="1" s="1"/>
  <c r="AH480" i="1"/>
  <c r="AI480" i="1" s="1"/>
  <c r="AJ379" i="1"/>
  <c r="AK379" i="1" s="1"/>
  <c r="AJ15" i="1"/>
  <c r="AK15" i="1" s="1"/>
  <c r="AH15" i="1"/>
  <c r="AI15" i="1" s="1"/>
  <c r="AH73" i="1"/>
  <c r="AI73" i="1" s="1"/>
  <c r="AJ73" i="1"/>
  <c r="AK73" i="1" s="1"/>
  <c r="AJ47" i="1"/>
  <c r="AK47" i="1" s="1"/>
  <c r="AJ1615" i="1"/>
  <c r="AK1615" i="1" s="1"/>
  <c r="AH1615" i="1"/>
  <c r="AI1615" i="1" s="1"/>
  <c r="AH1560" i="1"/>
  <c r="AI1560" i="1" s="1"/>
  <c r="AJ1537" i="1"/>
  <c r="AK1537" i="1" s="1"/>
  <c r="AJ1543" i="1"/>
  <c r="AK1543" i="1" s="1"/>
  <c r="AH1470" i="1"/>
  <c r="AJ1470" i="1"/>
  <c r="AK1470" i="1" s="1"/>
  <c r="AJ1430" i="1"/>
  <c r="AK1430" i="1" s="1"/>
  <c r="AH1430" i="1"/>
  <c r="AJ1428" i="1"/>
  <c r="AL1398" i="1"/>
  <c r="AM1398" i="1" s="1"/>
  <c r="AL1380" i="1"/>
  <c r="AM1380" i="1" s="1"/>
  <c r="AJ1366" i="1"/>
  <c r="AK1366" i="1" s="1"/>
  <c r="AJ1304" i="1"/>
  <c r="AK1304" i="1" s="1"/>
  <c r="AJ1355" i="1"/>
  <c r="AJ1231" i="1"/>
  <c r="AK1231" i="1" s="1"/>
  <c r="AL1209" i="1"/>
  <c r="AM1209" i="1" s="1"/>
  <c r="AL1193" i="1"/>
  <c r="AM1193" i="1" s="1"/>
  <c r="AJ1390" i="1"/>
  <c r="AL1271" i="1"/>
  <c r="AL1240" i="1"/>
  <c r="AM1240" i="1" s="1"/>
  <c r="AJ1175" i="1"/>
  <c r="AK1175" i="1" s="1"/>
  <c r="AL1220" i="1"/>
  <c r="AM1220" i="1" s="1"/>
  <c r="AL1167" i="1"/>
  <c r="AM1167" i="1" s="1"/>
  <c r="AL1229" i="1"/>
  <c r="AM1229" i="1" s="1"/>
  <c r="AL1176" i="1"/>
  <c r="AM1176" i="1" s="1"/>
  <c r="AJ1153" i="1"/>
  <c r="AK1153" i="1" s="1"/>
  <c r="AL1222" i="1"/>
  <c r="AM1222" i="1" s="1"/>
  <c r="AL1096" i="1"/>
  <c r="AM1096" i="1" s="1"/>
  <c r="AL1144" i="1"/>
  <c r="AM1144" i="1" s="1"/>
  <c r="AL1113" i="1"/>
  <c r="AM1113" i="1" s="1"/>
  <c r="AH1048" i="1"/>
  <c r="AI1048" i="1" s="1"/>
  <c r="AH976" i="1"/>
  <c r="AI976" i="1" s="1"/>
  <c r="AL1016" i="1"/>
  <c r="AM1016" i="1" s="1"/>
  <c r="AL1000" i="1"/>
  <c r="AM1000" i="1" s="1"/>
  <c r="AL996" i="1"/>
  <c r="AM996" i="1" s="1"/>
  <c r="AJ929" i="1"/>
  <c r="AK929" i="1" s="1"/>
  <c r="AL1004" i="1"/>
  <c r="AM1004" i="1" s="1"/>
  <c r="AH932" i="1"/>
  <c r="AI932" i="1" s="1"/>
  <c r="AL1036" i="1"/>
  <c r="AM1036" i="1" s="1"/>
  <c r="AH863" i="1"/>
  <c r="AJ863" i="1"/>
  <c r="AK863" i="1" s="1"/>
  <c r="AL1020" i="1"/>
  <c r="AM1020" i="1" s="1"/>
  <c r="AL912" i="1"/>
  <c r="AM912" i="1" s="1"/>
  <c r="AL876" i="1"/>
  <c r="AM876" i="1" s="1"/>
  <c r="AH905" i="1"/>
  <c r="AI905" i="1" s="1"/>
  <c r="AJ837" i="1"/>
  <c r="AK837" i="1" s="1"/>
  <c r="AJ927" i="1"/>
  <c r="AK927" i="1" s="1"/>
  <c r="AL836" i="1"/>
  <c r="AM836" i="1" s="1"/>
  <c r="AL820" i="1"/>
  <c r="AM820" i="1" s="1"/>
  <c r="AL804" i="1"/>
  <c r="AM804" i="1" s="1"/>
  <c r="AH784" i="1"/>
  <c r="AI784" i="1" s="1"/>
  <c r="AL849" i="1"/>
  <c r="AM849" i="1" s="1"/>
  <c r="AJ868" i="1"/>
  <c r="AK868" i="1" s="1"/>
  <c r="AH849" i="1"/>
  <c r="AL786" i="1"/>
  <c r="AM786" i="1" s="1"/>
  <c r="AH966" i="1"/>
  <c r="AI966" i="1" s="1"/>
  <c r="AH852" i="1"/>
  <c r="AI852" i="1" s="1"/>
  <c r="AL814" i="1"/>
  <c r="AM814" i="1" s="1"/>
  <c r="AH796" i="1"/>
  <c r="AI796" i="1" s="1"/>
  <c r="AJ764" i="1"/>
  <c r="AK764" i="1" s="1"/>
  <c r="AH742" i="1"/>
  <c r="AI742" i="1" s="1"/>
  <c r="AJ742" i="1"/>
  <c r="AJ716" i="1"/>
  <c r="AK716" i="1" s="1"/>
  <c r="AH974" i="1"/>
  <c r="AI974" i="1" s="1"/>
  <c r="AL837" i="1"/>
  <c r="AH812" i="1"/>
  <c r="AI812" i="1" s="1"/>
  <c r="AL702" i="1"/>
  <c r="AM702" i="1" s="1"/>
  <c r="AJ556" i="1"/>
  <c r="AK556" i="1" s="1"/>
  <c r="AH556" i="1"/>
  <c r="AI556" i="1" s="1"/>
  <c r="AJ559" i="1"/>
  <c r="AK559" i="1" s="1"/>
  <c r="AL730" i="1"/>
  <c r="AM730" i="1" s="1"/>
  <c r="AL691" i="1"/>
  <c r="AM691" i="1" s="1"/>
  <c r="AJ638" i="1"/>
  <c r="AK638" i="1" s="1"/>
  <c r="AH608" i="1"/>
  <c r="AI608" i="1" s="1"/>
  <c r="AJ608" i="1"/>
  <c r="AK608" i="1" s="1"/>
  <c r="AH569" i="1"/>
  <c r="AI569" i="1" s="1"/>
  <c r="AL684" i="1"/>
  <c r="AM684" i="1" s="1"/>
  <c r="AJ464" i="1"/>
  <c r="AK464" i="1" s="1"/>
  <c r="AH464" i="1"/>
  <c r="AI464" i="1" s="1"/>
  <c r="AL620" i="1"/>
  <c r="AM620" i="1" s="1"/>
  <c r="AL545" i="1"/>
  <c r="AM545" i="1" s="1"/>
  <c r="AL755" i="1"/>
  <c r="AM755" i="1" s="1"/>
  <c r="AL597" i="1"/>
  <c r="AJ461" i="1"/>
  <c r="AK461" i="1" s="1"/>
  <c r="AL612" i="1"/>
  <c r="AM612" i="1" s="1"/>
  <c r="AH528" i="1"/>
  <c r="AI528" i="1" s="1"/>
  <c r="AH493" i="1"/>
  <c r="AI493" i="1" s="1"/>
  <c r="AL491" i="1"/>
  <c r="AM491" i="1" s="1"/>
  <c r="AL448" i="1"/>
  <c r="AM448" i="1" s="1"/>
  <c r="AJ347" i="1"/>
  <c r="AJ299" i="1"/>
  <c r="AK299" i="1" s="1"/>
  <c r="AH273" i="1"/>
  <c r="AI273" i="1" s="1"/>
  <c r="AH257" i="1"/>
  <c r="AI257" i="1" s="1"/>
  <c r="AJ434" i="1"/>
  <c r="AK434" i="1" s="1"/>
  <c r="AH434" i="1"/>
  <c r="AI434" i="1" s="1"/>
  <c r="AL333" i="1"/>
  <c r="AM333" i="1" s="1"/>
  <c r="AL257" i="1"/>
  <c r="AM257" i="1" s="1"/>
  <c r="AL212" i="1"/>
  <c r="AM212" i="1" s="1"/>
  <c r="AL345" i="1"/>
  <c r="AM345" i="1" s="1"/>
  <c r="AL306" i="1"/>
  <c r="AM306" i="1" s="1"/>
  <c r="AL218" i="1"/>
  <c r="AM218" i="1" s="1"/>
  <c r="AL234" i="1"/>
  <c r="AM234" i="1" s="1"/>
  <c r="AL250" i="1"/>
  <c r="AM250" i="1" s="1"/>
  <c r="AL214" i="1"/>
  <c r="AM214" i="1" s="1"/>
  <c r="AJ39" i="1"/>
  <c r="AK39" i="1" s="1"/>
  <c r="AH39" i="1"/>
  <c r="AI39" i="1" s="1"/>
  <c r="AJ9" i="1"/>
  <c r="AK9" i="1" s="1"/>
  <c r="AL473" i="1"/>
  <c r="AM473" i="1" s="1"/>
  <c r="AL341" i="1"/>
  <c r="AM341" i="1" s="1"/>
  <c r="AL210" i="1"/>
  <c r="AM210" i="1" s="1"/>
  <c r="AL22" i="1"/>
  <c r="AL313" i="1"/>
  <c r="AM313" i="1" s="1"/>
  <c r="AL226" i="1"/>
  <c r="AM226" i="1" s="1"/>
  <c r="AL193" i="1"/>
  <c r="AM193" i="1" s="1"/>
  <c r="AJ135" i="1"/>
  <c r="AK135" i="1" s="1"/>
  <c r="AJ103" i="1"/>
  <c r="AK103" i="1" s="1"/>
  <c r="AJ71" i="1"/>
  <c r="AK71" i="1" s="1"/>
  <c r="AL322" i="1"/>
  <c r="AM322" i="1" s="1"/>
  <c r="AL283" i="1"/>
  <c r="AM283" i="1" s="1"/>
  <c r="AL206" i="1"/>
  <c r="AM206" i="1" s="1"/>
  <c r="AH170" i="1"/>
  <c r="AI170" i="1" s="1"/>
  <c r="AH122" i="1"/>
  <c r="AH58" i="1"/>
  <c r="AI58" i="1" s="1"/>
  <c r="AJ14" i="1"/>
  <c r="AK14" i="1" s="1"/>
  <c r="AL219" i="1"/>
  <c r="AM219" i="1" s="1"/>
  <c r="AL154" i="1"/>
  <c r="AM154" i="1" s="1"/>
  <c r="AL71" i="1"/>
  <c r="AM71" i="1" s="1"/>
  <c r="AJ12" i="1"/>
  <c r="AK12" i="1" s="1"/>
  <c r="AL33" i="1"/>
  <c r="AM33" i="1" s="1"/>
  <c r="AL146" i="1"/>
  <c r="AM146" i="1" s="1"/>
  <c r="AL57" i="1"/>
  <c r="AM57" i="1" s="1"/>
  <c r="AL23" i="1"/>
  <c r="AL144" i="1"/>
  <c r="AM144" i="1" s="1"/>
  <c r="AJ94" i="1"/>
  <c r="AK94" i="1" s="1"/>
  <c r="AJ937" i="1"/>
  <c r="AK937" i="1" s="1"/>
  <c r="AJ946" i="1"/>
  <c r="AK946" i="1" s="1"/>
  <c r="AH946" i="1"/>
  <c r="AI946" i="1" s="1"/>
  <c r="AJ871" i="1"/>
  <c r="AK871" i="1" s="1"/>
  <c r="AH871" i="1"/>
  <c r="AI871" i="1" s="1"/>
  <c r="AJ839" i="1"/>
  <c r="AK839" i="1" s="1"/>
  <c r="AH839" i="1"/>
  <c r="AI839" i="1" s="1"/>
  <c r="AJ781" i="1"/>
  <c r="AK781" i="1" s="1"/>
  <c r="AL781" i="1"/>
  <c r="AM781" i="1" s="1"/>
  <c r="AH718" i="1"/>
  <c r="AI718" i="1" s="1"/>
  <c r="AJ718" i="1"/>
  <c r="AK718" i="1" s="1"/>
  <c r="AJ564" i="1"/>
  <c r="AK564" i="1" s="1"/>
  <c r="AH564" i="1"/>
  <c r="AI564" i="1" s="1"/>
  <c r="AL757" i="1"/>
  <c r="AM757" i="1" s="1"/>
  <c r="AH584" i="1"/>
  <c r="AI584" i="1" s="1"/>
  <c r="AJ584" i="1"/>
  <c r="AK584" i="1" s="1"/>
  <c r="AL584" i="1"/>
  <c r="AM584" i="1" s="1"/>
  <c r="AJ427" i="1"/>
  <c r="AK427" i="1" s="1"/>
  <c r="AJ34" i="1"/>
  <c r="AK34" i="1" s="1"/>
  <c r="AH34" i="1"/>
  <c r="AI34" i="1" s="1"/>
  <c r="AL196" i="1"/>
  <c r="AM196" i="1" s="1"/>
  <c r="AJ28" i="1"/>
  <c r="AJ1548" i="1"/>
  <c r="AK1548" i="1" s="1"/>
  <c r="AH1548" i="1"/>
  <c r="AI1548" i="1" s="1"/>
  <c r="AH1533" i="1"/>
  <c r="AI1533" i="1" s="1"/>
  <c r="AL1548" i="1"/>
  <c r="AM1548" i="1" s="1"/>
  <c r="AJ1554" i="1"/>
  <c r="AK1554" i="1" s="1"/>
  <c r="AH1473" i="1"/>
  <c r="AI1473" i="1" s="1"/>
  <c r="AL1470" i="1"/>
  <c r="AM1470" i="1" s="1"/>
  <c r="AH1427" i="1"/>
  <c r="AI1427" i="1" s="1"/>
  <c r="AL1406" i="1"/>
  <c r="AM1406" i="1" s="1"/>
  <c r="AJ1380" i="1"/>
  <c r="AK1380" i="1" s="1"/>
  <c r="AL1462" i="1"/>
  <c r="AM1462" i="1" s="1"/>
  <c r="AH1355" i="1"/>
  <c r="AI1355" i="1" s="1"/>
  <c r="AJ1338" i="1"/>
  <c r="AK1338" i="1" s="1"/>
  <c r="AL1322" i="1"/>
  <c r="AM1322" i="1" s="1"/>
  <c r="AJ1272" i="1"/>
  <c r="AK1272" i="1" s="1"/>
  <c r="AH1249" i="1"/>
  <c r="AI1249" i="1" s="1"/>
  <c r="AJ1249" i="1"/>
  <c r="AK1249" i="1" s="1"/>
  <c r="AL1338" i="1"/>
  <c r="AM1338" i="1" s="1"/>
  <c r="AL1298" i="1"/>
  <c r="AJ1220" i="1"/>
  <c r="AK1220" i="1" s="1"/>
  <c r="AL1231" i="1"/>
  <c r="AM1231" i="1" s="1"/>
  <c r="AL1177" i="1"/>
  <c r="AM1177" i="1" s="1"/>
  <c r="AL1239" i="1"/>
  <c r="AM1239" i="1" s="1"/>
  <c r="AL1248" i="1"/>
  <c r="AM1248" i="1" s="1"/>
  <c r="AL1223" i="1"/>
  <c r="AM1223" i="1" s="1"/>
  <c r="AL1247" i="1"/>
  <c r="AM1247" i="1" s="1"/>
  <c r="AJ1129" i="1"/>
  <c r="AK1129" i="1" s="1"/>
  <c r="AJ1113" i="1"/>
  <c r="AK1113" i="1" s="1"/>
  <c r="AL1272" i="1"/>
  <c r="AH1139" i="1"/>
  <c r="AI1139" i="1" s="1"/>
  <c r="AJ1071" i="1"/>
  <c r="AK1071" i="1" s="1"/>
  <c r="AJ1029" i="1"/>
  <c r="AH1155" i="1"/>
  <c r="AI1155" i="1" s="1"/>
  <c r="AH1008" i="1"/>
  <c r="AI1008" i="1" s="1"/>
  <c r="AJ958" i="1"/>
  <c r="AK958" i="1" s="1"/>
  <c r="AL1161" i="1"/>
  <c r="AM1161" i="1" s="1"/>
  <c r="AH1073" i="1"/>
  <c r="AI1073" i="1" s="1"/>
  <c r="AJ938" i="1"/>
  <c r="AK938" i="1" s="1"/>
  <c r="AH938" i="1"/>
  <c r="AL992" i="1"/>
  <c r="AM992" i="1" s="1"/>
  <c r="AL968" i="1"/>
  <c r="AM968" i="1" s="1"/>
  <c r="AL932" i="1"/>
  <c r="AL871" i="1"/>
  <c r="AM871" i="1" s="1"/>
  <c r="AL954" i="1"/>
  <c r="AM954" i="1" s="1"/>
  <c r="AJ858" i="1"/>
  <c r="AK858" i="1" s="1"/>
  <c r="AL780" i="1"/>
  <c r="AM780" i="1" s="1"/>
  <c r="AL943" i="1"/>
  <c r="AM943" i="1" s="1"/>
  <c r="AL809" i="1"/>
  <c r="AM809" i="1" s="1"/>
  <c r="AH825" i="1"/>
  <c r="AI825" i="1" s="1"/>
  <c r="AL858" i="1"/>
  <c r="AM858" i="1" s="1"/>
  <c r="AH820" i="1"/>
  <c r="AI820" i="1" s="1"/>
  <c r="AL794" i="1"/>
  <c r="AM794" i="1" s="1"/>
  <c r="AH710" i="1"/>
  <c r="AI710" i="1" s="1"/>
  <c r="AJ710" i="1"/>
  <c r="AK710" i="1" s="1"/>
  <c r="AJ631" i="1"/>
  <c r="AK631" i="1" s="1"/>
  <c r="AH631" i="1"/>
  <c r="AI631" i="1" s="1"/>
  <c r="AJ607" i="1"/>
  <c r="AK607" i="1" s="1"/>
  <c r="AL716" i="1"/>
  <c r="AM716" i="1" s="1"/>
  <c r="AL710" i="1"/>
  <c r="AM710" i="1" s="1"/>
  <c r="AL756" i="1"/>
  <c r="AM756" i="1" s="1"/>
  <c r="AL791" i="1"/>
  <c r="AM791" i="1" s="1"/>
  <c r="AL604" i="1"/>
  <c r="AM604" i="1" s="1"/>
  <c r="AL616" i="1"/>
  <c r="AM616" i="1" s="1"/>
  <c r="AH539" i="1"/>
  <c r="AI539" i="1" s="1"/>
  <c r="AH453" i="1"/>
  <c r="AI453" i="1" s="1"/>
  <c r="AL608" i="1"/>
  <c r="AM608" i="1" s="1"/>
  <c r="AJ419" i="1"/>
  <c r="AK419" i="1" s="1"/>
  <c r="AJ395" i="1"/>
  <c r="AK395" i="1" s="1"/>
  <c r="AJ323" i="1"/>
  <c r="AL269" i="1"/>
  <c r="AM269" i="1" s="1"/>
  <c r="AH253" i="1"/>
  <c r="AI253" i="1" s="1"/>
  <c r="AJ253" i="1"/>
  <c r="AK253" i="1" s="1"/>
  <c r="AJ227" i="1"/>
  <c r="AH214" i="1"/>
  <c r="AI214" i="1" s="1"/>
  <c r="AH285" i="1"/>
  <c r="AI285" i="1" s="1"/>
  <c r="AH269" i="1"/>
  <c r="AI269" i="1" s="1"/>
  <c r="AL559" i="1"/>
  <c r="AM559" i="1" s="1"/>
  <c r="AH166" i="1"/>
  <c r="AI166" i="1" s="1"/>
  <c r="AL204" i="1"/>
  <c r="AM204" i="1" s="1"/>
  <c r="AJ7" i="1"/>
  <c r="AK7" i="1" s="1"/>
  <c r="AH7" i="1"/>
  <c r="AI7" i="1" s="1"/>
  <c r="AL188" i="1"/>
  <c r="AM188" i="1" s="1"/>
  <c r="AH146" i="1"/>
  <c r="AI146" i="1" s="1"/>
  <c r="AH50" i="1"/>
  <c r="AI50" i="1" s="1"/>
  <c r="AL89" i="1"/>
  <c r="AM89" i="1" s="1"/>
  <c r="AL50" i="1"/>
  <c r="AM50" i="1" s="1"/>
  <c r="AL170" i="1"/>
  <c r="AM170" i="1" s="1"/>
  <c r="AL90" i="1"/>
  <c r="AM90" i="1" s="1"/>
  <c r="AF1640" i="1" l="1" a="1"/>
  <c r="AF1640" i="1" s="1"/>
  <c r="AF1637" i="1" a="1"/>
  <c r="AF1637" i="1" s="1"/>
  <c r="AF1629" i="1" a="1"/>
  <c r="AF1629" i="1" s="1"/>
  <c r="AF1621" i="1" a="1"/>
  <c r="AF1621" i="1" s="1"/>
  <c r="AF1613" i="1" a="1"/>
  <c r="AF1613" i="1" s="1"/>
  <c r="AF1605" i="1" a="1"/>
  <c r="AF1605" i="1" s="1"/>
  <c r="AF1597" i="1" a="1"/>
  <c r="AF1597" i="1" s="1"/>
  <c r="AF1589" i="1" a="1"/>
  <c r="AF1589" i="1" s="1"/>
  <c r="AF1581" i="1" a="1"/>
  <c r="AF1581" i="1" s="1"/>
  <c r="AF1634" i="1" a="1"/>
  <c r="AF1634" i="1" s="1"/>
  <c r="AF1626" i="1" a="1"/>
  <c r="AF1626" i="1" s="1"/>
  <c r="AF1639" i="1" a="1"/>
  <c r="AF1639" i="1" s="1"/>
  <c r="AF1631" i="1" a="1"/>
  <c r="AF1631" i="1" s="1"/>
  <c r="AF1623" i="1" a="1"/>
  <c r="AF1623" i="1" s="1"/>
  <c r="AF1615" i="1" a="1"/>
  <c r="AF1615" i="1" s="1"/>
  <c r="AF1607" i="1" a="1"/>
  <c r="AF1607" i="1" s="1"/>
  <c r="AF1599" i="1" a="1"/>
  <c r="AF1599" i="1" s="1"/>
  <c r="AF1591" i="1" a="1"/>
  <c r="AF1591" i="1" s="1"/>
  <c r="AF1583" i="1" a="1"/>
  <c r="AF1583" i="1" s="1"/>
  <c r="AF1636" i="1" a="1"/>
  <c r="AF1636" i="1" s="1"/>
  <c r="AF1628" i="1" a="1"/>
  <c r="AF1628" i="1" s="1"/>
  <c r="AF1620" i="1" a="1"/>
  <c r="AF1620" i="1" s="1"/>
  <c r="AF1612" i="1" a="1"/>
  <c r="AF1612" i="1" s="1"/>
  <c r="AF1604" i="1" a="1"/>
  <c r="AF1604" i="1" s="1"/>
  <c r="AF1633" i="1" a="1"/>
  <c r="AF1633" i="1" s="1"/>
  <c r="AF1625" i="1" a="1"/>
  <c r="AF1625" i="1" s="1"/>
  <c r="AF1617" i="1" a="1"/>
  <c r="AF1617" i="1" s="1"/>
  <c r="AF1609" i="1" a="1"/>
  <c r="AF1609" i="1" s="1"/>
  <c r="AF1601" i="1" a="1"/>
  <c r="AF1601" i="1" s="1"/>
  <c r="AF1593" i="1" a="1"/>
  <c r="AF1593" i="1" s="1"/>
  <c r="AF1585" i="1" a="1"/>
  <c r="AF1585" i="1" s="1"/>
  <c r="AF1577" i="1" a="1"/>
  <c r="AF1577" i="1" s="1"/>
  <c r="AF1638" i="1" a="1"/>
  <c r="AF1638" i="1" s="1"/>
  <c r="AF1635" i="1" a="1"/>
  <c r="AF1635" i="1" s="1"/>
  <c r="AF1627" i="1" a="1"/>
  <c r="AF1627" i="1" s="1"/>
  <c r="AF1619" i="1" a="1"/>
  <c r="AF1619" i="1" s="1"/>
  <c r="AF1611" i="1" a="1"/>
  <c r="AF1611" i="1" s="1"/>
  <c r="AF1603" i="1" a="1"/>
  <c r="AF1603" i="1" s="1"/>
  <c r="AF1595" i="1" a="1"/>
  <c r="AF1595" i="1" s="1"/>
  <c r="AF1587" i="1" a="1"/>
  <c r="AF1587" i="1" s="1"/>
  <c r="AF1579" i="1" a="1"/>
  <c r="AF1579" i="1" s="1"/>
  <c r="AF1624" i="1" a="1"/>
  <c r="AF1624" i="1" s="1"/>
  <c r="AF1568" i="1" a="1"/>
  <c r="AF1568" i="1" s="1"/>
  <c r="AF1560" i="1" a="1"/>
  <c r="AF1560" i="1" s="1"/>
  <c r="AF1552" i="1" a="1"/>
  <c r="AF1552" i="1" s="1"/>
  <c r="AF1544" i="1" a="1"/>
  <c r="AF1544" i="1" s="1"/>
  <c r="AF1536" i="1" a="1"/>
  <c r="AF1536" i="1" s="1"/>
  <c r="AF1630" i="1" a="1"/>
  <c r="AF1630" i="1" s="1"/>
  <c r="AF1622" i="1" a="1"/>
  <c r="AF1622" i="1" s="1"/>
  <c r="AF1632" i="1" a="1"/>
  <c r="AF1632" i="1" s="1"/>
  <c r="AF1610" i="1" a="1"/>
  <c r="AF1610" i="1" s="1"/>
  <c r="AF1618" i="1" a="1"/>
  <c r="AF1618" i="1" s="1"/>
  <c r="AF1600" i="1" a="1"/>
  <c r="AF1600" i="1" s="1"/>
  <c r="AF1594" i="1" a="1"/>
  <c r="AF1594" i="1" s="1"/>
  <c r="AF1584" i="1" a="1"/>
  <c r="AF1584" i="1" s="1"/>
  <c r="AF1574" i="1" a="1"/>
  <c r="AF1574" i="1" s="1"/>
  <c r="AF1565" i="1" a="1"/>
  <c r="AF1565" i="1" s="1"/>
  <c r="AF1556" i="1" a="1"/>
  <c r="AF1556" i="1" s="1"/>
  <c r="AF1551" i="1" a="1"/>
  <c r="AF1551" i="1" s="1"/>
  <c r="AF1578" i="1" a="1"/>
  <c r="AF1578" i="1" s="1"/>
  <c r="AF1569" i="1" a="1"/>
  <c r="AF1569" i="1" s="1"/>
  <c r="AF1546" i="1" a="1"/>
  <c r="AF1546" i="1" s="1"/>
  <c r="AF1537" i="1" a="1"/>
  <c r="AF1537" i="1" s="1"/>
  <c r="AF1530" i="1" a="1"/>
  <c r="AF1530" i="1" s="1"/>
  <c r="AF1522" i="1" a="1"/>
  <c r="AF1522" i="1" s="1"/>
  <c r="AF1514" i="1" a="1"/>
  <c r="AF1514" i="1" s="1"/>
  <c r="AF1606" i="1" a="1"/>
  <c r="AF1606" i="1" s="1"/>
  <c r="AF1598" i="1" a="1"/>
  <c r="AF1598" i="1" s="1"/>
  <c r="AF1588" i="1" a="1"/>
  <c r="AF1588" i="1" s="1"/>
  <c r="AF1582" i="1" a="1"/>
  <c r="AF1582" i="1" s="1"/>
  <c r="AF1573" i="1" a="1"/>
  <c r="AF1573" i="1" s="1"/>
  <c r="AF1564" i="1" a="1"/>
  <c r="AF1564" i="1" s="1"/>
  <c r="AF1559" i="1" a="1"/>
  <c r="AF1559" i="1" s="1"/>
  <c r="AF1555" i="1" a="1"/>
  <c r="AF1555" i="1" s="1"/>
  <c r="AF1608" i="1" a="1"/>
  <c r="AF1608" i="1" s="1"/>
  <c r="AF1614" i="1" a="1"/>
  <c r="AF1614" i="1" s="1"/>
  <c r="AF1602" i="1" a="1"/>
  <c r="AF1602" i="1" s="1"/>
  <c r="AF1592" i="1" a="1"/>
  <c r="AF1592" i="1" s="1"/>
  <c r="AF1586" i="1" a="1"/>
  <c r="AF1586" i="1" s="1"/>
  <c r="AF1572" i="1" a="1"/>
  <c r="AF1572" i="1" s="1"/>
  <c r="AF1567" i="1" a="1"/>
  <c r="AF1567" i="1" s="1"/>
  <c r="AF1563" i="1" a="1"/>
  <c r="AF1563" i="1" s="1"/>
  <c r="AF1558" i="1" a="1"/>
  <c r="AF1558" i="1" s="1"/>
  <c r="AF1549" i="1" a="1"/>
  <c r="AF1549" i="1" s="1"/>
  <c r="AF1540" i="1" a="1"/>
  <c r="AF1540" i="1" s="1"/>
  <c r="AF1535" i="1" a="1"/>
  <c r="AF1535" i="1" s="1"/>
  <c r="AF1596" i="1" a="1"/>
  <c r="AF1596" i="1" s="1"/>
  <c r="AF1590" i="1" a="1"/>
  <c r="AF1590" i="1" s="1"/>
  <c r="AF1580" i="1" a="1"/>
  <c r="AF1580" i="1" s="1"/>
  <c r="AF1575" i="1" a="1"/>
  <c r="AF1575" i="1" s="1"/>
  <c r="AF1571" i="1" a="1"/>
  <c r="AF1571" i="1" s="1"/>
  <c r="AF1566" i="1" a="1"/>
  <c r="AF1566" i="1" s="1"/>
  <c r="AF1548" i="1" a="1"/>
  <c r="AF1548" i="1" s="1"/>
  <c r="AF1543" i="1" a="1"/>
  <c r="AF1543" i="1" s="1"/>
  <c r="AF1539" i="1" a="1"/>
  <c r="AF1539" i="1" s="1"/>
  <c r="AF1534" i="1" a="1"/>
  <c r="AF1534" i="1" s="1"/>
  <c r="AF1531" i="1" a="1"/>
  <c r="AF1531" i="1" s="1"/>
  <c r="AF1523" i="1" a="1"/>
  <c r="AF1523" i="1" s="1"/>
  <c r="AF1616" i="1" a="1"/>
  <c r="AF1616" i="1" s="1"/>
  <c r="AF1576" i="1" a="1"/>
  <c r="AF1576" i="1" s="1"/>
  <c r="AF1570" i="1" a="1"/>
  <c r="AF1570" i="1" s="1"/>
  <c r="AF1561" i="1" a="1"/>
  <c r="AF1561" i="1" s="1"/>
  <c r="AF1538" i="1" a="1"/>
  <c r="AF1538" i="1" s="1"/>
  <c r="AF1528" i="1" a="1"/>
  <c r="AF1528" i="1" s="1"/>
  <c r="AF1520" i="1" a="1"/>
  <c r="AF1520" i="1" s="1"/>
  <c r="AF1553" i="1" a="1"/>
  <c r="AF1553" i="1" s="1"/>
  <c r="AF1508" i="1" a="1"/>
  <c r="AF1508" i="1" s="1"/>
  <c r="AF1547" i="1" a="1"/>
  <c r="AF1547" i="1" s="1"/>
  <c r="AF1532" i="1" a="1"/>
  <c r="AF1532" i="1" s="1"/>
  <c r="AF1521" i="1" a="1"/>
  <c r="AF1521" i="1" s="1"/>
  <c r="AF1513" i="1" a="1"/>
  <c r="AF1513" i="1" s="1"/>
  <c r="AF1505" i="1" a="1"/>
  <c r="AF1505" i="1" s="1"/>
  <c r="AF1497" i="1" a="1"/>
  <c r="AF1497" i="1" s="1"/>
  <c r="AF1489" i="1" a="1"/>
  <c r="AF1489" i="1" s="1"/>
  <c r="AF1481" i="1" a="1"/>
  <c r="AF1481" i="1" s="1"/>
  <c r="AF1473" i="1" a="1"/>
  <c r="AF1473" i="1" s="1"/>
  <c r="AF1562" i="1" a="1"/>
  <c r="AF1562" i="1" s="1"/>
  <c r="AF1550" i="1" a="1"/>
  <c r="AF1550" i="1" s="1"/>
  <c r="AF1541" i="1" a="1"/>
  <c r="AF1541" i="1" s="1"/>
  <c r="AF1533" i="1" a="1"/>
  <c r="AF1533" i="1" s="1"/>
  <c r="AF1519" i="1" a="1"/>
  <c r="AF1519" i="1" s="1"/>
  <c r="AF1510" i="1" a="1"/>
  <c r="AF1510" i="1" s="1"/>
  <c r="AF1502" i="1" a="1"/>
  <c r="AF1502" i="1" s="1"/>
  <c r="AF1494" i="1" a="1"/>
  <c r="AF1494" i="1" s="1"/>
  <c r="AF1486" i="1" a="1"/>
  <c r="AF1486" i="1" s="1"/>
  <c r="AF1478" i="1" a="1"/>
  <c r="AF1478" i="1" s="1"/>
  <c r="AF1518" i="1" a="1"/>
  <c r="AF1518" i="1" s="1"/>
  <c r="AF1507" i="1" a="1"/>
  <c r="AF1507" i="1" s="1"/>
  <c r="AF1499" i="1" a="1"/>
  <c r="AF1499" i="1" s="1"/>
  <c r="AF1545" i="1" a="1"/>
  <c r="AF1545" i="1" s="1"/>
  <c r="AF1542" i="1" a="1"/>
  <c r="AF1542" i="1" s="1"/>
  <c r="AF1524" i="1" a="1"/>
  <c r="AF1524" i="1" s="1"/>
  <c r="AF1517" i="1" a="1"/>
  <c r="AF1517" i="1" s="1"/>
  <c r="AF1516" i="1" a="1"/>
  <c r="AF1516" i="1" s="1"/>
  <c r="AF1512" i="1" a="1"/>
  <c r="AF1512" i="1" s="1"/>
  <c r="AF1504" i="1" a="1"/>
  <c r="AF1504" i="1" s="1"/>
  <c r="AF1496" i="1" a="1"/>
  <c r="AF1496" i="1" s="1"/>
  <c r="AF1554" i="1" a="1"/>
  <c r="AF1554" i="1" s="1"/>
  <c r="AF1527" i="1" a="1"/>
  <c r="AF1527" i="1" s="1"/>
  <c r="AF1526" i="1" a="1"/>
  <c r="AF1526" i="1" s="1"/>
  <c r="AF1529" i="1" a="1"/>
  <c r="AF1529" i="1" s="1"/>
  <c r="AF1506" i="1" a="1"/>
  <c r="AF1506" i="1" s="1"/>
  <c r="AF1498" i="1" a="1"/>
  <c r="AF1498" i="1" s="1"/>
  <c r="AF1490" i="1" a="1"/>
  <c r="AF1490" i="1" s="1"/>
  <c r="AF1482" i="1" a="1"/>
  <c r="AF1482" i="1" s="1"/>
  <c r="AF1474" i="1" a="1"/>
  <c r="AF1474" i="1" s="1"/>
  <c r="AF1515" i="1" a="1"/>
  <c r="AF1515" i="1" s="1"/>
  <c r="AF1503" i="1" a="1"/>
  <c r="AF1503" i="1" s="1"/>
  <c r="AF1500" i="1" a="1"/>
  <c r="AF1500" i="1" s="1"/>
  <c r="AF1484" i="1" a="1"/>
  <c r="AF1484" i="1" s="1"/>
  <c r="AF1468" i="1" a="1"/>
  <c r="AF1468" i="1" s="1"/>
  <c r="AF1460" i="1" a="1"/>
  <c r="AF1460" i="1" s="1"/>
  <c r="AF1452" i="1" a="1"/>
  <c r="AF1452" i="1" s="1"/>
  <c r="AF1444" i="1" a="1"/>
  <c r="AF1444" i="1" s="1"/>
  <c r="AF1436" i="1" a="1"/>
  <c r="AF1436" i="1" s="1"/>
  <c r="AF1428" i="1" a="1"/>
  <c r="AF1428" i="1" s="1"/>
  <c r="AF1495" i="1" a="1"/>
  <c r="AF1495" i="1" s="1"/>
  <c r="AF1485" i="1" a="1"/>
  <c r="AF1485" i="1" s="1"/>
  <c r="AF1475" i="1" a="1"/>
  <c r="AF1475" i="1" s="1"/>
  <c r="AF1457" i="1" a="1"/>
  <c r="AF1457" i="1" s="1"/>
  <c r="AF1449" i="1" a="1"/>
  <c r="AF1449" i="1" s="1"/>
  <c r="AF1441" i="1" a="1"/>
  <c r="AF1441" i="1" s="1"/>
  <c r="AF1433" i="1" a="1"/>
  <c r="AF1433" i="1" s="1"/>
  <c r="AF1488" i="1" a="1"/>
  <c r="AF1488" i="1" s="1"/>
  <c r="AF1487" i="1" a="1"/>
  <c r="AF1487" i="1" s="1"/>
  <c r="AF1476" i="1" a="1"/>
  <c r="AF1476" i="1" s="1"/>
  <c r="AF1470" i="1" a="1"/>
  <c r="AF1470" i="1" s="1"/>
  <c r="AF1462" i="1" a="1"/>
  <c r="AF1462" i="1" s="1"/>
  <c r="AF1501" i="1" a="1"/>
  <c r="AF1501" i="1" s="1"/>
  <c r="AF1477" i="1" a="1"/>
  <c r="AF1477" i="1" s="1"/>
  <c r="AF1467" i="1" a="1"/>
  <c r="AF1467" i="1" s="1"/>
  <c r="AF1459" i="1" a="1"/>
  <c r="AF1459" i="1" s="1"/>
  <c r="AF1451" i="1" a="1"/>
  <c r="AF1451" i="1" s="1"/>
  <c r="AF1443" i="1" a="1"/>
  <c r="AF1443" i="1" s="1"/>
  <c r="AF1435" i="1" a="1"/>
  <c r="AF1435" i="1" s="1"/>
  <c r="AF1427" i="1" a="1"/>
  <c r="AF1427" i="1" s="1"/>
  <c r="AF1480" i="1" a="1"/>
  <c r="AF1480" i="1" s="1"/>
  <c r="AF1479" i="1" a="1"/>
  <c r="AF1479" i="1" s="1"/>
  <c r="AF1464" i="1" a="1"/>
  <c r="AF1464" i="1" s="1"/>
  <c r="AF1456" i="1" a="1"/>
  <c r="AF1456" i="1" s="1"/>
  <c r="AF1448" i="1" a="1"/>
  <c r="AF1448" i="1" s="1"/>
  <c r="AF1440" i="1" a="1"/>
  <c r="AF1440" i="1" s="1"/>
  <c r="AF1432" i="1" a="1"/>
  <c r="AF1432" i="1" s="1"/>
  <c r="AF1491" i="1" a="1"/>
  <c r="AF1491" i="1" s="1"/>
  <c r="AF1492" i="1" a="1"/>
  <c r="AF1492" i="1" s="1"/>
  <c r="AF1472" i="1" a="1"/>
  <c r="AF1472" i="1" s="1"/>
  <c r="AF1466" i="1" a="1"/>
  <c r="AF1466" i="1" s="1"/>
  <c r="AF1458" i="1" a="1"/>
  <c r="AF1458" i="1" s="1"/>
  <c r="AF1450" i="1" a="1"/>
  <c r="AF1450" i="1" s="1"/>
  <c r="AF1442" i="1" a="1"/>
  <c r="AF1442" i="1" s="1"/>
  <c r="AF1434" i="1" a="1"/>
  <c r="AF1434" i="1" s="1"/>
  <c r="AF1461" i="1" a="1"/>
  <c r="AF1461" i="1" s="1"/>
  <c r="AF1454" i="1" a="1"/>
  <c r="AF1454" i="1" s="1"/>
  <c r="AF1422" i="1" a="1"/>
  <c r="AF1422" i="1" s="1"/>
  <c r="AF1414" i="1" a="1"/>
  <c r="AF1414" i="1" s="1"/>
  <c r="AF1406" i="1" a="1"/>
  <c r="AF1406" i="1" s="1"/>
  <c r="AF1398" i="1" a="1"/>
  <c r="AF1398" i="1" s="1"/>
  <c r="AF1463" i="1" a="1"/>
  <c r="AF1463" i="1" s="1"/>
  <c r="AF1447" i="1" a="1"/>
  <c r="AF1447" i="1" s="1"/>
  <c r="AF1437" i="1" a="1"/>
  <c r="AF1437" i="1" s="1"/>
  <c r="AF1411" i="1" a="1"/>
  <c r="AF1411" i="1" s="1"/>
  <c r="AF1403" i="1" a="1"/>
  <c r="AF1403" i="1" s="1"/>
  <c r="AF1395" i="1" a="1"/>
  <c r="AF1395" i="1" s="1"/>
  <c r="AF1387" i="1" a="1"/>
  <c r="AF1387" i="1" s="1"/>
  <c r="AF1424" i="1" a="1"/>
  <c r="AF1424" i="1" s="1"/>
  <c r="AF1416" i="1" a="1"/>
  <c r="AF1416" i="1" s="1"/>
  <c r="AF1408" i="1" a="1"/>
  <c r="AF1408" i="1" s="1"/>
  <c r="AF1400" i="1" a="1"/>
  <c r="AF1400" i="1" s="1"/>
  <c r="AF1509" i="1" a="1"/>
  <c r="AF1509" i="1" s="1"/>
  <c r="AF1455" i="1" a="1"/>
  <c r="AF1455" i="1" s="1"/>
  <c r="AF1445" i="1" a="1"/>
  <c r="AF1445" i="1" s="1"/>
  <c r="AF1429" i="1" a="1"/>
  <c r="AF1429" i="1" s="1"/>
  <c r="AF1421" i="1" a="1"/>
  <c r="AF1421" i="1" s="1"/>
  <c r="AF1483" i="1" a="1"/>
  <c r="AF1483" i="1" s="1"/>
  <c r="AF1471" i="1" a="1"/>
  <c r="AF1471" i="1" s="1"/>
  <c r="AF1469" i="1" a="1"/>
  <c r="AF1469" i="1" s="1"/>
  <c r="AF1438" i="1" a="1"/>
  <c r="AF1438" i="1" s="1"/>
  <c r="AF1430" i="1" a="1"/>
  <c r="AF1430" i="1" s="1"/>
  <c r="AF1426" i="1" a="1"/>
  <c r="AF1426" i="1" s="1"/>
  <c r="AF1418" i="1" a="1"/>
  <c r="AF1418" i="1" s="1"/>
  <c r="AF1410" i="1" a="1"/>
  <c r="AF1410" i="1" s="1"/>
  <c r="AF1402" i="1" a="1"/>
  <c r="AF1402" i="1" s="1"/>
  <c r="AF1394" i="1" a="1"/>
  <c r="AF1394" i="1" s="1"/>
  <c r="AF1386" i="1" a="1"/>
  <c r="AF1386" i="1" s="1"/>
  <c r="AF1493" i="1" a="1"/>
  <c r="AF1493" i="1" s="1"/>
  <c r="AF1446" i="1" a="1"/>
  <c r="AF1446" i="1" s="1"/>
  <c r="AF1420" i="1" a="1"/>
  <c r="AF1420" i="1" s="1"/>
  <c r="AF1392" i="1" a="1"/>
  <c r="AF1392" i="1" s="1"/>
  <c r="AF1380" i="1" a="1"/>
  <c r="AF1380" i="1" s="1"/>
  <c r="AF1372" i="1" a="1"/>
  <c r="AF1372" i="1" s="1"/>
  <c r="AF1364" i="1" a="1"/>
  <c r="AF1364" i="1" s="1"/>
  <c r="AF1356" i="1" a="1"/>
  <c r="AF1356" i="1" s="1"/>
  <c r="AF1348" i="1" a="1"/>
  <c r="AF1348" i="1" s="1"/>
  <c r="AF1431" i="1" a="1"/>
  <c r="AF1431" i="1" s="1"/>
  <c r="AF1407" i="1" a="1"/>
  <c r="AF1407" i="1" s="1"/>
  <c r="AF1391" i="1" a="1"/>
  <c r="AF1391" i="1" s="1"/>
  <c r="AF1377" i="1" a="1"/>
  <c r="AF1377" i="1" s="1"/>
  <c r="AF1369" i="1" a="1"/>
  <c r="AF1369" i="1" s="1"/>
  <c r="AF1361" i="1" a="1"/>
  <c r="AF1361" i="1" s="1"/>
  <c r="AF1353" i="1" a="1"/>
  <c r="AF1353" i="1" s="1"/>
  <c r="AF1345" i="1" a="1"/>
  <c r="AF1345" i="1" s="1"/>
  <c r="AF1423" i="1" a="1"/>
  <c r="AF1423" i="1" s="1"/>
  <c r="AF1415" i="1" a="1"/>
  <c r="AF1415" i="1" s="1"/>
  <c r="AF1412" i="1" a="1"/>
  <c r="AF1412" i="1" s="1"/>
  <c r="AF1399" i="1" a="1"/>
  <c r="AF1399" i="1" s="1"/>
  <c r="AF1390" i="1" a="1"/>
  <c r="AF1390" i="1" s="1"/>
  <c r="AF1389" i="1" a="1"/>
  <c r="AF1389" i="1" s="1"/>
  <c r="AF1388" i="1" a="1"/>
  <c r="AF1388" i="1" s="1"/>
  <c r="AF1374" i="1" a="1"/>
  <c r="AF1374" i="1" s="1"/>
  <c r="AF1366" i="1" a="1"/>
  <c r="AF1366" i="1" s="1"/>
  <c r="AF1358" i="1" a="1"/>
  <c r="AF1358" i="1" s="1"/>
  <c r="AF1350" i="1" a="1"/>
  <c r="AF1350" i="1" s="1"/>
  <c r="AF1404" i="1" a="1"/>
  <c r="AF1404" i="1" s="1"/>
  <c r="AF1385" i="1" a="1"/>
  <c r="AF1385" i="1" s="1"/>
  <c r="AF1379" i="1" a="1"/>
  <c r="AF1379" i="1" s="1"/>
  <c r="AF1371" i="1" a="1"/>
  <c r="AF1371" i="1" s="1"/>
  <c r="AF1363" i="1" a="1"/>
  <c r="AF1363" i="1" s="1"/>
  <c r="AF1355" i="1" a="1"/>
  <c r="AF1355" i="1" s="1"/>
  <c r="AF1525" i="1" a="1"/>
  <c r="AF1525" i="1" s="1"/>
  <c r="AF1453" i="1" a="1"/>
  <c r="AF1453" i="1" s="1"/>
  <c r="AF1439" i="1" a="1"/>
  <c r="AF1439" i="1" s="1"/>
  <c r="AF1413" i="1" a="1"/>
  <c r="AF1413" i="1" s="1"/>
  <c r="AF1409" i="1" a="1"/>
  <c r="AF1409" i="1" s="1"/>
  <c r="AF1405" i="1" a="1"/>
  <c r="AF1405" i="1" s="1"/>
  <c r="AF1401" i="1" a="1"/>
  <c r="AF1401" i="1" s="1"/>
  <c r="AF1383" i="1" a="1"/>
  <c r="AF1383" i="1" s="1"/>
  <c r="AF1365" i="1" a="1"/>
  <c r="AF1365" i="1" s="1"/>
  <c r="AF1396" i="1" a="1"/>
  <c r="AF1396" i="1" s="1"/>
  <c r="AF1382" i="1" a="1"/>
  <c r="AF1382" i="1" s="1"/>
  <c r="AF1381" i="1" a="1"/>
  <c r="AF1381" i="1" s="1"/>
  <c r="AF1378" i="1" a="1"/>
  <c r="AF1378" i="1" s="1"/>
  <c r="AF1370" i="1" a="1"/>
  <c r="AF1370" i="1" s="1"/>
  <c r="AF1362" i="1" a="1"/>
  <c r="AF1362" i="1" s="1"/>
  <c r="AF1354" i="1" a="1"/>
  <c r="AF1354" i="1" s="1"/>
  <c r="AF1346" i="1" a="1"/>
  <c r="AF1346" i="1" s="1"/>
  <c r="AF1351" i="1" a="1"/>
  <c r="AF1351" i="1" s="1"/>
  <c r="AF1339" i="1" a="1"/>
  <c r="AF1339" i="1" s="1"/>
  <c r="AF1331" i="1" a="1"/>
  <c r="AF1331" i="1" s="1"/>
  <c r="AF1376" i="1" a="1"/>
  <c r="AF1376" i="1" s="1"/>
  <c r="AF1359" i="1" a="1"/>
  <c r="AF1359" i="1" s="1"/>
  <c r="AF1336" i="1" a="1"/>
  <c r="AF1336" i="1" s="1"/>
  <c r="AF1328" i="1" a="1"/>
  <c r="AF1328" i="1" s="1"/>
  <c r="AF1320" i="1" a="1"/>
  <c r="AF1320" i="1" s="1"/>
  <c r="AF1312" i="1" a="1"/>
  <c r="AF1312" i="1" s="1"/>
  <c r="AF1304" i="1" a="1"/>
  <c r="AF1304" i="1" s="1"/>
  <c r="AF1296" i="1" a="1"/>
  <c r="AF1296" i="1" s="1"/>
  <c r="AF1425" i="1" a="1"/>
  <c r="AF1425" i="1" s="1"/>
  <c r="AF1352" i="1" a="1"/>
  <c r="AF1352" i="1" s="1"/>
  <c r="AF1349" i="1" a="1"/>
  <c r="AF1349" i="1" s="1"/>
  <c r="AF1341" i="1" a="1"/>
  <c r="AF1341" i="1" s="1"/>
  <c r="AF1333" i="1" a="1"/>
  <c r="AF1333" i="1" s="1"/>
  <c r="AF1325" i="1" a="1"/>
  <c r="AF1325" i="1" s="1"/>
  <c r="AF1317" i="1" a="1"/>
  <c r="AF1317" i="1" s="1"/>
  <c r="AF1309" i="1" a="1"/>
  <c r="AF1309" i="1" s="1"/>
  <c r="AF1301" i="1" a="1"/>
  <c r="AF1301" i="1" s="1"/>
  <c r="AF1293" i="1" a="1"/>
  <c r="AF1293" i="1" s="1"/>
  <c r="AF1285" i="1" a="1"/>
  <c r="AF1285" i="1" s="1"/>
  <c r="AF1277" i="1" a="1"/>
  <c r="AF1277" i="1" s="1"/>
  <c r="AF1393" i="1" a="1"/>
  <c r="AF1393" i="1" s="1"/>
  <c r="AF1367" i="1" a="1"/>
  <c r="AF1367" i="1" s="1"/>
  <c r="AF1357" i="1" a="1"/>
  <c r="AF1357" i="1" s="1"/>
  <c r="AF1338" i="1" a="1"/>
  <c r="AF1338" i="1" s="1"/>
  <c r="AF1330" i="1" a="1"/>
  <c r="AF1330" i="1" s="1"/>
  <c r="AF1322" i="1" a="1"/>
  <c r="AF1322" i="1" s="1"/>
  <c r="AF1314" i="1" a="1"/>
  <c r="AF1314" i="1" s="1"/>
  <c r="AF1306" i="1" a="1"/>
  <c r="AF1306" i="1" s="1"/>
  <c r="AF1298" i="1" a="1"/>
  <c r="AF1298" i="1" s="1"/>
  <c r="AF1360" i="1" a="1"/>
  <c r="AF1360" i="1" s="1"/>
  <c r="AF1347" i="1" a="1"/>
  <c r="AF1347" i="1" s="1"/>
  <c r="AF1344" i="1" a="1"/>
  <c r="AF1344" i="1" s="1"/>
  <c r="AF1335" i="1" a="1"/>
  <c r="AF1335" i="1" s="1"/>
  <c r="AF1319" i="1" a="1"/>
  <c r="AF1319" i="1" s="1"/>
  <c r="AF1311" i="1" a="1"/>
  <c r="AF1311" i="1" s="1"/>
  <c r="AF1303" i="1" a="1"/>
  <c r="AF1303" i="1" s="1"/>
  <c r="AF1295" i="1" a="1"/>
  <c r="AF1295" i="1" s="1"/>
  <c r="AF1287" i="1" a="1"/>
  <c r="AF1287" i="1" s="1"/>
  <c r="AF1279" i="1" a="1"/>
  <c r="AF1279" i="1" s="1"/>
  <c r="AF1417" i="1" a="1"/>
  <c r="AF1417" i="1" s="1"/>
  <c r="AF1375" i="1" a="1"/>
  <c r="AF1375" i="1" s="1"/>
  <c r="AF1343" i="1" a="1"/>
  <c r="AF1343" i="1" s="1"/>
  <c r="AF1340" i="1" a="1"/>
  <c r="AF1340" i="1" s="1"/>
  <c r="AF1332" i="1" a="1"/>
  <c r="AF1332" i="1" s="1"/>
  <c r="AF1324" i="1" a="1"/>
  <c r="AF1324" i="1" s="1"/>
  <c r="AF1316" i="1" a="1"/>
  <c r="AF1316" i="1" s="1"/>
  <c r="AF1308" i="1" a="1"/>
  <c r="AF1308" i="1" s="1"/>
  <c r="AF1300" i="1" a="1"/>
  <c r="AF1300" i="1" s="1"/>
  <c r="AF1397" i="1" a="1"/>
  <c r="AF1397" i="1" s="1"/>
  <c r="AF1384" i="1" a="1"/>
  <c r="AF1384" i="1" s="1"/>
  <c r="AF1368" i="1" a="1"/>
  <c r="AF1368" i="1" s="1"/>
  <c r="AF1337" i="1" a="1"/>
  <c r="AF1337" i="1" s="1"/>
  <c r="AF1329" i="1" a="1"/>
  <c r="AF1329" i="1" s="1"/>
  <c r="AF1321" i="1" a="1"/>
  <c r="AF1321" i="1" s="1"/>
  <c r="AF1313" i="1" a="1"/>
  <c r="AF1313" i="1" s="1"/>
  <c r="AF1305" i="1" a="1"/>
  <c r="AF1305" i="1" s="1"/>
  <c r="AF1297" i="1" a="1"/>
  <c r="AF1297" i="1" s="1"/>
  <c r="AF1289" i="1" a="1"/>
  <c r="AF1289" i="1" s="1"/>
  <c r="AF1281" i="1" a="1"/>
  <c r="AF1281" i="1" s="1"/>
  <c r="AF1334" i="1" a="1"/>
  <c r="AF1334" i="1" s="1"/>
  <c r="AF1318" i="1" a="1"/>
  <c r="AF1318" i="1" s="1"/>
  <c r="AF1269" i="1" a="1"/>
  <c r="AF1269" i="1" s="1"/>
  <c r="AF1261" i="1" a="1"/>
  <c r="AF1261" i="1" s="1"/>
  <c r="AF1253" i="1" a="1"/>
  <c r="AF1253" i="1" s="1"/>
  <c r="AF1245" i="1" a="1"/>
  <c r="AF1245" i="1" s="1"/>
  <c r="AF1237" i="1" a="1"/>
  <c r="AF1237" i="1" s="1"/>
  <c r="AF1229" i="1" a="1"/>
  <c r="AF1229" i="1" s="1"/>
  <c r="AF1221" i="1" a="1"/>
  <c r="AF1221" i="1" s="1"/>
  <c r="AF1213" i="1" a="1"/>
  <c r="AF1213" i="1" s="1"/>
  <c r="AF1205" i="1" a="1"/>
  <c r="AF1205" i="1" s="1"/>
  <c r="AF1197" i="1" a="1"/>
  <c r="AF1197" i="1" s="1"/>
  <c r="AF1189" i="1" a="1"/>
  <c r="AF1189" i="1" s="1"/>
  <c r="AF1181" i="1" a="1"/>
  <c r="AF1181" i="1" s="1"/>
  <c r="AF1173" i="1" a="1"/>
  <c r="AF1173" i="1" s="1"/>
  <c r="AF1342" i="1" a="1"/>
  <c r="AF1342" i="1" s="1"/>
  <c r="AF1291" i="1" a="1"/>
  <c r="AF1291" i="1" s="1"/>
  <c r="AF1290" i="1" a="1"/>
  <c r="AF1290" i="1" s="1"/>
  <c r="AF1280" i="1" a="1"/>
  <c r="AF1280" i="1" s="1"/>
  <c r="AF1274" i="1" a="1"/>
  <c r="AF1274" i="1" s="1"/>
  <c r="AF1266" i="1" a="1"/>
  <c r="AF1266" i="1" s="1"/>
  <c r="AF1258" i="1" a="1"/>
  <c r="AF1258" i="1" s="1"/>
  <c r="AF1250" i="1" a="1"/>
  <c r="AF1250" i="1" s="1"/>
  <c r="AF1242" i="1" a="1"/>
  <c r="AF1242" i="1" s="1"/>
  <c r="AF1234" i="1" a="1"/>
  <c r="AF1234" i="1" s="1"/>
  <c r="AF1226" i="1" a="1"/>
  <c r="AF1226" i="1" s="1"/>
  <c r="AF1218" i="1" a="1"/>
  <c r="AF1218" i="1" s="1"/>
  <c r="AF1210" i="1" a="1"/>
  <c r="AF1210" i="1" s="1"/>
  <c r="AF1202" i="1" a="1"/>
  <c r="AF1202" i="1" s="1"/>
  <c r="AF1194" i="1" a="1"/>
  <c r="AF1194" i="1" s="1"/>
  <c r="AF1186" i="1" a="1"/>
  <c r="AF1186" i="1" s="1"/>
  <c r="AF1178" i="1" a="1"/>
  <c r="AF1178" i="1" s="1"/>
  <c r="AF1170" i="1" a="1"/>
  <c r="AF1170" i="1" s="1"/>
  <c r="AF1326" i="1" a="1"/>
  <c r="AF1326" i="1" s="1"/>
  <c r="AF1299" i="1" a="1"/>
  <c r="AF1299" i="1" s="1"/>
  <c r="AF1292" i="1" a="1"/>
  <c r="AF1292" i="1" s="1"/>
  <c r="AF1271" i="1" a="1"/>
  <c r="AF1271" i="1" s="1"/>
  <c r="AF1255" i="1" a="1"/>
  <c r="AF1255" i="1" s="1"/>
  <c r="AF1247" i="1" a="1"/>
  <c r="AF1247" i="1" s="1"/>
  <c r="AF1239" i="1" a="1"/>
  <c r="AF1239" i="1" s="1"/>
  <c r="AF1231" i="1" a="1"/>
  <c r="AF1231" i="1" s="1"/>
  <c r="AF1223" i="1" a="1"/>
  <c r="AF1223" i="1" s="1"/>
  <c r="AF1215" i="1" a="1"/>
  <c r="AF1215" i="1" s="1"/>
  <c r="AF1207" i="1" a="1"/>
  <c r="AF1207" i="1" s="1"/>
  <c r="AF1199" i="1" a="1"/>
  <c r="AF1199" i="1" s="1"/>
  <c r="AF1191" i="1" a="1"/>
  <c r="AF1191" i="1" s="1"/>
  <c r="AF1183" i="1" a="1"/>
  <c r="AF1183" i="1" s="1"/>
  <c r="AF1175" i="1" a="1"/>
  <c r="AF1175" i="1" s="1"/>
  <c r="AF1167" i="1" a="1"/>
  <c r="AF1167" i="1" s="1"/>
  <c r="AF1307" i="1" a="1"/>
  <c r="AF1307" i="1" s="1"/>
  <c r="AF1283" i="1" a="1"/>
  <c r="AF1283" i="1" s="1"/>
  <c r="AF1282" i="1" a="1"/>
  <c r="AF1282" i="1" s="1"/>
  <c r="AF1268" i="1" a="1"/>
  <c r="AF1268" i="1" s="1"/>
  <c r="AF1260" i="1" a="1"/>
  <c r="AF1260" i="1" s="1"/>
  <c r="AF1252" i="1" a="1"/>
  <c r="AF1252" i="1" s="1"/>
  <c r="AF1244" i="1" a="1"/>
  <c r="AF1244" i="1" s="1"/>
  <c r="AF1236" i="1" a="1"/>
  <c r="AF1236" i="1" s="1"/>
  <c r="AF1228" i="1" a="1"/>
  <c r="AF1228" i="1" s="1"/>
  <c r="AF1220" i="1" a="1"/>
  <c r="AF1220" i="1" s="1"/>
  <c r="AF1212" i="1" a="1"/>
  <c r="AF1212" i="1" s="1"/>
  <c r="AF1204" i="1" a="1"/>
  <c r="AF1204" i="1" s="1"/>
  <c r="AF1196" i="1" a="1"/>
  <c r="AF1196" i="1" s="1"/>
  <c r="AF1188" i="1" a="1"/>
  <c r="AF1188" i="1" s="1"/>
  <c r="AF1180" i="1" a="1"/>
  <c r="AF1180" i="1" s="1"/>
  <c r="AF1172" i="1" a="1"/>
  <c r="AF1172" i="1" s="1"/>
  <c r="AF1315" i="1" a="1"/>
  <c r="AF1315" i="1" s="1"/>
  <c r="AF1284" i="1" a="1"/>
  <c r="AF1284" i="1" s="1"/>
  <c r="AF1273" i="1" a="1"/>
  <c r="AF1273" i="1" s="1"/>
  <c r="AF1265" i="1" a="1"/>
  <c r="AF1265" i="1" s="1"/>
  <c r="AF1257" i="1" a="1"/>
  <c r="AF1257" i="1" s="1"/>
  <c r="AF1249" i="1" a="1"/>
  <c r="AF1249" i="1" s="1"/>
  <c r="AF1241" i="1" a="1"/>
  <c r="AF1241" i="1" s="1"/>
  <c r="AF1233" i="1" a="1"/>
  <c r="AF1233" i="1" s="1"/>
  <c r="AF1225" i="1" a="1"/>
  <c r="AF1225" i="1" s="1"/>
  <c r="AF1217" i="1" a="1"/>
  <c r="AF1217" i="1" s="1"/>
  <c r="AF1209" i="1" a="1"/>
  <c r="AF1209" i="1" s="1"/>
  <c r="AF1201" i="1" a="1"/>
  <c r="AF1201" i="1" s="1"/>
  <c r="AF1193" i="1" a="1"/>
  <c r="AF1193" i="1" s="1"/>
  <c r="AF1323" i="1" a="1"/>
  <c r="AF1323" i="1" s="1"/>
  <c r="AF1294" i="1" a="1"/>
  <c r="AF1294" i="1" s="1"/>
  <c r="AF1286" i="1" a="1"/>
  <c r="AF1286" i="1" s="1"/>
  <c r="AF1270" i="1" a="1"/>
  <c r="AF1270" i="1" s="1"/>
  <c r="AF1262" i="1" a="1"/>
  <c r="AF1262" i="1" s="1"/>
  <c r="AF1254" i="1" a="1"/>
  <c r="AF1254" i="1" s="1"/>
  <c r="AF1246" i="1" a="1"/>
  <c r="AF1246" i="1" s="1"/>
  <c r="AF1238" i="1" a="1"/>
  <c r="AF1238" i="1" s="1"/>
  <c r="AF1230" i="1" a="1"/>
  <c r="AF1230" i="1" s="1"/>
  <c r="AF1222" i="1" a="1"/>
  <c r="AF1222" i="1" s="1"/>
  <c r="AF1214" i="1" a="1"/>
  <c r="AF1214" i="1" s="1"/>
  <c r="AF1206" i="1" a="1"/>
  <c r="AF1206" i="1" s="1"/>
  <c r="AF1198" i="1" a="1"/>
  <c r="AF1198" i="1" s="1"/>
  <c r="AF1190" i="1" a="1"/>
  <c r="AF1190" i="1" s="1"/>
  <c r="AF1174" i="1" a="1"/>
  <c r="AF1174" i="1" s="1"/>
  <c r="AF1166" i="1" a="1"/>
  <c r="AF1166" i="1" s="1"/>
  <c r="AF1302" i="1" a="1"/>
  <c r="AF1302" i="1" s="1"/>
  <c r="AF1267" i="1" a="1"/>
  <c r="AF1267" i="1" s="1"/>
  <c r="AF1259" i="1" a="1"/>
  <c r="AF1259" i="1" s="1"/>
  <c r="AF1251" i="1" a="1"/>
  <c r="AF1251" i="1" s="1"/>
  <c r="AF1243" i="1" a="1"/>
  <c r="AF1243" i="1" s="1"/>
  <c r="AF1235" i="1" a="1"/>
  <c r="AF1235" i="1" s="1"/>
  <c r="AF1227" i="1" a="1"/>
  <c r="AF1227" i="1" s="1"/>
  <c r="AF1219" i="1" a="1"/>
  <c r="AF1219" i="1" s="1"/>
  <c r="AF1211" i="1" a="1"/>
  <c r="AF1211" i="1" s="1"/>
  <c r="AF1203" i="1" a="1"/>
  <c r="AF1203" i="1" s="1"/>
  <c r="AF1195" i="1" a="1"/>
  <c r="AF1195" i="1" s="1"/>
  <c r="AF1187" i="1" a="1"/>
  <c r="AF1187" i="1" s="1"/>
  <c r="AF1179" i="1" a="1"/>
  <c r="AF1179" i="1" s="1"/>
  <c r="AF1171" i="1" a="1"/>
  <c r="AF1171" i="1" s="1"/>
  <c r="AF1310" i="1" a="1"/>
  <c r="AF1310" i="1" s="1"/>
  <c r="AF1177" i="1" a="1"/>
  <c r="AF1177" i="1" s="1"/>
  <c r="AF1159" i="1" a="1"/>
  <c r="AF1159" i="1" s="1"/>
  <c r="AF1151" i="1" a="1"/>
  <c r="AF1151" i="1" s="1"/>
  <c r="AF1143" i="1" a="1"/>
  <c r="AF1143" i="1" s="1"/>
  <c r="AF1135" i="1" a="1"/>
  <c r="AF1135" i="1" s="1"/>
  <c r="AF1127" i="1" a="1"/>
  <c r="AF1127" i="1" s="1"/>
  <c r="AF1119" i="1" a="1"/>
  <c r="AF1119" i="1" s="1"/>
  <c r="AF1103" i="1" a="1"/>
  <c r="AF1103" i="1" s="1"/>
  <c r="AF1095" i="1" a="1"/>
  <c r="AF1095" i="1" s="1"/>
  <c r="AF1087" i="1" a="1"/>
  <c r="AF1087" i="1" s="1"/>
  <c r="AF1079" i="1" a="1"/>
  <c r="AF1079" i="1" s="1"/>
  <c r="AF1071" i="1" a="1"/>
  <c r="AF1071" i="1" s="1"/>
  <c r="AF1063" i="1" a="1"/>
  <c r="AF1063" i="1" s="1"/>
  <c r="AF1055" i="1" a="1"/>
  <c r="AF1055" i="1" s="1"/>
  <c r="AF1224" i="1" a="1"/>
  <c r="AF1224" i="1" s="1"/>
  <c r="AF1208" i="1" a="1"/>
  <c r="AF1208" i="1" s="1"/>
  <c r="AF1192" i="1" a="1"/>
  <c r="AF1192" i="1" s="1"/>
  <c r="AF1164" i="1" a="1"/>
  <c r="AF1164" i="1" s="1"/>
  <c r="AF1156" i="1" a="1"/>
  <c r="AF1156" i="1" s="1"/>
  <c r="AF1148" i="1" a="1"/>
  <c r="AF1148" i="1" s="1"/>
  <c r="AF1140" i="1" a="1"/>
  <c r="AF1140" i="1" s="1"/>
  <c r="AF1132" i="1" a="1"/>
  <c r="AF1132" i="1" s="1"/>
  <c r="AF1124" i="1" a="1"/>
  <c r="AF1124" i="1" s="1"/>
  <c r="AF1116" i="1" a="1"/>
  <c r="AF1116" i="1" s="1"/>
  <c r="AF1108" i="1" a="1"/>
  <c r="AF1108" i="1" s="1"/>
  <c r="AF1100" i="1" a="1"/>
  <c r="AF1100" i="1" s="1"/>
  <c r="AF1092" i="1" a="1"/>
  <c r="AF1092" i="1" s="1"/>
  <c r="AF1084" i="1" a="1"/>
  <c r="AF1084" i="1" s="1"/>
  <c r="AF1076" i="1" a="1"/>
  <c r="AF1076" i="1" s="1"/>
  <c r="AF1068" i="1" a="1"/>
  <c r="AF1068" i="1" s="1"/>
  <c r="AF1060" i="1" a="1"/>
  <c r="AF1060" i="1" s="1"/>
  <c r="AF1264" i="1" a="1"/>
  <c r="AF1264" i="1" s="1"/>
  <c r="AF1248" i="1" a="1"/>
  <c r="AF1248" i="1" s="1"/>
  <c r="AF1161" i="1" a="1"/>
  <c r="AF1161" i="1" s="1"/>
  <c r="AF1153" i="1" a="1"/>
  <c r="AF1153" i="1" s="1"/>
  <c r="AF1145" i="1" a="1"/>
  <c r="AF1145" i="1" s="1"/>
  <c r="AF1137" i="1" a="1"/>
  <c r="AF1137" i="1" s="1"/>
  <c r="AF1129" i="1" a="1"/>
  <c r="AF1129" i="1" s="1"/>
  <c r="AF1121" i="1" a="1"/>
  <c r="AF1121" i="1" s="1"/>
  <c r="AF1113" i="1" a="1"/>
  <c r="AF1113" i="1" s="1"/>
  <c r="AF1105" i="1" a="1"/>
  <c r="AF1105" i="1" s="1"/>
  <c r="AF1097" i="1" a="1"/>
  <c r="AF1097" i="1" s="1"/>
  <c r="AF1278" i="1" a="1"/>
  <c r="AF1278" i="1" s="1"/>
  <c r="AF1185" i="1" a="1"/>
  <c r="AF1185" i="1" s="1"/>
  <c r="AF1168" i="1" a="1"/>
  <c r="AF1168" i="1" s="1"/>
  <c r="AF1158" i="1" a="1"/>
  <c r="AF1158" i="1" s="1"/>
  <c r="AF1150" i="1" a="1"/>
  <c r="AF1150" i="1" s="1"/>
  <c r="AF1142" i="1" a="1"/>
  <c r="AF1142" i="1" s="1"/>
  <c r="AF1134" i="1" a="1"/>
  <c r="AF1134" i="1" s="1"/>
  <c r="AF1126" i="1" a="1"/>
  <c r="AF1126" i="1" s="1"/>
  <c r="AF1118" i="1" a="1"/>
  <c r="AF1118" i="1" s="1"/>
  <c r="AF1110" i="1" a="1"/>
  <c r="AF1110" i="1" s="1"/>
  <c r="AF1102" i="1" a="1"/>
  <c r="AF1102" i="1" s="1"/>
  <c r="AF1094" i="1" a="1"/>
  <c r="AF1094" i="1" s="1"/>
  <c r="AF1086" i="1" a="1"/>
  <c r="AF1086" i="1" s="1"/>
  <c r="AF1078" i="1" a="1"/>
  <c r="AF1078" i="1" s="1"/>
  <c r="AF1070" i="1" a="1"/>
  <c r="AF1070" i="1" s="1"/>
  <c r="AF1062" i="1" a="1"/>
  <c r="AF1062" i="1" s="1"/>
  <c r="AF1275" i="1" a="1"/>
  <c r="AF1275" i="1" s="1"/>
  <c r="AF1216" i="1" a="1"/>
  <c r="AF1216" i="1" s="1"/>
  <c r="AF1176" i="1" a="1"/>
  <c r="AF1176" i="1" s="1"/>
  <c r="AF1163" i="1" a="1"/>
  <c r="AF1163" i="1" s="1"/>
  <c r="AF1155" i="1" a="1"/>
  <c r="AF1155" i="1" s="1"/>
  <c r="AF1147" i="1" a="1"/>
  <c r="AF1147" i="1" s="1"/>
  <c r="AF1139" i="1" a="1"/>
  <c r="AF1139" i="1" s="1"/>
  <c r="AF1131" i="1" a="1"/>
  <c r="AF1131" i="1" s="1"/>
  <c r="AF1123" i="1" a="1"/>
  <c r="AF1123" i="1" s="1"/>
  <c r="AF1115" i="1" a="1"/>
  <c r="AF1115" i="1" s="1"/>
  <c r="AF1107" i="1" a="1"/>
  <c r="AF1107" i="1" s="1"/>
  <c r="AF1099" i="1" a="1"/>
  <c r="AF1099" i="1" s="1"/>
  <c r="AF1288" i="1" a="1"/>
  <c r="AF1288" i="1" s="1"/>
  <c r="AF1272" i="1" a="1"/>
  <c r="AF1272" i="1" s="1"/>
  <c r="AF1256" i="1" a="1"/>
  <c r="AF1256" i="1" s="1"/>
  <c r="AF1232" i="1" a="1"/>
  <c r="AF1232" i="1" s="1"/>
  <c r="AF1200" i="1" a="1"/>
  <c r="AF1200" i="1" s="1"/>
  <c r="AF1169" i="1" a="1"/>
  <c r="AF1169" i="1" s="1"/>
  <c r="AF1160" i="1" a="1"/>
  <c r="AF1160" i="1" s="1"/>
  <c r="AF1152" i="1" a="1"/>
  <c r="AF1152" i="1" s="1"/>
  <c r="AF1144" i="1" a="1"/>
  <c r="AF1144" i="1" s="1"/>
  <c r="AF1136" i="1" a="1"/>
  <c r="AF1136" i="1" s="1"/>
  <c r="AF1128" i="1" a="1"/>
  <c r="AF1128" i="1" s="1"/>
  <c r="AF1120" i="1" a="1"/>
  <c r="AF1120" i="1" s="1"/>
  <c r="AF1112" i="1" a="1"/>
  <c r="AF1112" i="1" s="1"/>
  <c r="AF1104" i="1" a="1"/>
  <c r="AF1104" i="1" s="1"/>
  <c r="AF1096" i="1" a="1"/>
  <c r="AF1096" i="1" s="1"/>
  <c r="AF1088" i="1" a="1"/>
  <c r="AF1088" i="1" s="1"/>
  <c r="AF1157" i="1" a="1"/>
  <c r="AF1157" i="1" s="1"/>
  <c r="AF1149" i="1" a="1"/>
  <c r="AF1149" i="1" s="1"/>
  <c r="AF1141" i="1" a="1"/>
  <c r="AF1141" i="1" s="1"/>
  <c r="AF1133" i="1" a="1"/>
  <c r="AF1133" i="1" s="1"/>
  <c r="AF1125" i="1" a="1"/>
  <c r="AF1125" i="1" s="1"/>
  <c r="AF1117" i="1" a="1"/>
  <c r="AF1117" i="1" s="1"/>
  <c r="AF1109" i="1" a="1"/>
  <c r="AF1109" i="1" s="1"/>
  <c r="AF1101" i="1" a="1"/>
  <c r="AF1101" i="1" s="1"/>
  <c r="AF1093" i="1" a="1"/>
  <c r="AF1093" i="1" s="1"/>
  <c r="AF1085" i="1" a="1"/>
  <c r="AF1085" i="1" s="1"/>
  <c r="AF1077" i="1" a="1"/>
  <c r="AF1077" i="1" s="1"/>
  <c r="AF1069" i="1" a="1"/>
  <c r="AF1069" i="1" s="1"/>
  <c r="AF1061" i="1" a="1"/>
  <c r="AF1061" i="1" s="1"/>
  <c r="AF1276" i="1" a="1"/>
  <c r="AF1276" i="1" s="1"/>
  <c r="AF1154" i="1" a="1"/>
  <c r="AF1154" i="1" s="1"/>
  <c r="AF1083" i="1" a="1"/>
  <c r="AF1083" i="1" s="1"/>
  <c r="AF1074" i="1" a="1"/>
  <c r="AF1074" i="1" s="1"/>
  <c r="AF1051" i="1" a="1"/>
  <c r="AF1051" i="1" s="1"/>
  <c r="AF1043" i="1" a="1"/>
  <c r="AF1043" i="1" s="1"/>
  <c r="AF1035" i="1" a="1"/>
  <c r="AF1035" i="1" s="1"/>
  <c r="AF1027" i="1" a="1"/>
  <c r="AF1027" i="1" s="1"/>
  <c r="AF1011" i="1" a="1"/>
  <c r="AF1011" i="1" s="1"/>
  <c r="AF1003" i="1" a="1"/>
  <c r="AF1003" i="1" s="1"/>
  <c r="AF995" i="1" a="1"/>
  <c r="AF995" i="1" s="1"/>
  <c r="AF987" i="1" a="1"/>
  <c r="AF987" i="1" s="1"/>
  <c r="AF979" i="1" a="1"/>
  <c r="AF979" i="1" s="1"/>
  <c r="AF971" i="1" a="1"/>
  <c r="AF971" i="1" s="1"/>
  <c r="AF963" i="1" a="1"/>
  <c r="AF963" i="1" s="1"/>
  <c r="AF1114" i="1" a="1"/>
  <c r="AF1114" i="1" s="1"/>
  <c r="AF1106" i="1" a="1"/>
  <c r="AF1106" i="1" s="1"/>
  <c r="AF1075" i="1" a="1"/>
  <c r="AF1075" i="1" s="1"/>
  <c r="AF1066" i="1" a="1"/>
  <c r="AF1066" i="1" s="1"/>
  <c r="AF1048" i="1" a="1"/>
  <c r="AF1048" i="1" s="1"/>
  <c r="AF1040" i="1" a="1"/>
  <c r="AF1040" i="1" s="1"/>
  <c r="AF1032" i="1" a="1"/>
  <c r="AF1032" i="1" s="1"/>
  <c r="AF1240" i="1" a="1"/>
  <c r="AF1240" i="1" s="1"/>
  <c r="AF1165" i="1" a="1"/>
  <c r="AF1165" i="1" s="1"/>
  <c r="AF1138" i="1" a="1"/>
  <c r="AF1138" i="1" s="1"/>
  <c r="AF1098" i="1" a="1"/>
  <c r="AF1098" i="1" s="1"/>
  <c r="AF1067" i="1" a="1"/>
  <c r="AF1067" i="1" s="1"/>
  <c r="AF1053" i="1" a="1"/>
  <c r="AF1053" i="1" s="1"/>
  <c r="AF1045" i="1" a="1"/>
  <c r="AF1045" i="1" s="1"/>
  <c r="AF1037" i="1" a="1"/>
  <c r="AF1037" i="1" s="1"/>
  <c r="AF1029" i="1" a="1"/>
  <c r="AF1029" i="1" s="1"/>
  <c r="AF1021" i="1" a="1"/>
  <c r="AF1021" i="1" s="1"/>
  <c r="AF1013" i="1" a="1"/>
  <c r="AF1013" i="1" s="1"/>
  <c r="AF1005" i="1" a="1"/>
  <c r="AF1005" i="1" s="1"/>
  <c r="AF997" i="1" a="1"/>
  <c r="AF997" i="1" s="1"/>
  <c r="AF989" i="1" a="1"/>
  <c r="AF989" i="1" s="1"/>
  <c r="AF981" i="1" a="1"/>
  <c r="AF981" i="1" s="1"/>
  <c r="AF965" i="1" a="1"/>
  <c r="AF965" i="1" s="1"/>
  <c r="AF957" i="1" a="1"/>
  <c r="AF957" i="1" s="1"/>
  <c r="AF1162" i="1" a="1"/>
  <c r="AF1162" i="1" s="1"/>
  <c r="AF1059" i="1" a="1"/>
  <c r="AF1059" i="1" s="1"/>
  <c r="AF1058" i="1" a="1"/>
  <c r="AF1058" i="1" s="1"/>
  <c r="AF1057" i="1" a="1"/>
  <c r="AF1057" i="1" s="1"/>
  <c r="AF1056" i="1" a="1"/>
  <c r="AF1056" i="1" s="1"/>
  <c r="AF1050" i="1" a="1"/>
  <c r="AF1050" i="1" s="1"/>
  <c r="AF1042" i="1" a="1"/>
  <c r="AF1042" i="1" s="1"/>
  <c r="AF1034" i="1" a="1"/>
  <c r="AF1034" i="1" s="1"/>
  <c r="AF1026" i="1" a="1"/>
  <c r="AF1026" i="1" s="1"/>
  <c r="AF1018" i="1" a="1"/>
  <c r="AF1018" i="1" s="1"/>
  <c r="AF1010" i="1" a="1"/>
  <c r="AF1010" i="1" s="1"/>
  <c r="AF1002" i="1" a="1"/>
  <c r="AF1002" i="1" s="1"/>
  <c r="AF994" i="1" a="1"/>
  <c r="AF994" i="1" s="1"/>
  <c r="AF986" i="1" a="1"/>
  <c r="AF986" i="1" s="1"/>
  <c r="AF978" i="1" a="1"/>
  <c r="AF978" i="1" s="1"/>
  <c r="AF970" i="1" a="1"/>
  <c r="AF970" i="1" s="1"/>
  <c r="AF962" i="1" a="1"/>
  <c r="AF962" i="1" s="1"/>
  <c r="AF1184" i="1" a="1"/>
  <c r="AF1184" i="1" s="1"/>
  <c r="AF1122" i="1" a="1"/>
  <c r="AF1122" i="1" s="1"/>
  <c r="AF1089" i="1" a="1"/>
  <c r="AF1089" i="1" s="1"/>
  <c r="AF1080" i="1" a="1"/>
  <c r="AF1080" i="1" s="1"/>
  <c r="AF1047" i="1" a="1"/>
  <c r="AF1047" i="1" s="1"/>
  <c r="AF1039" i="1" a="1"/>
  <c r="AF1039" i="1" s="1"/>
  <c r="AF1031" i="1" a="1"/>
  <c r="AF1031" i="1" s="1"/>
  <c r="AF1023" i="1" a="1"/>
  <c r="AF1023" i="1" s="1"/>
  <c r="AF1015" i="1" a="1"/>
  <c r="AF1015" i="1" s="1"/>
  <c r="AF1007" i="1" a="1"/>
  <c r="AF1007" i="1" s="1"/>
  <c r="AF1146" i="1" a="1"/>
  <c r="AF1146" i="1" s="1"/>
  <c r="AF1072" i="1" a="1"/>
  <c r="AF1072" i="1" s="1"/>
  <c r="AF1052" i="1" a="1"/>
  <c r="AF1052" i="1" s="1"/>
  <c r="AF1044" i="1" a="1"/>
  <c r="AF1044" i="1" s="1"/>
  <c r="AF1036" i="1" a="1"/>
  <c r="AF1036" i="1" s="1"/>
  <c r="AF1028" i="1" a="1"/>
  <c r="AF1028" i="1" s="1"/>
  <c r="AF1020" i="1" a="1"/>
  <c r="AF1020" i="1" s="1"/>
  <c r="AF1012" i="1" a="1"/>
  <c r="AF1012" i="1" s="1"/>
  <c r="AF1004" i="1" a="1"/>
  <c r="AF1004" i="1" s="1"/>
  <c r="AF996" i="1" a="1"/>
  <c r="AF996" i="1" s="1"/>
  <c r="AF988" i="1" a="1"/>
  <c r="AF988" i="1" s="1"/>
  <c r="AF980" i="1" a="1"/>
  <c r="AF980" i="1" s="1"/>
  <c r="AF1090" i="1" a="1"/>
  <c r="AF1090" i="1" s="1"/>
  <c r="AF1081" i="1" a="1"/>
  <c r="AF1081" i="1" s="1"/>
  <c r="AF1064" i="1" a="1"/>
  <c r="AF1064" i="1" s="1"/>
  <c r="AF1049" i="1" a="1"/>
  <c r="AF1049" i="1" s="1"/>
  <c r="AF1041" i="1" a="1"/>
  <c r="AF1041" i="1" s="1"/>
  <c r="AF1033" i="1" a="1"/>
  <c r="AF1033" i="1" s="1"/>
  <c r="AF1025" i="1" a="1"/>
  <c r="AF1025" i="1" s="1"/>
  <c r="AF1017" i="1" a="1"/>
  <c r="AF1017" i="1" s="1"/>
  <c r="AF1009" i="1" a="1"/>
  <c r="AF1009" i="1" s="1"/>
  <c r="AF1001" i="1" a="1"/>
  <c r="AF1001" i="1" s="1"/>
  <c r="AF993" i="1" a="1"/>
  <c r="AF993" i="1" s="1"/>
  <c r="AF985" i="1" a="1"/>
  <c r="AF985" i="1" s="1"/>
  <c r="AF977" i="1" a="1"/>
  <c r="AF977" i="1" s="1"/>
  <c r="AF969" i="1" a="1"/>
  <c r="AF969" i="1" s="1"/>
  <c r="AF1082" i="1" a="1"/>
  <c r="AF1082" i="1" s="1"/>
  <c r="AF982" i="1" a="1"/>
  <c r="AF982" i="1" s="1"/>
  <c r="AF958" i="1" a="1"/>
  <c r="AF958" i="1" s="1"/>
  <c r="AF956" i="1" a="1"/>
  <c r="AF956" i="1" s="1"/>
  <c r="AF953" i="1" a="1"/>
  <c r="AF953" i="1" s="1"/>
  <c r="AF945" i="1" a="1"/>
  <c r="AF945" i="1" s="1"/>
  <c r="AF937" i="1" a="1"/>
  <c r="AF937" i="1" s="1"/>
  <c r="AF929" i="1" a="1"/>
  <c r="AF929" i="1" s="1"/>
  <c r="AF921" i="1" a="1"/>
  <c r="AF921" i="1" s="1"/>
  <c r="AF913" i="1" a="1"/>
  <c r="AF913" i="1" s="1"/>
  <c r="AF905" i="1" a="1"/>
  <c r="AF905" i="1" s="1"/>
  <c r="AF897" i="1" a="1"/>
  <c r="AF897" i="1" s="1"/>
  <c r="AF889" i="1" a="1"/>
  <c r="AF889" i="1" s="1"/>
  <c r="AF873" i="1" a="1"/>
  <c r="AF873" i="1" s="1"/>
  <c r="AF865" i="1" a="1"/>
  <c r="AF865" i="1" s="1"/>
  <c r="AF1038" i="1" a="1"/>
  <c r="AF1038" i="1" s="1"/>
  <c r="AF1022" i="1" a="1"/>
  <c r="AF1022" i="1" s="1"/>
  <c r="AF990" i="1" a="1"/>
  <c r="AF990" i="1" s="1"/>
  <c r="AF964" i="1" a="1"/>
  <c r="AF964" i="1" s="1"/>
  <c r="AF950" i="1" a="1"/>
  <c r="AF950" i="1" s="1"/>
  <c r="AF942" i="1" a="1"/>
  <c r="AF942" i="1" s="1"/>
  <c r="AF934" i="1" a="1"/>
  <c r="AF934" i="1" s="1"/>
  <c r="AF926" i="1" a="1"/>
  <c r="AF926" i="1" s="1"/>
  <c r="AF918" i="1" a="1"/>
  <c r="AF918" i="1" s="1"/>
  <c r="AF910" i="1" a="1"/>
  <c r="AF910" i="1" s="1"/>
  <c r="AF902" i="1" a="1"/>
  <c r="AF902" i="1" s="1"/>
  <c r="AF894" i="1" a="1"/>
  <c r="AF894" i="1" s="1"/>
  <c r="AF886" i="1" a="1"/>
  <c r="AF886" i="1" s="1"/>
  <c r="AF878" i="1" a="1"/>
  <c r="AF878" i="1" s="1"/>
  <c r="AF1024" i="1" a="1"/>
  <c r="AF1024" i="1" s="1"/>
  <c r="AF998" i="1" a="1"/>
  <c r="AF998" i="1" s="1"/>
  <c r="AF983" i="1" a="1"/>
  <c r="AF983" i="1" s="1"/>
  <c r="AF955" i="1" a="1"/>
  <c r="AF955" i="1" s="1"/>
  <c r="AF947" i="1" a="1"/>
  <c r="AF947" i="1" s="1"/>
  <c r="AF939" i="1" a="1"/>
  <c r="AF939" i="1" s="1"/>
  <c r="AF931" i="1" a="1"/>
  <c r="AF931" i="1" s="1"/>
  <c r="AF923" i="1" a="1"/>
  <c r="AF923" i="1" s="1"/>
  <c r="AF1130" i="1" a="1"/>
  <c r="AF1130" i="1" s="1"/>
  <c r="AF1046" i="1" a="1"/>
  <c r="AF1046" i="1" s="1"/>
  <c r="AF991" i="1" a="1"/>
  <c r="AF991" i="1" s="1"/>
  <c r="AF974" i="1" a="1"/>
  <c r="AF974" i="1" s="1"/>
  <c r="AF952" i="1" a="1"/>
  <c r="AF952" i="1" s="1"/>
  <c r="AF944" i="1" a="1"/>
  <c r="AF944" i="1" s="1"/>
  <c r="AF936" i="1" a="1"/>
  <c r="AF936" i="1" s="1"/>
  <c r="AF928" i="1" a="1"/>
  <c r="AF928" i="1" s="1"/>
  <c r="AF920" i="1" a="1"/>
  <c r="AF920" i="1" s="1"/>
  <c r="AF912" i="1" a="1"/>
  <c r="AF912" i="1" s="1"/>
  <c r="AF904" i="1" a="1"/>
  <c r="AF904" i="1" s="1"/>
  <c r="AF896" i="1" a="1"/>
  <c r="AF896" i="1" s="1"/>
  <c r="AF1008" i="1" a="1"/>
  <c r="AF1008" i="1" s="1"/>
  <c r="AF1006" i="1" a="1"/>
  <c r="AF1006" i="1" s="1"/>
  <c r="AF999" i="1" a="1"/>
  <c r="AF999" i="1" s="1"/>
  <c r="AF975" i="1" a="1"/>
  <c r="AF975" i="1" s="1"/>
  <c r="AF967" i="1" a="1"/>
  <c r="AF967" i="1" s="1"/>
  <c r="AF966" i="1" a="1"/>
  <c r="AF966" i="1" s="1"/>
  <c r="AF949" i="1" a="1"/>
  <c r="AF949" i="1" s="1"/>
  <c r="AF941" i="1" a="1"/>
  <c r="AF941" i="1" s="1"/>
  <c r="AF933" i="1" a="1"/>
  <c r="AF933" i="1" s="1"/>
  <c r="AF925" i="1" a="1"/>
  <c r="AF925" i="1" s="1"/>
  <c r="AF917" i="1" a="1"/>
  <c r="AF917" i="1" s="1"/>
  <c r="AF909" i="1" a="1"/>
  <c r="AF909" i="1" s="1"/>
  <c r="AF901" i="1" a="1"/>
  <c r="AF901" i="1" s="1"/>
  <c r="AF893" i="1" a="1"/>
  <c r="AF893" i="1" s="1"/>
  <c r="AF885" i="1" a="1"/>
  <c r="AF885" i="1" s="1"/>
  <c r="AF877" i="1" a="1"/>
  <c r="AF877" i="1" s="1"/>
  <c r="AF869" i="1" a="1"/>
  <c r="AF869" i="1" s="1"/>
  <c r="AF1091" i="1" a="1"/>
  <c r="AF1091" i="1" s="1"/>
  <c r="AF992" i="1" a="1"/>
  <c r="AF992" i="1" s="1"/>
  <c r="AF976" i="1" a="1"/>
  <c r="AF976" i="1" s="1"/>
  <c r="AF972" i="1" a="1"/>
  <c r="AF972" i="1" s="1"/>
  <c r="AF968" i="1" a="1"/>
  <c r="AF968" i="1" s="1"/>
  <c r="AF951" i="1" a="1"/>
  <c r="AF951" i="1" s="1"/>
  <c r="AF943" i="1" a="1"/>
  <c r="AF943" i="1" s="1"/>
  <c r="AF935" i="1" a="1"/>
  <c r="AF935" i="1" s="1"/>
  <c r="AF919" i="1" a="1"/>
  <c r="AF919" i="1" s="1"/>
  <c r="AF911" i="1" a="1"/>
  <c r="AF911" i="1" s="1"/>
  <c r="AF903" i="1" a="1"/>
  <c r="AF903" i="1" s="1"/>
  <c r="AF895" i="1" a="1"/>
  <c r="AF895" i="1" s="1"/>
  <c r="AF887" i="1" a="1"/>
  <c r="AF887" i="1" s="1"/>
  <c r="AF879" i="1" a="1"/>
  <c r="AF879" i="1" s="1"/>
  <c r="AF871" i="1" a="1"/>
  <c r="AF871" i="1" s="1"/>
  <c r="AF863" i="1" a="1"/>
  <c r="AF863" i="1" s="1"/>
  <c r="AF1030" i="1" a="1"/>
  <c r="AF1030" i="1" s="1"/>
  <c r="AF1016" i="1" a="1"/>
  <c r="AF1016" i="1" s="1"/>
  <c r="AF1014" i="1" a="1"/>
  <c r="AF1014" i="1" s="1"/>
  <c r="AF1000" i="1" a="1"/>
  <c r="AF1000" i="1" s="1"/>
  <c r="AF961" i="1" a="1"/>
  <c r="AF961" i="1" s="1"/>
  <c r="AF960" i="1" a="1"/>
  <c r="AF960" i="1" s="1"/>
  <c r="AF959" i="1" a="1"/>
  <c r="AF959" i="1" s="1"/>
  <c r="AF948" i="1" a="1"/>
  <c r="AF948" i="1" s="1"/>
  <c r="AF940" i="1" a="1"/>
  <c r="AF940" i="1" s="1"/>
  <c r="AF932" i="1" a="1"/>
  <c r="AF932" i="1" s="1"/>
  <c r="AF924" i="1" a="1"/>
  <c r="AF924" i="1" s="1"/>
  <c r="AF916" i="1" a="1"/>
  <c r="AF916" i="1" s="1"/>
  <c r="AF908" i="1" a="1"/>
  <c r="AF908" i="1" s="1"/>
  <c r="AF900" i="1" a="1"/>
  <c r="AF900" i="1" s="1"/>
  <c r="AF892" i="1" a="1"/>
  <c r="AF892" i="1" s="1"/>
  <c r="AF884" i="1" a="1"/>
  <c r="AF884" i="1" s="1"/>
  <c r="AF876" i="1" a="1"/>
  <c r="AF876" i="1" s="1"/>
  <c r="AF868" i="1" a="1"/>
  <c r="AF868" i="1" s="1"/>
  <c r="AF914" i="1" a="1"/>
  <c r="AF914" i="1" s="1"/>
  <c r="AF891" i="1" a="1"/>
  <c r="AF891" i="1" s="1"/>
  <c r="AF861" i="1" a="1"/>
  <c r="AF861" i="1" s="1"/>
  <c r="AF853" i="1" a="1"/>
  <c r="AF853" i="1" s="1"/>
  <c r="AF845" i="1" a="1"/>
  <c r="AF845" i="1" s="1"/>
  <c r="AF837" i="1" a="1"/>
  <c r="AF837" i="1" s="1"/>
  <c r="AF829" i="1" a="1"/>
  <c r="AF829" i="1" s="1"/>
  <c r="AF821" i="1" a="1"/>
  <c r="AF821" i="1" s="1"/>
  <c r="AF813" i="1" a="1"/>
  <c r="AF813" i="1" s="1"/>
  <c r="AF805" i="1" a="1"/>
  <c r="AF805" i="1" s="1"/>
  <c r="AF797" i="1" a="1"/>
  <c r="AF797" i="1" s="1"/>
  <c r="AF789" i="1" a="1"/>
  <c r="AF789" i="1" s="1"/>
  <c r="AF781" i="1" a="1"/>
  <c r="AF781" i="1" s="1"/>
  <c r="AF773" i="1" a="1"/>
  <c r="AF773" i="1" s="1"/>
  <c r="AF907" i="1" a="1"/>
  <c r="AF907" i="1" s="1"/>
  <c r="AF858" i="1" a="1"/>
  <c r="AF858" i="1" s="1"/>
  <c r="AF850" i="1" a="1"/>
  <c r="AF850" i="1" s="1"/>
  <c r="AF842" i="1" a="1"/>
  <c r="AF842" i="1" s="1"/>
  <c r="AF834" i="1" a="1"/>
  <c r="AF834" i="1" s="1"/>
  <c r="AF826" i="1" a="1"/>
  <c r="AF826" i="1" s="1"/>
  <c r="AF818" i="1" a="1"/>
  <c r="AF818" i="1" s="1"/>
  <c r="AF810" i="1" a="1"/>
  <c r="AF810" i="1" s="1"/>
  <c r="AF802" i="1" a="1"/>
  <c r="AF802" i="1" s="1"/>
  <c r="AF794" i="1" a="1"/>
  <c r="AF794" i="1" s="1"/>
  <c r="AF786" i="1" a="1"/>
  <c r="AF786" i="1" s="1"/>
  <c r="AF778" i="1" a="1"/>
  <c r="AF778" i="1" s="1"/>
  <c r="AF770" i="1" a="1"/>
  <c r="AF770" i="1" s="1"/>
  <c r="AF984" i="1" a="1"/>
  <c r="AF984" i="1" s="1"/>
  <c r="AF954" i="1" a="1"/>
  <c r="AF954" i="1" s="1"/>
  <c r="AF938" i="1" a="1"/>
  <c r="AF938" i="1" s="1"/>
  <c r="AF915" i="1" a="1"/>
  <c r="AF915" i="1" s="1"/>
  <c r="AF874" i="1" a="1"/>
  <c r="AF874" i="1" s="1"/>
  <c r="AF855" i="1" a="1"/>
  <c r="AF855" i="1" s="1"/>
  <c r="AF847" i="1" a="1"/>
  <c r="AF847" i="1" s="1"/>
  <c r="AF839" i="1" a="1"/>
  <c r="AF839" i="1" s="1"/>
  <c r="AF831" i="1" a="1"/>
  <c r="AF831" i="1" s="1"/>
  <c r="AF823" i="1" a="1"/>
  <c r="AF823" i="1" s="1"/>
  <c r="AF815" i="1" a="1"/>
  <c r="AF815" i="1" s="1"/>
  <c r="AF807" i="1" a="1"/>
  <c r="AF807" i="1" s="1"/>
  <c r="AF799" i="1" a="1"/>
  <c r="AF799" i="1" s="1"/>
  <c r="AF791" i="1" a="1"/>
  <c r="AF791" i="1" s="1"/>
  <c r="AF783" i="1" a="1"/>
  <c r="AF783" i="1" s="1"/>
  <c r="AF775" i="1" a="1"/>
  <c r="AF775" i="1" s="1"/>
  <c r="AF767" i="1" a="1"/>
  <c r="AF767" i="1" s="1"/>
  <c r="AF922" i="1" a="1"/>
  <c r="AF922" i="1" s="1"/>
  <c r="AF872" i="1" a="1"/>
  <c r="AF872" i="1" s="1"/>
  <c r="AF860" i="1" a="1"/>
  <c r="AF860" i="1" s="1"/>
  <c r="AF852" i="1" a="1"/>
  <c r="AF852" i="1" s="1"/>
  <c r="AF844" i="1" a="1"/>
  <c r="AF844" i="1" s="1"/>
  <c r="AF836" i="1" a="1"/>
  <c r="AF836" i="1" s="1"/>
  <c r="AF828" i="1" a="1"/>
  <c r="AF828" i="1" s="1"/>
  <c r="AF820" i="1" a="1"/>
  <c r="AF820" i="1" s="1"/>
  <c r="AF812" i="1" a="1"/>
  <c r="AF812" i="1" s="1"/>
  <c r="AF804" i="1" a="1"/>
  <c r="AF804" i="1" s="1"/>
  <c r="AF796" i="1" a="1"/>
  <c r="AF796" i="1" s="1"/>
  <c r="AF788" i="1" a="1"/>
  <c r="AF788" i="1" s="1"/>
  <c r="AF780" i="1" a="1"/>
  <c r="AF780" i="1" s="1"/>
  <c r="AF772" i="1" a="1"/>
  <c r="AF772" i="1" s="1"/>
  <c r="AF898" i="1" a="1"/>
  <c r="AF898" i="1" s="1"/>
  <c r="AF882" i="1" a="1"/>
  <c r="AF882" i="1" s="1"/>
  <c r="AF875" i="1" a="1"/>
  <c r="AF875" i="1" s="1"/>
  <c r="AF870" i="1" a="1"/>
  <c r="AF870" i="1" s="1"/>
  <c r="AF864" i="1" a="1"/>
  <c r="AF864" i="1" s="1"/>
  <c r="AF857" i="1" a="1"/>
  <c r="AF857" i="1" s="1"/>
  <c r="AF849" i="1" a="1"/>
  <c r="AF849" i="1" s="1"/>
  <c r="AF841" i="1" a="1"/>
  <c r="AF841" i="1" s="1"/>
  <c r="AF833" i="1" a="1"/>
  <c r="AF833" i="1" s="1"/>
  <c r="AF825" i="1" a="1"/>
  <c r="AF825" i="1" s="1"/>
  <c r="AF817" i="1" a="1"/>
  <c r="AF817" i="1" s="1"/>
  <c r="AF809" i="1" a="1"/>
  <c r="AF809" i="1" s="1"/>
  <c r="AF801" i="1" a="1"/>
  <c r="AF801" i="1" s="1"/>
  <c r="AF793" i="1" a="1"/>
  <c r="AF793" i="1" s="1"/>
  <c r="AF785" i="1" a="1"/>
  <c r="AF785" i="1" s="1"/>
  <c r="AF777" i="1" a="1"/>
  <c r="AF777" i="1" s="1"/>
  <c r="AF769" i="1" a="1"/>
  <c r="AF769" i="1" s="1"/>
  <c r="AF1073" i="1" a="1"/>
  <c r="AF1073" i="1" s="1"/>
  <c r="AF1054" i="1" a="1"/>
  <c r="AF1054" i="1" s="1"/>
  <c r="AF930" i="1" a="1"/>
  <c r="AF930" i="1" s="1"/>
  <c r="AF880" i="1" a="1"/>
  <c r="AF880" i="1" s="1"/>
  <c r="AF862" i="1" a="1"/>
  <c r="AF862" i="1" s="1"/>
  <c r="AF854" i="1" a="1"/>
  <c r="AF854" i="1" s="1"/>
  <c r="AF846" i="1" a="1"/>
  <c r="AF846" i="1" s="1"/>
  <c r="AF838" i="1" a="1"/>
  <c r="AF838" i="1" s="1"/>
  <c r="AF830" i="1" a="1"/>
  <c r="AF830" i="1" s="1"/>
  <c r="AF822" i="1" a="1"/>
  <c r="AF822" i="1" s="1"/>
  <c r="AF814" i="1" a="1"/>
  <c r="AF814" i="1" s="1"/>
  <c r="AF806" i="1" a="1"/>
  <c r="AF806" i="1" s="1"/>
  <c r="AF798" i="1" a="1"/>
  <c r="AF798" i="1" s="1"/>
  <c r="AF790" i="1" a="1"/>
  <c r="AF790" i="1" s="1"/>
  <c r="AF782" i="1" a="1"/>
  <c r="AF782" i="1" s="1"/>
  <c r="AF774" i="1" a="1"/>
  <c r="AF774" i="1" s="1"/>
  <c r="AF766" i="1" a="1"/>
  <c r="AF766" i="1" s="1"/>
  <c r="AF946" i="1" a="1"/>
  <c r="AF946" i="1" s="1"/>
  <c r="AF906" i="1" a="1"/>
  <c r="AF906" i="1" s="1"/>
  <c r="AF899" i="1" a="1"/>
  <c r="AF899" i="1" s="1"/>
  <c r="AF890" i="1" a="1"/>
  <c r="AF890" i="1" s="1"/>
  <c r="AF883" i="1" a="1"/>
  <c r="AF883" i="1" s="1"/>
  <c r="AF867" i="1" a="1"/>
  <c r="AF867" i="1" s="1"/>
  <c r="AF866" i="1" a="1"/>
  <c r="AF866" i="1" s="1"/>
  <c r="AF859" i="1" a="1"/>
  <c r="AF859" i="1" s="1"/>
  <c r="AF851" i="1" a="1"/>
  <c r="AF851" i="1" s="1"/>
  <c r="AF843" i="1" a="1"/>
  <c r="AF843" i="1" s="1"/>
  <c r="AF835" i="1" a="1"/>
  <c r="AF835" i="1" s="1"/>
  <c r="AF827" i="1" a="1"/>
  <c r="AF827" i="1" s="1"/>
  <c r="AF819" i="1" a="1"/>
  <c r="AF819" i="1" s="1"/>
  <c r="AF811" i="1" a="1"/>
  <c r="AF811" i="1" s="1"/>
  <c r="AF803" i="1" a="1"/>
  <c r="AF803" i="1" s="1"/>
  <c r="AF795" i="1" a="1"/>
  <c r="AF795" i="1" s="1"/>
  <c r="AF779" i="1" a="1"/>
  <c r="AF779" i="1" s="1"/>
  <c r="AF762" i="1" a="1"/>
  <c r="AF762" i="1" s="1"/>
  <c r="AF754" i="1" a="1"/>
  <c r="AF754" i="1" s="1"/>
  <c r="AF746" i="1" a="1"/>
  <c r="AF746" i="1" s="1"/>
  <c r="AF738" i="1" a="1"/>
  <c r="AF738" i="1" s="1"/>
  <c r="AF730" i="1" a="1"/>
  <c r="AF730" i="1" s="1"/>
  <c r="AF722" i="1" a="1"/>
  <c r="AF722" i="1" s="1"/>
  <c r="AF714" i="1" a="1"/>
  <c r="AF714" i="1" s="1"/>
  <c r="AF706" i="1" a="1"/>
  <c r="AF706" i="1" s="1"/>
  <c r="AF698" i="1" a="1"/>
  <c r="AF698" i="1" s="1"/>
  <c r="AF690" i="1" a="1"/>
  <c r="AF690" i="1" s="1"/>
  <c r="AF682" i="1" a="1"/>
  <c r="AF682" i="1" s="1"/>
  <c r="AF674" i="1" a="1"/>
  <c r="AF674" i="1" s="1"/>
  <c r="AF888" i="1" a="1"/>
  <c r="AF888" i="1" s="1"/>
  <c r="AF800" i="1" a="1"/>
  <c r="AF800" i="1" s="1"/>
  <c r="AF768" i="1" a="1"/>
  <c r="AF768" i="1" s="1"/>
  <c r="AF759" i="1" a="1"/>
  <c r="AF759" i="1" s="1"/>
  <c r="AF751" i="1" a="1"/>
  <c r="AF751" i="1" s="1"/>
  <c r="AF743" i="1" a="1"/>
  <c r="AF743" i="1" s="1"/>
  <c r="AF735" i="1" a="1"/>
  <c r="AF735" i="1" s="1"/>
  <c r="AF727" i="1" a="1"/>
  <c r="AF727" i="1" s="1"/>
  <c r="AF719" i="1" a="1"/>
  <c r="AF719" i="1" s="1"/>
  <c r="AF711" i="1" a="1"/>
  <c r="AF711" i="1" s="1"/>
  <c r="AF703" i="1" a="1"/>
  <c r="AF703" i="1" s="1"/>
  <c r="AF695" i="1" a="1"/>
  <c r="AF695" i="1" s="1"/>
  <c r="AF687" i="1" a="1"/>
  <c r="AF687" i="1" s="1"/>
  <c r="AF764" i="1" a="1"/>
  <c r="AF764" i="1" s="1"/>
  <c r="AF756" i="1" a="1"/>
  <c r="AF756" i="1" s="1"/>
  <c r="AF748" i="1" a="1"/>
  <c r="AF748" i="1" s="1"/>
  <c r="AF740" i="1" a="1"/>
  <c r="AF740" i="1" s="1"/>
  <c r="AF732" i="1" a="1"/>
  <c r="AF732" i="1" s="1"/>
  <c r="AF724" i="1" a="1"/>
  <c r="AF724" i="1" s="1"/>
  <c r="AF716" i="1" a="1"/>
  <c r="AF716" i="1" s="1"/>
  <c r="AF708" i="1" a="1"/>
  <c r="AF708" i="1" s="1"/>
  <c r="AF700" i="1" a="1"/>
  <c r="AF700" i="1" s="1"/>
  <c r="AF692" i="1" a="1"/>
  <c r="AF692" i="1" s="1"/>
  <c r="AF684" i="1" a="1"/>
  <c r="AF684" i="1" s="1"/>
  <c r="AF676" i="1" a="1"/>
  <c r="AF676" i="1" s="1"/>
  <c r="AF668" i="1" a="1"/>
  <c r="AF668" i="1" s="1"/>
  <c r="AF848" i="1" a="1"/>
  <c r="AF848" i="1" s="1"/>
  <c r="AF824" i="1" a="1"/>
  <c r="AF824" i="1" s="1"/>
  <c r="AF792" i="1" a="1"/>
  <c r="AF792" i="1" s="1"/>
  <c r="AF776" i="1" a="1"/>
  <c r="AF776" i="1" s="1"/>
  <c r="AF761" i="1" a="1"/>
  <c r="AF761" i="1" s="1"/>
  <c r="AF753" i="1" a="1"/>
  <c r="AF753" i="1" s="1"/>
  <c r="AF745" i="1" a="1"/>
  <c r="AF745" i="1" s="1"/>
  <c r="AF737" i="1" a="1"/>
  <c r="AF737" i="1" s="1"/>
  <c r="AF729" i="1" a="1"/>
  <c r="AF729" i="1" s="1"/>
  <c r="AF721" i="1" a="1"/>
  <c r="AF721" i="1" s="1"/>
  <c r="AF713" i="1" a="1"/>
  <c r="AF713" i="1" s="1"/>
  <c r="AF705" i="1" a="1"/>
  <c r="AF705" i="1" s="1"/>
  <c r="AF697" i="1" a="1"/>
  <c r="AF697" i="1" s="1"/>
  <c r="AF689" i="1" a="1"/>
  <c r="AF689" i="1" s="1"/>
  <c r="AF681" i="1" a="1"/>
  <c r="AF681" i="1" s="1"/>
  <c r="AF673" i="1" a="1"/>
  <c r="AF673" i="1" s="1"/>
  <c r="AF665" i="1" a="1"/>
  <c r="AF665" i="1" s="1"/>
  <c r="AF657" i="1" a="1"/>
  <c r="AF657" i="1" s="1"/>
  <c r="AF771" i="1" a="1"/>
  <c r="AF771" i="1" s="1"/>
  <c r="AF758" i="1" a="1"/>
  <c r="AF758" i="1" s="1"/>
  <c r="AF750" i="1" a="1"/>
  <c r="AF750" i="1" s="1"/>
  <c r="AF742" i="1" a="1"/>
  <c r="AF742" i="1" s="1"/>
  <c r="AF734" i="1" a="1"/>
  <c r="AF734" i="1" s="1"/>
  <c r="AF726" i="1" a="1"/>
  <c r="AF726" i="1" s="1"/>
  <c r="AF718" i="1" a="1"/>
  <c r="AF718" i="1" s="1"/>
  <c r="AF710" i="1" a="1"/>
  <c r="AF710" i="1" s="1"/>
  <c r="AF702" i="1" a="1"/>
  <c r="AF702" i="1" s="1"/>
  <c r="AF694" i="1" a="1"/>
  <c r="AF694" i="1" s="1"/>
  <c r="AF686" i="1" a="1"/>
  <c r="AF686" i="1" s="1"/>
  <c r="AF678" i="1" a="1"/>
  <c r="AF678" i="1" s="1"/>
  <c r="AF670" i="1" a="1"/>
  <c r="AF670" i="1" s="1"/>
  <c r="AF662" i="1" a="1"/>
  <c r="AF662" i="1" s="1"/>
  <c r="AF816" i="1" a="1"/>
  <c r="AF816" i="1" s="1"/>
  <c r="AF763" i="1" a="1"/>
  <c r="AF763" i="1" s="1"/>
  <c r="AF755" i="1" a="1"/>
  <c r="AF755" i="1" s="1"/>
  <c r="AF747" i="1" a="1"/>
  <c r="AF747" i="1" s="1"/>
  <c r="AF739" i="1" a="1"/>
  <c r="AF739" i="1" s="1"/>
  <c r="AF731" i="1" a="1"/>
  <c r="AF731" i="1" s="1"/>
  <c r="AF715" i="1" a="1"/>
  <c r="AF715" i="1" s="1"/>
  <c r="AF707" i="1" a="1"/>
  <c r="AF707" i="1" s="1"/>
  <c r="AF699" i="1" a="1"/>
  <c r="AF699" i="1" s="1"/>
  <c r="AF691" i="1" a="1"/>
  <c r="AF691" i="1" s="1"/>
  <c r="AF683" i="1" a="1"/>
  <c r="AF683" i="1" s="1"/>
  <c r="AF675" i="1" a="1"/>
  <c r="AF675" i="1" s="1"/>
  <c r="AF667" i="1" a="1"/>
  <c r="AF667" i="1" s="1"/>
  <c r="AF659" i="1" a="1"/>
  <c r="AF659" i="1" s="1"/>
  <c r="AF840" i="1" a="1"/>
  <c r="AF840" i="1" s="1"/>
  <c r="AF760" i="1" a="1"/>
  <c r="AF760" i="1" s="1"/>
  <c r="AF752" i="1" a="1"/>
  <c r="AF752" i="1" s="1"/>
  <c r="AF744" i="1" a="1"/>
  <c r="AF744" i="1" s="1"/>
  <c r="AF736" i="1" a="1"/>
  <c r="AF736" i="1" s="1"/>
  <c r="AF728" i="1" a="1"/>
  <c r="AF728" i="1" s="1"/>
  <c r="AF720" i="1" a="1"/>
  <c r="AF720" i="1" s="1"/>
  <c r="AF712" i="1" a="1"/>
  <c r="AF712" i="1" s="1"/>
  <c r="AF704" i="1" a="1"/>
  <c r="AF704" i="1" s="1"/>
  <c r="AF696" i="1" a="1"/>
  <c r="AF696" i="1" s="1"/>
  <c r="AF688" i="1" a="1"/>
  <c r="AF688" i="1" s="1"/>
  <c r="AF680" i="1" a="1"/>
  <c r="AF680" i="1" s="1"/>
  <c r="AF672" i="1" a="1"/>
  <c r="AF672" i="1" s="1"/>
  <c r="AF664" i="1" a="1"/>
  <c r="AF664" i="1" s="1"/>
  <c r="AF656" i="1" a="1"/>
  <c r="AF656" i="1" s="1"/>
  <c r="AF717" i="1" a="1"/>
  <c r="AF717" i="1" s="1"/>
  <c r="AF693" i="1" a="1"/>
  <c r="AF693" i="1" s="1"/>
  <c r="AF666" i="1" a="1"/>
  <c r="AF666" i="1" s="1"/>
  <c r="AF655" i="1" a="1"/>
  <c r="AF655" i="1" s="1"/>
  <c r="AF652" i="1" a="1"/>
  <c r="AF652" i="1" s="1"/>
  <c r="AF644" i="1" a="1"/>
  <c r="AF644" i="1" s="1"/>
  <c r="AF636" i="1" a="1"/>
  <c r="AF636" i="1" s="1"/>
  <c r="AF628" i="1" a="1"/>
  <c r="AF628" i="1" s="1"/>
  <c r="AF620" i="1" a="1"/>
  <c r="AF620" i="1" s="1"/>
  <c r="AF612" i="1" a="1"/>
  <c r="AF612" i="1" s="1"/>
  <c r="AF604" i="1" a="1"/>
  <c r="AF604" i="1" s="1"/>
  <c r="AF596" i="1" a="1"/>
  <c r="AF596" i="1" s="1"/>
  <c r="AF588" i="1" a="1"/>
  <c r="AF588" i="1" s="1"/>
  <c r="AF580" i="1" a="1"/>
  <c r="AF580" i="1" s="1"/>
  <c r="AF572" i="1" a="1"/>
  <c r="AF572" i="1" s="1"/>
  <c r="AF564" i="1" a="1"/>
  <c r="AF564" i="1" s="1"/>
  <c r="AF556" i="1" a="1"/>
  <c r="AF556" i="1" s="1"/>
  <c r="AF548" i="1" a="1"/>
  <c r="AF548" i="1" s="1"/>
  <c r="AF649" i="1" a="1"/>
  <c r="AF649" i="1" s="1"/>
  <c r="AF641" i="1" a="1"/>
  <c r="AF641" i="1" s="1"/>
  <c r="AF633" i="1" a="1"/>
  <c r="AF633" i="1" s="1"/>
  <c r="AF625" i="1" a="1"/>
  <c r="AF625" i="1" s="1"/>
  <c r="AF617" i="1" a="1"/>
  <c r="AF617" i="1" s="1"/>
  <c r="AF609" i="1" a="1"/>
  <c r="AF609" i="1" s="1"/>
  <c r="AF601" i="1" a="1"/>
  <c r="AF601" i="1" s="1"/>
  <c r="AF593" i="1" a="1"/>
  <c r="AF593" i="1" s="1"/>
  <c r="AF585" i="1" a="1"/>
  <c r="AF585" i="1" s="1"/>
  <c r="AF569" i="1" a="1"/>
  <c r="AF569" i="1" s="1"/>
  <c r="AF561" i="1" a="1"/>
  <c r="AF561" i="1" s="1"/>
  <c r="AF553" i="1" a="1"/>
  <c r="AF553" i="1" s="1"/>
  <c r="AF545" i="1" a="1"/>
  <c r="AF545" i="1" s="1"/>
  <c r="AF757" i="1" a="1"/>
  <c r="AF757" i="1" s="1"/>
  <c r="AF701" i="1" a="1"/>
  <c r="AF701" i="1" s="1"/>
  <c r="AF663" i="1" a="1"/>
  <c r="AF663" i="1" s="1"/>
  <c r="AF658" i="1" a="1"/>
  <c r="AF658" i="1" s="1"/>
  <c r="AF654" i="1" a="1"/>
  <c r="AF654" i="1" s="1"/>
  <c r="AF646" i="1" a="1"/>
  <c r="AF646" i="1" s="1"/>
  <c r="AF638" i="1" a="1"/>
  <c r="AF638" i="1" s="1"/>
  <c r="AF630" i="1" a="1"/>
  <c r="AF630" i="1" s="1"/>
  <c r="AF622" i="1" a="1"/>
  <c r="AF622" i="1" s="1"/>
  <c r="AF614" i="1" a="1"/>
  <c r="AF614" i="1" s="1"/>
  <c r="AF606" i="1" a="1"/>
  <c r="AF606" i="1" s="1"/>
  <c r="AF598" i="1" a="1"/>
  <c r="AF598" i="1" s="1"/>
  <c r="AF590" i="1" a="1"/>
  <c r="AF590" i="1" s="1"/>
  <c r="AF582" i="1" a="1"/>
  <c r="AF582" i="1" s="1"/>
  <c r="AF574" i="1" a="1"/>
  <c r="AF574" i="1" s="1"/>
  <c r="AF566" i="1" a="1"/>
  <c r="AF566" i="1" s="1"/>
  <c r="AF558" i="1" a="1"/>
  <c r="AF558" i="1" s="1"/>
  <c r="AF550" i="1" a="1"/>
  <c r="AF550" i="1" s="1"/>
  <c r="AF856" i="1" a="1"/>
  <c r="AF856" i="1" s="1"/>
  <c r="AF725" i="1" a="1"/>
  <c r="AF725" i="1" s="1"/>
  <c r="AF671" i="1" a="1"/>
  <c r="AF671" i="1" s="1"/>
  <c r="AF651" i="1" a="1"/>
  <c r="AF651" i="1" s="1"/>
  <c r="AF643" i="1" a="1"/>
  <c r="AF643" i="1" s="1"/>
  <c r="AF635" i="1" a="1"/>
  <c r="AF635" i="1" s="1"/>
  <c r="AF627" i="1" a="1"/>
  <c r="AF627" i="1" s="1"/>
  <c r="AF619" i="1" a="1"/>
  <c r="AF619" i="1" s="1"/>
  <c r="AF611" i="1" a="1"/>
  <c r="AF611" i="1" s="1"/>
  <c r="AF603" i="1" a="1"/>
  <c r="AF603" i="1" s="1"/>
  <c r="AF595" i="1" a="1"/>
  <c r="AF595" i="1" s="1"/>
  <c r="AF587" i="1" a="1"/>
  <c r="AF587" i="1" s="1"/>
  <c r="AF579" i="1" a="1"/>
  <c r="AF579" i="1" s="1"/>
  <c r="AF571" i="1" a="1"/>
  <c r="AF571" i="1" s="1"/>
  <c r="AF563" i="1" a="1"/>
  <c r="AF563" i="1" s="1"/>
  <c r="AF555" i="1" a="1"/>
  <c r="AF555" i="1" s="1"/>
  <c r="AF784" i="1" a="1"/>
  <c r="AF784" i="1" s="1"/>
  <c r="AF765" i="1" a="1"/>
  <c r="AF765" i="1" s="1"/>
  <c r="AF741" i="1" a="1"/>
  <c r="AF741" i="1" s="1"/>
  <c r="AF685" i="1" a="1"/>
  <c r="AF685" i="1" s="1"/>
  <c r="AF677" i="1" a="1"/>
  <c r="AF677" i="1" s="1"/>
  <c r="AF648" i="1" a="1"/>
  <c r="AF648" i="1" s="1"/>
  <c r="AF640" i="1" a="1"/>
  <c r="AF640" i="1" s="1"/>
  <c r="AF632" i="1" a="1"/>
  <c r="AF632" i="1" s="1"/>
  <c r="AF624" i="1" a="1"/>
  <c r="AF624" i="1" s="1"/>
  <c r="AF616" i="1" a="1"/>
  <c r="AF616" i="1" s="1"/>
  <c r="AF608" i="1" a="1"/>
  <c r="AF608" i="1" s="1"/>
  <c r="AF600" i="1" a="1"/>
  <c r="AF600" i="1" s="1"/>
  <c r="AF592" i="1" a="1"/>
  <c r="AF592" i="1" s="1"/>
  <c r="AF584" i="1" a="1"/>
  <c r="AF584" i="1" s="1"/>
  <c r="AF576" i="1" a="1"/>
  <c r="AF576" i="1" s="1"/>
  <c r="AF568" i="1" a="1"/>
  <c r="AF568" i="1" s="1"/>
  <c r="AF560" i="1" a="1"/>
  <c r="AF560" i="1" s="1"/>
  <c r="AF552" i="1" a="1"/>
  <c r="AF552" i="1" s="1"/>
  <c r="AF679" i="1" a="1"/>
  <c r="AF679" i="1" s="1"/>
  <c r="AF660" i="1" a="1"/>
  <c r="AF660" i="1" s="1"/>
  <c r="AF653" i="1" a="1"/>
  <c r="AF653" i="1" s="1"/>
  <c r="AF645" i="1" a="1"/>
  <c r="AF645" i="1" s="1"/>
  <c r="AF637" i="1" a="1"/>
  <c r="AF637" i="1" s="1"/>
  <c r="AF629" i="1" a="1"/>
  <c r="AF629" i="1" s="1"/>
  <c r="AF621" i="1" a="1"/>
  <c r="AF621" i="1" s="1"/>
  <c r="AF613" i="1" a="1"/>
  <c r="AF613" i="1" s="1"/>
  <c r="AF605" i="1" a="1"/>
  <c r="AF605" i="1" s="1"/>
  <c r="AF597" i="1" a="1"/>
  <c r="AF597" i="1" s="1"/>
  <c r="AF589" i="1" a="1"/>
  <c r="AF589" i="1" s="1"/>
  <c r="AF581" i="1" a="1"/>
  <c r="AF581" i="1" s="1"/>
  <c r="AF573" i="1" a="1"/>
  <c r="AF573" i="1" s="1"/>
  <c r="AF565" i="1" a="1"/>
  <c r="AF565" i="1" s="1"/>
  <c r="AF557" i="1" a="1"/>
  <c r="AF557" i="1" s="1"/>
  <c r="AF549" i="1" a="1"/>
  <c r="AF549" i="1" s="1"/>
  <c r="AF733" i="1" a="1"/>
  <c r="AF733" i="1" s="1"/>
  <c r="AF709" i="1" a="1"/>
  <c r="AF709" i="1" s="1"/>
  <c r="AF661" i="1" a="1"/>
  <c r="AF661" i="1" s="1"/>
  <c r="AF650" i="1" a="1"/>
  <c r="AF650" i="1" s="1"/>
  <c r="AF642" i="1" a="1"/>
  <c r="AF642" i="1" s="1"/>
  <c r="AF634" i="1" a="1"/>
  <c r="AF634" i="1" s="1"/>
  <c r="AF626" i="1" a="1"/>
  <c r="AF626" i="1" s="1"/>
  <c r="AF618" i="1" a="1"/>
  <c r="AF618" i="1" s="1"/>
  <c r="AF610" i="1" a="1"/>
  <c r="AF610" i="1" s="1"/>
  <c r="AF602" i="1" a="1"/>
  <c r="AF602" i="1" s="1"/>
  <c r="AF594" i="1" a="1"/>
  <c r="AF594" i="1" s="1"/>
  <c r="AF586" i="1" a="1"/>
  <c r="AF586" i="1" s="1"/>
  <c r="AF578" i="1" a="1"/>
  <c r="AF578" i="1" s="1"/>
  <c r="AF570" i="1" a="1"/>
  <c r="AF570" i="1" s="1"/>
  <c r="AF562" i="1" a="1"/>
  <c r="AF562" i="1" s="1"/>
  <c r="AF554" i="1" a="1"/>
  <c r="AF554" i="1" s="1"/>
  <c r="AF546" i="1" a="1"/>
  <c r="AF546" i="1" s="1"/>
  <c r="AF536" i="1" a="1"/>
  <c r="AF536" i="1" s="1"/>
  <c r="AF528" i="1" a="1"/>
  <c r="AF528" i="1" s="1"/>
  <c r="AF520" i="1" a="1"/>
  <c r="AF520" i="1" s="1"/>
  <c r="AF512" i="1" a="1"/>
  <c r="AF512" i="1" s="1"/>
  <c r="AF504" i="1" a="1"/>
  <c r="AF504" i="1" s="1"/>
  <c r="AF496" i="1" a="1"/>
  <c r="AF496" i="1" s="1"/>
  <c r="AF488" i="1" a="1"/>
  <c r="AF488" i="1" s="1"/>
  <c r="AF480" i="1" a="1"/>
  <c r="AF480" i="1" s="1"/>
  <c r="AF472" i="1" a="1"/>
  <c r="AF472" i="1" s="1"/>
  <c r="AF464" i="1" a="1"/>
  <c r="AF464" i="1" s="1"/>
  <c r="AF456" i="1" a="1"/>
  <c r="AF456" i="1" s="1"/>
  <c r="AF448" i="1" a="1"/>
  <c r="AF448" i="1" s="1"/>
  <c r="AF440" i="1" a="1"/>
  <c r="AF440" i="1" s="1"/>
  <c r="AF432" i="1" a="1"/>
  <c r="AF432" i="1" s="1"/>
  <c r="AF607" i="1" a="1"/>
  <c r="AF607" i="1" s="1"/>
  <c r="AF591" i="1" a="1"/>
  <c r="AF591" i="1" s="1"/>
  <c r="AF541" i="1" a="1"/>
  <c r="AF541" i="1" s="1"/>
  <c r="AF533" i="1" a="1"/>
  <c r="AF533" i="1" s="1"/>
  <c r="AF525" i="1" a="1"/>
  <c r="AF525" i="1" s="1"/>
  <c r="AF517" i="1" a="1"/>
  <c r="AF517" i="1" s="1"/>
  <c r="AF509" i="1" a="1"/>
  <c r="AF509" i="1" s="1"/>
  <c r="AF501" i="1" a="1"/>
  <c r="AF501" i="1" s="1"/>
  <c r="AF493" i="1" a="1"/>
  <c r="AF493" i="1" s="1"/>
  <c r="AF477" i="1" a="1"/>
  <c r="AF477" i="1" s="1"/>
  <c r="AF469" i="1" a="1"/>
  <c r="AF469" i="1" s="1"/>
  <c r="AF461" i="1" a="1"/>
  <c r="AF461" i="1" s="1"/>
  <c r="AF453" i="1" a="1"/>
  <c r="AF453" i="1" s="1"/>
  <c r="AF445" i="1" a="1"/>
  <c r="AF445" i="1" s="1"/>
  <c r="AF437" i="1" a="1"/>
  <c r="AF437" i="1" s="1"/>
  <c r="AF639" i="1" a="1"/>
  <c r="AF639" i="1" s="1"/>
  <c r="AF567" i="1" a="1"/>
  <c r="AF567" i="1" s="1"/>
  <c r="AF538" i="1" a="1"/>
  <c r="AF538" i="1" s="1"/>
  <c r="AF530" i="1" a="1"/>
  <c r="AF530" i="1" s="1"/>
  <c r="AF522" i="1" a="1"/>
  <c r="AF522" i="1" s="1"/>
  <c r="AF514" i="1" a="1"/>
  <c r="AF514" i="1" s="1"/>
  <c r="AF506" i="1" a="1"/>
  <c r="AF506" i="1" s="1"/>
  <c r="AF498" i="1" a="1"/>
  <c r="AF498" i="1" s="1"/>
  <c r="AF490" i="1" a="1"/>
  <c r="AF490" i="1" s="1"/>
  <c r="AF482" i="1" a="1"/>
  <c r="AF482" i="1" s="1"/>
  <c r="AF474" i="1" a="1"/>
  <c r="AF474" i="1" s="1"/>
  <c r="AF466" i="1" a="1"/>
  <c r="AF466" i="1" s="1"/>
  <c r="AF458" i="1" a="1"/>
  <c r="AF458" i="1" s="1"/>
  <c r="AF450" i="1" a="1"/>
  <c r="AF450" i="1" s="1"/>
  <c r="AF442" i="1" a="1"/>
  <c r="AF442" i="1" s="1"/>
  <c r="AF535" i="1" a="1"/>
  <c r="AF535" i="1" s="1"/>
  <c r="AF527" i="1" a="1"/>
  <c r="AF527" i="1" s="1"/>
  <c r="AF519" i="1" a="1"/>
  <c r="AF519" i="1" s="1"/>
  <c r="AF511" i="1" a="1"/>
  <c r="AF511" i="1" s="1"/>
  <c r="AF503" i="1" a="1"/>
  <c r="AF503" i="1" s="1"/>
  <c r="AF495" i="1" a="1"/>
  <c r="AF495" i="1" s="1"/>
  <c r="AF487" i="1" a="1"/>
  <c r="AF487" i="1" s="1"/>
  <c r="AF479" i="1" a="1"/>
  <c r="AF479" i="1" s="1"/>
  <c r="AF471" i="1" a="1"/>
  <c r="AF471" i="1" s="1"/>
  <c r="AF463" i="1" a="1"/>
  <c r="AF463" i="1" s="1"/>
  <c r="AF455" i="1" a="1"/>
  <c r="AF455" i="1" s="1"/>
  <c r="AF447" i="1" a="1"/>
  <c r="AF447" i="1" s="1"/>
  <c r="AF439" i="1" a="1"/>
  <c r="AF439" i="1" s="1"/>
  <c r="AF647" i="1" a="1"/>
  <c r="AF647" i="1" s="1"/>
  <c r="AF583" i="1" a="1"/>
  <c r="AF583" i="1" s="1"/>
  <c r="AF551" i="1" a="1"/>
  <c r="AF551" i="1" s="1"/>
  <c r="AF540" i="1" a="1"/>
  <c r="AF540" i="1" s="1"/>
  <c r="AF532" i="1" a="1"/>
  <c r="AF532" i="1" s="1"/>
  <c r="AF524" i="1" a="1"/>
  <c r="AF524" i="1" s="1"/>
  <c r="AF516" i="1" a="1"/>
  <c r="AF516" i="1" s="1"/>
  <c r="AF508" i="1" a="1"/>
  <c r="AF508" i="1" s="1"/>
  <c r="AF500" i="1" a="1"/>
  <c r="AF500" i="1" s="1"/>
  <c r="AF492" i="1" a="1"/>
  <c r="AF492" i="1" s="1"/>
  <c r="AF484" i="1" a="1"/>
  <c r="AF484" i="1" s="1"/>
  <c r="AF476" i="1" a="1"/>
  <c r="AF476" i="1" s="1"/>
  <c r="AF468" i="1" a="1"/>
  <c r="AF468" i="1" s="1"/>
  <c r="AF460" i="1" a="1"/>
  <c r="AF460" i="1" s="1"/>
  <c r="AF452" i="1" a="1"/>
  <c r="AF452" i="1" s="1"/>
  <c r="AF444" i="1" a="1"/>
  <c r="AF444" i="1" s="1"/>
  <c r="AF436" i="1" a="1"/>
  <c r="AF436" i="1" s="1"/>
  <c r="AF547" i="1" a="1"/>
  <c r="AF547" i="1" s="1"/>
  <c r="AF537" i="1" a="1"/>
  <c r="AF537" i="1" s="1"/>
  <c r="AF529" i="1" a="1"/>
  <c r="AF529" i="1" s="1"/>
  <c r="AF521" i="1" a="1"/>
  <c r="AF521" i="1" s="1"/>
  <c r="AF513" i="1" a="1"/>
  <c r="AF513" i="1" s="1"/>
  <c r="AF505" i="1" a="1"/>
  <c r="AF505" i="1" s="1"/>
  <c r="AF497" i="1" a="1"/>
  <c r="AF497" i="1" s="1"/>
  <c r="AF489" i="1" a="1"/>
  <c r="AF489" i="1" s="1"/>
  <c r="AF481" i="1" a="1"/>
  <c r="AF481" i="1" s="1"/>
  <c r="AF473" i="1" a="1"/>
  <c r="AF473" i="1" s="1"/>
  <c r="AF465" i="1" a="1"/>
  <c r="AF465" i="1" s="1"/>
  <c r="AF457" i="1" a="1"/>
  <c r="AF457" i="1" s="1"/>
  <c r="AF449" i="1" a="1"/>
  <c r="AF449" i="1" s="1"/>
  <c r="AF808" i="1" a="1"/>
  <c r="AF808" i="1" s="1"/>
  <c r="AF615" i="1" a="1"/>
  <c r="AF615" i="1" s="1"/>
  <c r="AF599" i="1" a="1"/>
  <c r="AF599" i="1" s="1"/>
  <c r="AF559" i="1" a="1"/>
  <c r="AF559" i="1" s="1"/>
  <c r="AF534" i="1" a="1"/>
  <c r="AF534" i="1" s="1"/>
  <c r="AF526" i="1" a="1"/>
  <c r="AF526" i="1" s="1"/>
  <c r="AF518" i="1" a="1"/>
  <c r="AF518" i="1" s="1"/>
  <c r="AF510" i="1" a="1"/>
  <c r="AF510" i="1" s="1"/>
  <c r="AF502" i="1" a="1"/>
  <c r="AF502" i="1" s="1"/>
  <c r="AF494" i="1" a="1"/>
  <c r="AF494" i="1" s="1"/>
  <c r="AF486" i="1" a="1"/>
  <c r="AF486" i="1" s="1"/>
  <c r="AF478" i="1" a="1"/>
  <c r="AF478" i="1" s="1"/>
  <c r="AF470" i="1" a="1"/>
  <c r="AF470" i="1" s="1"/>
  <c r="AF462" i="1" a="1"/>
  <c r="AF462" i="1" s="1"/>
  <c r="AF454" i="1" a="1"/>
  <c r="AF454" i="1" s="1"/>
  <c r="AF446" i="1" a="1"/>
  <c r="AF446" i="1" s="1"/>
  <c r="AF438" i="1" a="1"/>
  <c r="AF438" i="1" s="1"/>
  <c r="AF631" i="1" a="1"/>
  <c r="AF631" i="1" s="1"/>
  <c r="AF425" i="1" a="1"/>
  <c r="AF425" i="1" s="1"/>
  <c r="AF417" i="1" a="1"/>
  <c r="AF417" i="1" s="1"/>
  <c r="AF409" i="1" a="1"/>
  <c r="AF409" i="1" s="1"/>
  <c r="AF401" i="1" a="1"/>
  <c r="AF401" i="1" s="1"/>
  <c r="AF393" i="1" a="1"/>
  <c r="AF393" i="1" s="1"/>
  <c r="AF385" i="1" a="1"/>
  <c r="AF385" i="1" s="1"/>
  <c r="AF377" i="1" a="1"/>
  <c r="AF377" i="1" s="1"/>
  <c r="AF369" i="1" a="1"/>
  <c r="AF369" i="1" s="1"/>
  <c r="AF361" i="1" a="1"/>
  <c r="AF361" i="1" s="1"/>
  <c r="AF353" i="1" a="1"/>
  <c r="AF353" i="1" s="1"/>
  <c r="AF345" i="1" a="1"/>
  <c r="AF345" i="1" s="1"/>
  <c r="AF329" i="1" a="1"/>
  <c r="AF329" i="1" s="1"/>
  <c r="AF321" i="1" a="1"/>
  <c r="AF321" i="1" s="1"/>
  <c r="AF313" i="1" a="1"/>
  <c r="AF313" i="1" s="1"/>
  <c r="AF305" i="1" a="1"/>
  <c r="AF305" i="1" s="1"/>
  <c r="AF297" i="1" a="1"/>
  <c r="AF297" i="1" s="1"/>
  <c r="AF289" i="1" a="1"/>
  <c r="AF289" i="1" s="1"/>
  <c r="AF281" i="1" a="1"/>
  <c r="AF281" i="1" s="1"/>
  <c r="AF273" i="1" a="1"/>
  <c r="AF273" i="1" s="1"/>
  <c r="AF265" i="1" a="1"/>
  <c r="AF265" i="1" s="1"/>
  <c r="AF257" i="1" a="1"/>
  <c r="AF257" i="1" s="1"/>
  <c r="AF249" i="1" a="1"/>
  <c r="AF249" i="1" s="1"/>
  <c r="AF241" i="1" a="1"/>
  <c r="AF241" i="1" s="1"/>
  <c r="AF233" i="1" a="1"/>
  <c r="AF233" i="1" s="1"/>
  <c r="AF225" i="1" a="1"/>
  <c r="AF225" i="1" s="1"/>
  <c r="AF217" i="1" a="1"/>
  <c r="AF217" i="1" s="1"/>
  <c r="AF209" i="1" a="1"/>
  <c r="AF209" i="1" s="1"/>
  <c r="AF201" i="1" a="1"/>
  <c r="AF201" i="1" s="1"/>
  <c r="AF193" i="1" a="1"/>
  <c r="AF193" i="1" s="1"/>
  <c r="AF542" i="1" a="1"/>
  <c r="AF542" i="1" s="1"/>
  <c r="AF539" i="1" a="1"/>
  <c r="AF539" i="1" s="1"/>
  <c r="AF475" i="1" a="1"/>
  <c r="AF475" i="1" s="1"/>
  <c r="AF459" i="1" a="1"/>
  <c r="AF459" i="1" s="1"/>
  <c r="AF431" i="1" a="1"/>
  <c r="AF431" i="1" s="1"/>
  <c r="AF422" i="1" a="1"/>
  <c r="AF422" i="1" s="1"/>
  <c r="AF414" i="1" a="1"/>
  <c r="AF414" i="1" s="1"/>
  <c r="AF406" i="1" a="1"/>
  <c r="AF406" i="1" s="1"/>
  <c r="AF398" i="1" a="1"/>
  <c r="AF398" i="1" s="1"/>
  <c r="AF390" i="1" a="1"/>
  <c r="AF390" i="1" s="1"/>
  <c r="AF382" i="1" a="1"/>
  <c r="AF382" i="1" s="1"/>
  <c r="AF374" i="1" a="1"/>
  <c r="AF374" i="1" s="1"/>
  <c r="AF366" i="1" a="1"/>
  <c r="AF366" i="1" s="1"/>
  <c r="AF358" i="1" a="1"/>
  <c r="AF358" i="1" s="1"/>
  <c r="AF350" i="1" a="1"/>
  <c r="AF350" i="1" s="1"/>
  <c r="AF342" i="1" a="1"/>
  <c r="AF342" i="1" s="1"/>
  <c r="AF334" i="1" a="1"/>
  <c r="AF334" i="1" s="1"/>
  <c r="AF326" i="1" a="1"/>
  <c r="AF326" i="1" s="1"/>
  <c r="AF318" i="1" a="1"/>
  <c r="AF318" i="1" s="1"/>
  <c r="AF310" i="1" a="1"/>
  <c r="AF310" i="1" s="1"/>
  <c r="AF302" i="1" a="1"/>
  <c r="AF302" i="1" s="1"/>
  <c r="AF294" i="1" a="1"/>
  <c r="AF294" i="1" s="1"/>
  <c r="AF286" i="1" a="1"/>
  <c r="AF286" i="1" s="1"/>
  <c r="AF278" i="1" a="1"/>
  <c r="AF278" i="1" s="1"/>
  <c r="AF270" i="1" a="1"/>
  <c r="AF270" i="1" s="1"/>
  <c r="AF262" i="1" a="1"/>
  <c r="AF262" i="1" s="1"/>
  <c r="AF254" i="1" a="1"/>
  <c r="AF254" i="1" s="1"/>
  <c r="AF246" i="1" a="1"/>
  <c r="AF246" i="1" s="1"/>
  <c r="AF238" i="1" a="1"/>
  <c r="AF238" i="1" s="1"/>
  <c r="AF230" i="1" a="1"/>
  <c r="AF230" i="1" s="1"/>
  <c r="AF222" i="1" a="1"/>
  <c r="AF222" i="1" s="1"/>
  <c r="AF214" i="1" a="1"/>
  <c r="AF214" i="1" s="1"/>
  <c r="AF206" i="1" a="1"/>
  <c r="AF206" i="1" s="1"/>
  <c r="AF198" i="1" a="1"/>
  <c r="AF198" i="1" s="1"/>
  <c r="AF190" i="1" a="1"/>
  <c r="AF190" i="1" s="1"/>
  <c r="AF507" i="1" a="1"/>
  <c r="AF507" i="1" s="1"/>
  <c r="AF430" i="1" a="1"/>
  <c r="AF430" i="1" s="1"/>
  <c r="AF427" i="1" a="1"/>
  <c r="AF427" i="1" s="1"/>
  <c r="AF419" i="1" a="1"/>
  <c r="AF419" i="1" s="1"/>
  <c r="AF411" i="1" a="1"/>
  <c r="AF411" i="1" s="1"/>
  <c r="AF403" i="1" a="1"/>
  <c r="AF403" i="1" s="1"/>
  <c r="AF395" i="1" a="1"/>
  <c r="AF395" i="1" s="1"/>
  <c r="AF387" i="1" a="1"/>
  <c r="AF387" i="1" s="1"/>
  <c r="AF379" i="1" a="1"/>
  <c r="AF379" i="1" s="1"/>
  <c r="AF371" i="1" a="1"/>
  <c r="AF371" i="1" s="1"/>
  <c r="AF363" i="1" a="1"/>
  <c r="AF363" i="1" s="1"/>
  <c r="AF355" i="1" a="1"/>
  <c r="AF355" i="1" s="1"/>
  <c r="AF347" i="1" a="1"/>
  <c r="AF347" i="1" s="1"/>
  <c r="AF339" i="1" a="1"/>
  <c r="AF339" i="1" s="1"/>
  <c r="AF331" i="1" a="1"/>
  <c r="AF331" i="1" s="1"/>
  <c r="AF323" i="1" a="1"/>
  <c r="AF323" i="1" s="1"/>
  <c r="AF315" i="1" a="1"/>
  <c r="AF315" i="1" s="1"/>
  <c r="AF307" i="1" a="1"/>
  <c r="AF307" i="1" s="1"/>
  <c r="AF299" i="1" a="1"/>
  <c r="AF299" i="1" s="1"/>
  <c r="AF283" i="1" a="1"/>
  <c r="AF283" i="1" s="1"/>
  <c r="AF275" i="1" a="1"/>
  <c r="AF275" i="1" s="1"/>
  <c r="AF267" i="1" a="1"/>
  <c r="AF267" i="1" s="1"/>
  <c r="AF259" i="1" a="1"/>
  <c r="AF259" i="1" s="1"/>
  <c r="AF251" i="1" a="1"/>
  <c r="AF251" i="1" s="1"/>
  <c r="AF243" i="1" a="1"/>
  <c r="AF243" i="1" s="1"/>
  <c r="AF235" i="1" a="1"/>
  <c r="AF235" i="1" s="1"/>
  <c r="AF227" i="1" a="1"/>
  <c r="AF227" i="1" s="1"/>
  <c r="AF219" i="1" a="1"/>
  <c r="AF219" i="1" s="1"/>
  <c r="AF211" i="1" a="1"/>
  <c r="AF211" i="1" s="1"/>
  <c r="AF203" i="1" a="1"/>
  <c r="AF203" i="1" s="1"/>
  <c r="AF195" i="1" a="1"/>
  <c r="AF195" i="1" s="1"/>
  <c r="AF491" i="1" a="1"/>
  <c r="AF491" i="1" s="1"/>
  <c r="AF433" i="1" a="1"/>
  <c r="AF433" i="1" s="1"/>
  <c r="AF424" i="1" a="1"/>
  <c r="AF424" i="1" s="1"/>
  <c r="AF416" i="1" a="1"/>
  <c r="AF416" i="1" s="1"/>
  <c r="AF408" i="1" a="1"/>
  <c r="AF408" i="1" s="1"/>
  <c r="AF400" i="1" a="1"/>
  <c r="AF400" i="1" s="1"/>
  <c r="AF392" i="1" a="1"/>
  <c r="AF392" i="1" s="1"/>
  <c r="AF384" i="1" a="1"/>
  <c r="AF384" i="1" s="1"/>
  <c r="AF376" i="1" a="1"/>
  <c r="AF376" i="1" s="1"/>
  <c r="AF368" i="1" a="1"/>
  <c r="AF368" i="1" s="1"/>
  <c r="AF360" i="1" a="1"/>
  <c r="AF360" i="1" s="1"/>
  <c r="AF352" i="1" a="1"/>
  <c r="AF352" i="1" s="1"/>
  <c r="AF344" i="1" a="1"/>
  <c r="AF344" i="1" s="1"/>
  <c r="AF336" i="1" a="1"/>
  <c r="AF336" i="1" s="1"/>
  <c r="AF328" i="1" a="1"/>
  <c r="AF328" i="1" s="1"/>
  <c r="AF320" i="1" a="1"/>
  <c r="AF320" i="1" s="1"/>
  <c r="AF312" i="1" a="1"/>
  <c r="AF312" i="1" s="1"/>
  <c r="AF304" i="1" a="1"/>
  <c r="AF304" i="1" s="1"/>
  <c r="AF296" i="1" a="1"/>
  <c r="AF296" i="1" s="1"/>
  <c r="AF288" i="1" a="1"/>
  <c r="AF288" i="1" s="1"/>
  <c r="AF280" i="1" a="1"/>
  <c r="AF280" i="1" s="1"/>
  <c r="AF272" i="1" a="1"/>
  <c r="AF272" i="1" s="1"/>
  <c r="AF264" i="1" a="1"/>
  <c r="AF264" i="1" s="1"/>
  <c r="AF256" i="1" a="1"/>
  <c r="AF256" i="1" s="1"/>
  <c r="AF248" i="1" a="1"/>
  <c r="AF248" i="1" s="1"/>
  <c r="AF240" i="1" a="1"/>
  <c r="AF240" i="1" s="1"/>
  <c r="AF232" i="1" a="1"/>
  <c r="AF232" i="1" s="1"/>
  <c r="AF224" i="1" a="1"/>
  <c r="AF224" i="1" s="1"/>
  <c r="AF216" i="1" a="1"/>
  <c r="AF216" i="1" s="1"/>
  <c r="AF208" i="1" a="1"/>
  <c r="AF208" i="1" s="1"/>
  <c r="AF200" i="1" a="1"/>
  <c r="AF200" i="1" s="1"/>
  <c r="AF192" i="1" a="1"/>
  <c r="AF192" i="1" s="1"/>
  <c r="AF544" i="1" a="1"/>
  <c r="AF544" i="1" s="1"/>
  <c r="AF515" i="1" a="1"/>
  <c r="AF515" i="1" s="1"/>
  <c r="AF441" i="1" a="1"/>
  <c r="AF441" i="1" s="1"/>
  <c r="AF429" i="1" a="1"/>
  <c r="AF429" i="1" s="1"/>
  <c r="AF421" i="1" a="1"/>
  <c r="AF421" i="1" s="1"/>
  <c r="AF413" i="1" a="1"/>
  <c r="AF413" i="1" s="1"/>
  <c r="AF405" i="1" a="1"/>
  <c r="AF405" i="1" s="1"/>
  <c r="AF397" i="1" a="1"/>
  <c r="AF397" i="1" s="1"/>
  <c r="AF389" i="1" a="1"/>
  <c r="AF389" i="1" s="1"/>
  <c r="AF381" i="1" a="1"/>
  <c r="AF381" i="1" s="1"/>
  <c r="AF373" i="1" a="1"/>
  <c r="AF373" i="1" s="1"/>
  <c r="AF365" i="1" a="1"/>
  <c r="AF365" i="1" s="1"/>
  <c r="AF357" i="1" a="1"/>
  <c r="AF357" i="1" s="1"/>
  <c r="AF349" i="1" a="1"/>
  <c r="AF349" i="1" s="1"/>
  <c r="AF341" i="1" a="1"/>
  <c r="AF341" i="1" s="1"/>
  <c r="AF333" i="1" a="1"/>
  <c r="AF333" i="1" s="1"/>
  <c r="AF325" i="1" a="1"/>
  <c r="AF325" i="1" s="1"/>
  <c r="AF317" i="1" a="1"/>
  <c r="AF317" i="1" s="1"/>
  <c r="AF309" i="1" a="1"/>
  <c r="AF309" i="1" s="1"/>
  <c r="AF301" i="1" a="1"/>
  <c r="AF301" i="1" s="1"/>
  <c r="AF293" i="1" a="1"/>
  <c r="AF293" i="1" s="1"/>
  <c r="AF285" i="1" a="1"/>
  <c r="AF285" i="1" s="1"/>
  <c r="AF277" i="1" a="1"/>
  <c r="AF277" i="1" s="1"/>
  <c r="AF269" i="1" a="1"/>
  <c r="AF269" i="1" s="1"/>
  <c r="AF261" i="1" a="1"/>
  <c r="AF261" i="1" s="1"/>
  <c r="AF253" i="1" a="1"/>
  <c r="AF253" i="1" s="1"/>
  <c r="AF237" i="1" a="1"/>
  <c r="AF237" i="1" s="1"/>
  <c r="AF229" i="1" a="1"/>
  <c r="AF229" i="1" s="1"/>
  <c r="AF221" i="1" a="1"/>
  <c r="AF221" i="1" s="1"/>
  <c r="AF213" i="1" a="1"/>
  <c r="AF213" i="1" s="1"/>
  <c r="AF205" i="1" a="1"/>
  <c r="AF205" i="1" s="1"/>
  <c r="AF197" i="1" a="1"/>
  <c r="AF197" i="1" s="1"/>
  <c r="AF467" i="1" a="1"/>
  <c r="AF467" i="1" s="1"/>
  <c r="AF451" i="1" a="1"/>
  <c r="AF451" i="1" s="1"/>
  <c r="AF443" i="1" a="1"/>
  <c r="AF443" i="1" s="1"/>
  <c r="AF426" i="1" a="1"/>
  <c r="AF426" i="1" s="1"/>
  <c r="AF418" i="1" a="1"/>
  <c r="AF418" i="1" s="1"/>
  <c r="AF410" i="1" a="1"/>
  <c r="AF410" i="1" s="1"/>
  <c r="AF402" i="1" a="1"/>
  <c r="AF402" i="1" s="1"/>
  <c r="AF394" i="1" a="1"/>
  <c r="AF394" i="1" s="1"/>
  <c r="AF386" i="1" a="1"/>
  <c r="AF386" i="1" s="1"/>
  <c r="AF378" i="1" a="1"/>
  <c r="AF378" i="1" s="1"/>
  <c r="AF370" i="1" a="1"/>
  <c r="AF370" i="1" s="1"/>
  <c r="AF362" i="1" a="1"/>
  <c r="AF362" i="1" s="1"/>
  <c r="AF354" i="1" a="1"/>
  <c r="AF354" i="1" s="1"/>
  <c r="AF346" i="1" a="1"/>
  <c r="AF346" i="1" s="1"/>
  <c r="AF338" i="1" a="1"/>
  <c r="AF338" i="1" s="1"/>
  <c r="AF330" i="1" a="1"/>
  <c r="AF330" i="1" s="1"/>
  <c r="AF322" i="1" a="1"/>
  <c r="AF322" i="1" s="1"/>
  <c r="AF314" i="1" a="1"/>
  <c r="AF314" i="1" s="1"/>
  <c r="AF306" i="1" a="1"/>
  <c r="AF306" i="1" s="1"/>
  <c r="AF298" i="1" a="1"/>
  <c r="AF298" i="1" s="1"/>
  <c r="AF290" i="1" a="1"/>
  <c r="AF290" i="1" s="1"/>
  <c r="AF282" i="1" a="1"/>
  <c r="AF282" i="1" s="1"/>
  <c r="AF274" i="1" a="1"/>
  <c r="AF274" i="1" s="1"/>
  <c r="AF266" i="1" a="1"/>
  <c r="AF266" i="1" s="1"/>
  <c r="AF258" i="1" a="1"/>
  <c r="AF258" i="1" s="1"/>
  <c r="AF250" i="1" a="1"/>
  <c r="AF250" i="1" s="1"/>
  <c r="AF242" i="1" a="1"/>
  <c r="AF242" i="1" s="1"/>
  <c r="AF234" i="1" a="1"/>
  <c r="AF234" i="1" s="1"/>
  <c r="AF226" i="1" a="1"/>
  <c r="AF226" i="1" s="1"/>
  <c r="AF218" i="1" a="1"/>
  <c r="AF218" i="1" s="1"/>
  <c r="AF210" i="1" a="1"/>
  <c r="AF210" i="1" s="1"/>
  <c r="AF202" i="1" a="1"/>
  <c r="AF202" i="1" s="1"/>
  <c r="AF194" i="1" a="1"/>
  <c r="AF194" i="1" s="1"/>
  <c r="AF186" i="1" a="1"/>
  <c r="AF186" i="1" s="1"/>
  <c r="AF749" i="1" a="1"/>
  <c r="AF749" i="1" s="1"/>
  <c r="AF575" i="1" a="1"/>
  <c r="AF575" i="1" s="1"/>
  <c r="AF499" i="1" a="1"/>
  <c r="AF499" i="1" s="1"/>
  <c r="AF483" i="1" a="1"/>
  <c r="AF483" i="1" s="1"/>
  <c r="AF423" i="1" a="1"/>
  <c r="AF423" i="1" s="1"/>
  <c r="AF415" i="1" a="1"/>
  <c r="AF415" i="1" s="1"/>
  <c r="AF407" i="1" a="1"/>
  <c r="AF407" i="1" s="1"/>
  <c r="AF399" i="1" a="1"/>
  <c r="AF399" i="1" s="1"/>
  <c r="AF391" i="1" a="1"/>
  <c r="AF391" i="1" s="1"/>
  <c r="AF375" i="1" a="1"/>
  <c r="AF375" i="1" s="1"/>
  <c r="AF367" i="1" a="1"/>
  <c r="AF367" i="1" s="1"/>
  <c r="AF359" i="1" a="1"/>
  <c r="AF359" i="1" s="1"/>
  <c r="AF351" i="1" a="1"/>
  <c r="AF351" i="1" s="1"/>
  <c r="AF343" i="1" a="1"/>
  <c r="AF343" i="1" s="1"/>
  <c r="AF335" i="1" a="1"/>
  <c r="AF335" i="1" s="1"/>
  <c r="AF327" i="1" a="1"/>
  <c r="AF327" i="1" s="1"/>
  <c r="AF319" i="1" a="1"/>
  <c r="AF319" i="1" s="1"/>
  <c r="AF311" i="1" a="1"/>
  <c r="AF311" i="1" s="1"/>
  <c r="AF303" i="1" a="1"/>
  <c r="AF303" i="1" s="1"/>
  <c r="AF295" i="1" a="1"/>
  <c r="AF295" i="1" s="1"/>
  <c r="AF287" i="1" a="1"/>
  <c r="AF287" i="1" s="1"/>
  <c r="AF279" i="1" a="1"/>
  <c r="AF279" i="1" s="1"/>
  <c r="AF271" i="1" a="1"/>
  <c r="AF271" i="1" s="1"/>
  <c r="AF263" i="1" a="1"/>
  <c r="AF263" i="1" s="1"/>
  <c r="AF255" i="1" a="1"/>
  <c r="AF255" i="1" s="1"/>
  <c r="AF247" i="1" a="1"/>
  <c r="AF247" i="1" s="1"/>
  <c r="AF239" i="1" a="1"/>
  <c r="AF239" i="1" s="1"/>
  <c r="AF231" i="1" a="1"/>
  <c r="AF231" i="1" s="1"/>
  <c r="AF223" i="1" a="1"/>
  <c r="AF223" i="1" s="1"/>
  <c r="AF215" i="1" a="1"/>
  <c r="AF215" i="1" s="1"/>
  <c r="AF207" i="1" a="1"/>
  <c r="AF207" i="1" s="1"/>
  <c r="AF191" i="1" a="1"/>
  <c r="AF191" i="1" s="1"/>
  <c r="AF396" i="1" a="1"/>
  <c r="AF396" i="1" s="1"/>
  <c r="AF324" i="1" a="1"/>
  <c r="AF324" i="1" s="1"/>
  <c r="AF260" i="1" a="1"/>
  <c r="AF260" i="1" s="1"/>
  <c r="AF244" i="1" a="1"/>
  <c r="AF244" i="1" s="1"/>
  <c r="AF181" i="1" a="1"/>
  <c r="AF181" i="1" s="1"/>
  <c r="AF173" i="1" a="1"/>
  <c r="AF173" i="1" s="1"/>
  <c r="AF165" i="1" a="1"/>
  <c r="AF165" i="1" s="1"/>
  <c r="AF157" i="1" a="1"/>
  <c r="AF157" i="1" s="1"/>
  <c r="AF149" i="1" a="1"/>
  <c r="AF149" i="1" s="1"/>
  <c r="AF141" i="1" a="1"/>
  <c r="AF141" i="1" s="1"/>
  <c r="AF133" i="1" a="1"/>
  <c r="AF133" i="1" s="1"/>
  <c r="AF125" i="1" a="1"/>
  <c r="AF125" i="1" s="1"/>
  <c r="AF117" i="1" a="1"/>
  <c r="AF117" i="1" s="1"/>
  <c r="AF109" i="1" a="1"/>
  <c r="AF109" i="1" s="1"/>
  <c r="AF101" i="1" a="1"/>
  <c r="AF101" i="1" s="1"/>
  <c r="AF93" i="1" a="1"/>
  <c r="AF93" i="1" s="1"/>
  <c r="AF85" i="1" a="1"/>
  <c r="AF85" i="1" s="1"/>
  <c r="AF77" i="1" a="1"/>
  <c r="AF77" i="1" s="1"/>
  <c r="AF69" i="1" a="1"/>
  <c r="AF69" i="1" s="1"/>
  <c r="AF61" i="1" a="1"/>
  <c r="AF61" i="1" s="1"/>
  <c r="AF53" i="1" a="1"/>
  <c r="AF53" i="1" s="1"/>
  <c r="AF45" i="1" a="1"/>
  <c r="AF45" i="1" s="1"/>
  <c r="AF37" i="1" a="1"/>
  <c r="AF37" i="1" s="1"/>
  <c r="AF33" i="1" a="1"/>
  <c r="AF33" i="1" s="1"/>
  <c r="AF25" i="1" a="1"/>
  <c r="AF25" i="1" s="1"/>
  <c r="AF17" i="1" a="1"/>
  <c r="AF17" i="1" s="1"/>
  <c r="AF9" i="1" a="1"/>
  <c r="AF9" i="1" s="1"/>
  <c r="AF523" i="1" a="1"/>
  <c r="AF523" i="1" s="1"/>
  <c r="AF372" i="1" a="1"/>
  <c r="AF372" i="1" s="1"/>
  <c r="AF348" i="1" a="1"/>
  <c r="AF348" i="1" s="1"/>
  <c r="AF178" i="1" a="1"/>
  <c r="AF178" i="1" s="1"/>
  <c r="AF170" i="1" a="1"/>
  <c r="AF170" i="1" s="1"/>
  <c r="AF162" i="1" a="1"/>
  <c r="AF162" i="1" s="1"/>
  <c r="AF154" i="1" a="1"/>
  <c r="AF154" i="1" s="1"/>
  <c r="AF146" i="1" a="1"/>
  <c r="AF146" i="1" s="1"/>
  <c r="AF138" i="1" a="1"/>
  <c r="AF138" i="1" s="1"/>
  <c r="AF130" i="1" a="1"/>
  <c r="AF130" i="1" s="1"/>
  <c r="AF122" i="1" a="1"/>
  <c r="AF122" i="1" s="1"/>
  <c r="AF114" i="1" a="1"/>
  <c r="AF114" i="1" s="1"/>
  <c r="AF106" i="1" a="1"/>
  <c r="AF106" i="1" s="1"/>
  <c r="AF98" i="1" a="1"/>
  <c r="AF98" i="1" s="1"/>
  <c r="AF90" i="1" a="1"/>
  <c r="AF90" i="1" s="1"/>
  <c r="AF82" i="1" a="1"/>
  <c r="AF82" i="1" s="1"/>
  <c r="AF74" i="1" a="1"/>
  <c r="AF74" i="1" s="1"/>
  <c r="AF66" i="1" a="1"/>
  <c r="AF66" i="1" s="1"/>
  <c r="AF58" i="1" a="1"/>
  <c r="AF58" i="1" s="1"/>
  <c r="AF50" i="1" a="1"/>
  <c r="AF50" i="1" s="1"/>
  <c r="AF42" i="1" a="1"/>
  <c r="AF42" i="1" s="1"/>
  <c r="AF32" i="1" a="1"/>
  <c r="AF32" i="1" s="1"/>
  <c r="AF24" i="1" a="1"/>
  <c r="AF24" i="1" s="1"/>
  <c r="AF16" i="1" a="1"/>
  <c r="AF16" i="1" s="1"/>
  <c r="AF8" i="1" a="1"/>
  <c r="AF8" i="1" s="1"/>
  <c r="AD1" i="1"/>
  <c r="AF1465" i="1" s="1" a="1"/>
  <c r="AF1465" i="1" s="1"/>
  <c r="AF428" i="1" a="1"/>
  <c r="AF428" i="1" s="1"/>
  <c r="AF404" i="1" a="1"/>
  <c r="AF404" i="1" s="1"/>
  <c r="AF356" i="1" a="1"/>
  <c r="AF356" i="1" s="1"/>
  <c r="AF332" i="1" a="1"/>
  <c r="AF332" i="1" s="1"/>
  <c r="AF300" i="1" a="1"/>
  <c r="AF300" i="1" s="1"/>
  <c r="AF284" i="1" a="1"/>
  <c r="AF284" i="1" s="1"/>
  <c r="AF204" i="1" a="1"/>
  <c r="AF204" i="1" s="1"/>
  <c r="AF183" i="1" a="1"/>
  <c r="AF183" i="1" s="1"/>
  <c r="AF175" i="1" a="1"/>
  <c r="AF175" i="1" s="1"/>
  <c r="AF167" i="1" a="1"/>
  <c r="AF167" i="1" s="1"/>
  <c r="AF159" i="1" a="1"/>
  <c r="AF159" i="1" s="1"/>
  <c r="AF151" i="1" a="1"/>
  <c r="AF151" i="1" s="1"/>
  <c r="AF143" i="1" a="1"/>
  <c r="AF143" i="1" s="1"/>
  <c r="AF135" i="1" a="1"/>
  <c r="AF135" i="1" s="1"/>
  <c r="AF127" i="1" a="1"/>
  <c r="AF127" i="1" s="1"/>
  <c r="AF119" i="1" a="1"/>
  <c r="AF119" i="1" s="1"/>
  <c r="AF111" i="1" a="1"/>
  <c r="AF111" i="1" s="1"/>
  <c r="AF103" i="1" a="1"/>
  <c r="AF103" i="1" s="1"/>
  <c r="AF95" i="1" a="1"/>
  <c r="AF95" i="1" s="1"/>
  <c r="AF87" i="1" a="1"/>
  <c r="AF87" i="1" s="1"/>
  <c r="AF79" i="1" a="1"/>
  <c r="AF79" i="1" s="1"/>
  <c r="AF71" i="1" a="1"/>
  <c r="AF71" i="1" s="1"/>
  <c r="AF63" i="1" a="1"/>
  <c r="AF63" i="1" s="1"/>
  <c r="AF55" i="1" a="1"/>
  <c r="AF55" i="1" s="1"/>
  <c r="AF47" i="1" a="1"/>
  <c r="AF47" i="1" s="1"/>
  <c r="AF39" i="1" a="1"/>
  <c r="AF39" i="1" s="1"/>
  <c r="AF31" i="1" a="1"/>
  <c r="AF31" i="1" s="1"/>
  <c r="AF23" i="1" a="1"/>
  <c r="AF23" i="1" s="1"/>
  <c r="AF15" i="1" a="1"/>
  <c r="AF15" i="1" s="1"/>
  <c r="AF7" i="1" a="1"/>
  <c r="AF7" i="1" s="1"/>
  <c r="AF10" i="1" a="1"/>
  <c r="AF10" i="1" s="1"/>
  <c r="AF380" i="1" a="1"/>
  <c r="AF380" i="1" s="1"/>
  <c r="AF308" i="1" a="1"/>
  <c r="AF308" i="1" s="1"/>
  <c r="AF268" i="1" a="1"/>
  <c r="AF268" i="1" s="1"/>
  <c r="AF220" i="1" a="1"/>
  <c r="AF220" i="1" s="1"/>
  <c r="AF187" i="1" a="1"/>
  <c r="AF187" i="1" s="1"/>
  <c r="AF180" i="1" a="1"/>
  <c r="AF180" i="1" s="1"/>
  <c r="AF172" i="1" a="1"/>
  <c r="AF172" i="1" s="1"/>
  <c r="AF164" i="1" a="1"/>
  <c r="AF164" i="1" s="1"/>
  <c r="AF156" i="1" a="1"/>
  <c r="AF156" i="1" s="1"/>
  <c r="AF148" i="1" a="1"/>
  <c r="AF148" i="1" s="1"/>
  <c r="AF140" i="1" a="1"/>
  <c r="AF140" i="1" s="1"/>
  <c r="AF132" i="1" a="1"/>
  <c r="AF132" i="1" s="1"/>
  <c r="AF124" i="1" a="1"/>
  <c r="AF124" i="1" s="1"/>
  <c r="AF116" i="1" a="1"/>
  <c r="AF116" i="1" s="1"/>
  <c r="AF108" i="1" a="1"/>
  <c r="AF108" i="1" s="1"/>
  <c r="AF100" i="1" a="1"/>
  <c r="AF100" i="1" s="1"/>
  <c r="AF92" i="1" a="1"/>
  <c r="AF92" i="1" s="1"/>
  <c r="AF84" i="1" a="1"/>
  <c r="AF84" i="1" s="1"/>
  <c r="AF76" i="1" a="1"/>
  <c r="AF76" i="1" s="1"/>
  <c r="AF68" i="1" a="1"/>
  <c r="AF68" i="1" s="1"/>
  <c r="AF52" i="1" a="1"/>
  <c r="AF52" i="1" s="1"/>
  <c r="AF44" i="1" a="1"/>
  <c r="AF44" i="1" s="1"/>
  <c r="AF36" i="1" a="1"/>
  <c r="AF36" i="1" s="1"/>
  <c r="AF30" i="1" a="1"/>
  <c r="AF30" i="1" s="1"/>
  <c r="AF22" i="1" a="1"/>
  <c r="AF22" i="1" s="1"/>
  <c r="AF14" i="1" a="1"/>
  <c r="AF14" i="1" s="1"/>
  <c r="AF6" i="1" a="1"/>
  <c r="AF6" i="1" s="1"/>
  <c r="AF2" i="1" a="1"/>
  <c r="AF2" i="1" s="1"/>
  <c r="AF196" i="1" a="1"/>
  <c r="AF196" i="1" s="1"/>
  <c r="AF188" i="1" a="1"/>
  <c r="AF188" i="1" s="1"/>
  <c r="AF185" i="1" a="1"/>
  <c r="AF185" i="1" s="1"/>
  <c r="AF177" i="1" a="1"/>
  <c r="AF177" i="1" s="1"/>
  <c r="AF169" i="1" a="1"/>
  <c r="AF169" i="1" s="1"/>
  <c r="AF161" i="1" a="1"/>
  <c r="AF161" i="1" s="1"/>
  <c r="AF153" i="1" a="1"/>
  <c r="AF153" i="1" s="1"/>
  <c r="AF145" i="1" a="1"/>
  <c r="AF145" i="1" s="1"/>
  <c r="AF137" i="1" a="1"/>
  <c r="AF137" i="1" s="1"/>
  <c r="AF129" i="1" a="1"/>
  <c r="AF129" i="1" s="1"/>
  <c r="AF121" i="1" a="1"/>
  <c r="AF121" i="1" s="1"/>
  <c r="AF113" i="1" a="1"/>
  <c r="AF113" i="1" s="1"/>
  <c r="AF97" i="1" a="1"/>
  <c r="AF97" i="1" s="1"/>
  <c r="AF89" i="1" a="1"/>
  <c r="AF89" i="1" s="1"/>
  <c r="AF81" i="1" a="1"/>
  <c r="AF81" i="1" s="1"/>
  <c r="AF73" i="1" a="1"/>
  <c r="AF73" i="1" s="1"/>
  <c r="AF65" i="1" a="1"/>
  <c r="AF65" i="1" s="1"/>
  <c r="AF57" i="1" a="1"/>
  <c r="AF57" i="1" s="1"/>
  <c r="AF49" i="1" a="1"/>
  <c r="AF49" i="1" s="1"/>
  <c r="AF41" i="1" a="1"/>
  <c r="AF41" i="1" s="1"/>
  <c r="AF29" i="1" a="1"/>
  <c r="AF29" i="1" s="1"/>
  <c r="AF21" i="1" a="1"/>
  <c r="AF21" i="1" s="1"/>
  <c r="AF13" i="1" a="1"/>
  <c r="AF13" i="1" s="1"/>
  <c r="AF5" i="1" a="1"/>
  <c r="AF5" i="1" s="1"/>
  <c r="AF543" i="1" a="1"/>
  <c r="AF543" i="1" s="1"/>
  <c r="AF412" i="1" a="1"/>
  <c r="AF412" i="1" s="1"/>
  <c r="AF388" i="1" a="1"/>
  <c r="AF388" i="1" s="1"/>
  <c r="AF316" i="1" a="1"/>
  <c r="AF316" i="1" s="1"/>
  <c r="AF252" i="1" a="1"/>
  <c r="AF252" i="1" s="1"/>
  <c r="AF236" i="1" a="1"/>
  <c r="AF236" i="1" s="1"/>
  <c r="AF182" i="1" a="1"/>
  <c r="AF182" i="1" s="1"/>
  <c r="AF174" i="1" a="1"/>
  <c r="AF174" i="1" s="1"/>
  <c r="AF166" i="1" a="1"/>
  <c r="AF166" i="1" s="1"/>
  <c r="AF158" i="1" a="1"/>
  <c r="AF158" i="1" s="1"/>
  <c r="AF150" i="1" a="1"/>
  <c r="AF150" i="1" s="1"/>
  <c r="AF142" i="1" a="1"/>
  <c r="AF142" i="1" s="1"/>
  <c r="AF134" i="1" a="1"/>
  <c r="AF134" i="1" s="1"/>
  <c r="AF126" i="1" a="1"/>
  <c r="AF126" i="1" s="1"/>
  <c r="AF118" i="1" a="1"/>
  <c r="AF118" i="1" s="1"/>
  <c r="AF110" i="1" a="1"/>
  <c r="AF110" i="1" s="1"/>
  <c r="AF102" i="1" a="1"/>
  <c r="AF102" i="1" s="1"/>
  <c r="AF94" i="1" a="1"/>
  <c r="AF94" i="1" s="1"/>
  <c r="AF86" i="1" a="1"/>
  <c r="AF86" i="1" s="1"/>
  <c r="AF78" i="1" a="1"/>
  <c r="AF78" i="1" s="1"/>
  <c r="AF70" i="1" a="1"/>
  <c r="AF70" i="1" s="1"/>
  <c r="AF62" i="1" a="1"/>
  <c r="AF62" i="1" s="1"/>
  <c r="AF54" i="1" a="1"/>
  <c r="AF54" i="1" s="1"/>
  <c r="AF46" i="1" a="1"/>
  <c r="AF46" i="1" s="1"/>
  <c r="AF38" i="1" a="1"/>
  <c r="AF38" i="1" s="1"/>
  <c r="AF28" i="1" a="1"/>
  <c r="AF28" i="1" s="1"/>
  <c r="AF20" i="1" a="1"/>
  <c r="AF20" i="1" s="1"/>
  <c r="AF12" i="1" a="1"/>
  <c r="AF12" i="1" s="1"/>
  <c r="AF4" i="1" a="1"/>
  <c r="AF4" i="1" s="1"/>
  <c r="AF26" i="1" a="1"/>
  <c r="AF26" i="1" s="1"/>
  <c r="AF18" i="1" a="1"/>
  <c r="AF18" i="1" s="1"/>
  <c r="AF364" i="1" a="1"/>
  <c r="AF364" i="1" s="1"/>
  <c r="AF340" i="1" a="1"/>
  <c r="AF340" i="1" s="1"/>
  <c r="AF292" i="1" a="1"/>
  <c r="AF292" i="1" s="1"/>
  <c r="AF179" i="1" a="1"/>
  <c r="AF179" i="1" s="1"/>
  <c r="AF171" i="1" a="1"/>
  <c r="AF171" i="1" s="1"/>
  <c r="AF163" i="1" a="1"/>
  <c r="AF163" i="1" s="1"/>
  <c r="AF155" i="1" a="1"/>
  <c r="AF155" i="1" s="1"/>
  <c r="AF147" i="1" a="1"/>
  <c r="AF147" i="1" s="1"/>
  <c r="AF139" i="1" a="1"/>
  <c r="AF139" i="1" s="1"/>
  <c r="AF131" i="1" a="1"/>
  <c r="AF131" i="1" s="1"/>
  <c r="AF123" i="1" a="1"/>
  <c r="AF123" i="1" s="1"/>
  <c r="AF115" i="1" a="1"/>
  <c r="AF115" i="1" s="1"/>
  <c r="AF99" i="1" a="1"/>
  <c r="AF99" i="1" s="1"/>
  <c r="AF91" i="1" a="1"/>
  <c r="AF91" i="1" s="1"/>
  <c r="AF83" i="1" a="1"/>
  <c r="AF83" i="1" s="1"/>
  <c r="AF75" i="1" a="1"/>
  <c r="AF75" i="1" s="1"/>
  <c r="AF67" i="1" a="1"/>
  <c r="AF67" i="1" s="1"/>
  <c r="AF59" i="1" a="1"/>
  <c r="AF59" i="1" s="1"/>
  <c r="AF51" i="1" a="1"/>
  <c r="AF51" i="1" s="1"/>
  <c r="AF43" i="1" a="1"/>
  <c r="AF43" i="1" s="1"/>
  <c r="AF35" i="1" a="1"/>
  <c r="AF35" i="1" s="1"/>
  <c r="AF27" i="1" a="1"/>
  <c r="AF27" i="1" s="1"/>
  <c r="AF19" i="1" a="1"/>
  <c r="AF19" i="1" s="1"/>
  <c r="AF11" i="1" a="1"/>
  <c r="AF11" i="1" s="1"/>
  <c r="AF3" i="1" a="1"/>
  <c r="AF3" i="1" s="1"/>
  <c r="AF435" i="1" a="1"/>
  <c r="AF435" i="1" s="1"/>
  <c r="AF420" i="1" a="1"/>
  <c r="AF420" i="1" s="1"/>
  <c r="AF276" i="1" a="1"/>
  <c r="AF276" i="1" s="1"/>
  <c r="AF228" i="1" a="1"/>
  <c r="AF228" i="1" s="1"/>
  <c r="AF212" i="1" a="1"/>
  <c r="AF212" i="1" s="1"/>
  <c r="AF189" i="1" a="1"/>
  <c r="AF189" i="1" s="1"/>
  <c r="AF184" i="1" a="1"/>
  <c r="AF184" i="1" s="1"/>
  <c r="AF176" i="1" a="1"/>
  <c r="AF176" i="1" s="1"/>
  <c r="AF168" i="1" a="1"/>
  <c r="AF168" i="1" s="1"/>
  <c r="AF160" i="1" a="1"/>
  <c r="AF160" i="1" s="1"/>
  <c r="AF152" i="1" a="1"/>
  <c r="AF152" i="1" s="1"/>
  <c r="AF144" i="1" a="1"/>
  <c r="AF144" i="1" s="1"/>
  <c r="AF136" i="1" a="1"/>
  <c r="AF136" i="1" s="1"/>
  <c r="AF128" i="1" a="1"/>
  <c r="AF128" i="1" s="1"/>
  <c r="AF120" i="1" a="1"/>
  <c r="AF120" i="1" s="1"/>
  <c r="AF112" i="1" a="1"/>
  <c r="AF112" i="1" s="1"/>
  <c r="AF104" i="1" a="1"/>
  <c r="AF104" i="1" s="1"/>
  <c r="AF96" i="1" a="1"/>
  <c r="AF96" i="1" s="1"/>
  <c r="AF88" i="1" a="1"/>
  <c r="AF88" i="1" s="1"/>
  <c r="AF80" i="1" a="1"/>
  <c r="AF80" i="1" s="1"/>
  <c r="AF72" i="1" a="1"/>
  <c r="AF72" i="1" s="1"/>
  <c r="AF64" i="1" a="1"/>
  <c r="AF64" i="1" s="1"/>
  <c r="AF56" i="1" a="1"/>
  <c r="AF56" i="1" s="1"/>
  <c r="AF48" i="1" a="1"/>
  <c r="AF48" i="1" s="1"/>
  <c r="AF40" i="1" a="1"/>
  <c r="AF40" i="1" s="1"/>
  <c r="AF34" i="1" a="1"/>
  <c r="AF34" i="1" s="1"/>
  <c r="AL4" i="1"/>
  <c r="AM4" i="1" s="1"/>
  <c r="AH4" i="1"/>
  <c r="AI4" i="1" s="1"/>
  <c r="AJ4" i="1"/>
  <c r="AK4" i="1" s="1"/>
  <c r="AF1263" i="1" l="1" a="1"/>
  <c r="AF1263" i="1" s="1"/>
  <c r="AF60" i="1" a="1"/>
  <c r="AF60" i="1" s="1"/>
  <c r="AF434" i="1" a="1"/>
  <c r="AF434" i="1" s="1"/>
  <c r="AF1182" i="1" a="1"/>
  <c r="AF1182" i="1" s="1"/>
  <c r="AF199" i="1" a="1"/>
  <c r="AF199" i="1" s="1"/>
  <c r="AF1327" i="1" a="1"/>
  <c r="AF1327" i="1" s="1"/>
  <c r="AF337" i="1" a="1"/>
  <c r="AF337" i="1" s="1"/>
  <c r="AF531" i="1" a="1"/>
  <c r="AF531" i="1" s="1"/>
  <c r="AF787" i="1" a="1"/>
  <c r="AF787" i="1" s="1"/>
  <c r="AF577" i="1" a="1"/>
  <c r="AF577" i="1" s="1"/>
  <c r="AF881" i="1" a="1"/>
  <c r="AF881" i="1" s="1"/>
  <c r="AF383" i="1" a="1"/>
  <c r="AF383" i="1" s="1"/>
  <c r="AF927" i="1" a="1"/>
  <c r="AF927" i="1" s="1"/>
  <c r="AF669" i="1" a="1"/>
  <c r="AF669" i="1" s="1"/>
  <c r="AF723" i="1" a="1"/>
  <c r="AF723" i="1" s="1"/>
  <c r="AF1111" i="1" a="1"/>
  <c r="AF1111" i="1" s="1"/>
  <c r="AF1557" i="1" a="1"/>
  <c r="AF1557" i="1" s="1"/>
  <c r="AF1019" i="1" a="1"/>
  <c r="AF1019" i="1" s="1"/>
  <c r="AF1419" i="1" a="1"/>
  <c r="AF1419" i="1" s="1"/>
  <c r="AF1511" i="1" a="1"/>
  <c r="AF1511" i="1" s="1"/>
  <c r="AF832" i="1" a="1"/>
  <c r="AF832" i="1" s="1"/>
  <c r="AF973" i="1" a="1"/>
  <c r="AF973" i="1" s="1"/>
  <c r="AF105" i="1" a="1"/>
  <c r="AF105" i="1" s="1"/>
  <c r="AO2" i="1" a="1"/>
  <c r="AO2" i="1" s="1"/>
  <c r="AF1" i="1" a="1"/>
  <c r="AF1" i="1" s="1"/>
  <c r="AF245" i="1" a="1"/>
  <c r="AF245" i="1" s="1"/>
  <c r="AF291" i="1" a="1"/>
  <c r="AF291" i="1" s="1"/>
  <c r="AF623" i="1" a="1"/>
  <c r="AF623" i="1" s="1"/>
  <c r="AF485" i="1" a="1"/>
  <c r="AF485" i="1" s="1"/>
  <c r="AF1065" i="1" a="1"/>
  <c r="AF1065" i="1" s="1"/>
  <c r="AF1373" i="1" a="1"/>
  <c r="AF1373" i="1" s="1"/>
  <c r="AI1534" i="1" l="1"/>
  <c r="AK132" i="1"/>
  <c r="AI309" i="1"/>
  <c r="AI466" i="1"/>
  <c r="AK277" i="1"/>
  <c r="AK392" i="1"/>
  <c r="AM643" i="1"/>
  <c r="AM552" i="1"/>
  <c r="AM727" i="1"/>
  <c r="AM853" i="1"/>
  <c r="AK1051" i="1"/>
  <c r="AM1133" i="1"/>
  <c r="AM1082" i="1"/>
  <c r="AK983" i="1"/>
  <c r="AM1285" i="1"/>
  <c r="AM1379" i="1"/>
  <c r="AM1442" i="1"/>
  <c r="AK1567" i="1"/>
  <c r="AI1585" i="1"/>
  <c r="AK255" i="1"/>
  <c r="AM444" i="1"/>
  <c r="AI949" i="1"/>
  <c r="AM1268" i="1"/>
  <c r="AK311" i="1"/>
  <c r="AM690" i="1"/>
  <c r="AK758" i="1"/>
  <c r="AK728" i="1"/>
  <c r="AI696" i="1"/>
  <c r="AK898" i="1"/>
  <c r="AI1076" i="1"/>
  <c r="AM1075" i="1"/>
  <c r="AI1520" i="1"/>
  <c r="AI1574" i="1"/>
  <c r="AM674" i="1"/>
  <c r="AM704" i="1"/>
  <c r="AI859" i="1"/>
  <c r="AM1294" i="1"/>
  <c r="AM69" i="1"/>
  <c r="AM10" i="1"/>
  <c r="AK76" i="1"/>
  <c r="AK256" i="1"/>
  <c r="AI462" i="1"/>
  <c r="AI554" i="1"/>
  <c r="AK891" i="1"/>
  <c r="AM1187" i="1"/>
  <c r="AM1333" i="1"/>
  <c r="AM1279" i="1"/>
  <c r="AM1363" i="1"/>
  <c r="AI1424" i="1"/>
  <c r="AM1528" i="1"/>
  <c r="AK343" i="1"/>
  <c r="AM950" i="1"/>
  <c r="AK1047" i="1"/>
  <c r="AM1085" i="1"/>
  <c r="AM1337" i="1"/>
  <c r="AI1359" i="1"/>
  <c r="AM327" i="1"/>
  <c r="AM114" i="1"/>
  <c r="AK506" i="1"/>
  <c r="AK744" i="1"/>
  <c r="AK1055" i="1"/>
  <c r="AK1188" i="1"/>
  <c r="AM1347" i="1"/>
  <c r="AM1521" i="1"/>
  <c r="AK116" i="1"/>
  <c r="AK365" i="1"/>
  <c r="AM470" i="1"/>
  <c r="AK301" i="1"/>
  <c r="AK359" i="1"/>
  <c r="AK745" i="1"/>
  <c r="AK795" i="1"/>
  <c r="AM947" i="1"/>
  <c r="AK1039" i="1"/>
  <c r="AK1025" i="1"/>
  <c r="AM1086" i="1"/>
  <c r="AK1041" i="1"/>
  <c r="AM1101" i="1"/>
  <c r="AM1203" i="1"/>
  <c r="AK1204" i="1"/>
  <c r="AI1378" i="1"/>
  <c r="AK1593" i="1"/>
  <c r="AI1589" i="1"/>
  <c r="AM125" i="1"/>
  <c r="AM1547" i="1"/>
  <c r="AI1391" i="1"/>
  <c r="AM678" i="1"/>
  <c r="AK1486" i="1"/>
  <c r="AK1488" i="1"/>
  <c r="AI632" i="1"/>
  <c r="AK1394" i="1"/>
  <c r="AM587" i="1"/>
  <c r="AM1283" i="1"/>
  <c r="AK369" i="1"/>
  <c r="AK265" i="1"/>
  <c r="AI691" i="1"/>
  <c r="AK1485" i="1"/>
  <c r="AI563" i="1"/>
  <c r="AM537" i="1"/>
  <c r="AM126" i="1"/>
  <c r="AK1199" i="1"/>
  <c r="AK902" i="1"/>
  <c r="AK208" i="1"/>
  <c r="AK364" i="1"/>
  <c r="AK1393" i="1"/>
  <c r="AI1289" i="1"/>
  <c r="AM1192" i="1"/>
  <c r="AI695" i="1"/>
  <c r="AK300" i="1"/>
  <c r="AK1440" i="1"/>
  <c r="AM1088" i="1"/>
  <c r="AK796" i="1"/>
  <c r="AK536" i="1"/>
  <c r="AI5" i="1"/>
  <c r="AK818" i="1"/>
  <c r="AK588" i="1"/>
  <c r="AK297" i="1"/>
  <c r="AK995" i="1"/>
  <c r="AM393" i="1"/>
  <c r="AM312" i="1"/>
  <c r="AK993" i="1"/>
  <c r="AK749" i="1"/>
  <c r="AI505" i="1"/>
  <c r="AK302" i="1"/>
  <c r="AM1115" i="1"/>
  <c r="AI558" i="1"/>
  <c r="AI272" i="1"/>
  <c r="AM1531" i="1"/>
  <c r="AI1437" i="1"/>
  <c r="AK1042" i="1"/>
  <c r="AM6" i="1"/>
  <c r="AK70" i="1"/>
  <c r="AK890" i="1"/>
  <c r="AM220" i="1"/>
  <c r="AM1127" i="1"/>
  <c r="AK1001" i="1"/>
  <c r="AK360" i="1"/>
  <c r="AK11" i="1"/>
  <c r="AI1354" i="1"/>
  <c r="AK842" i="1"/>
  <c r="AK679" i="1"/>
  <c r="AI1451" i="1"/>
  <c r="AI1074" i="1"/>
  <c r="AM599" i="1"/>
  <c r="AK457" i="1"/>
  <c r="AK1487" i="1"/>
  <c r="AM1409" i="1"/>
  <c r="AM1120" i="1"/>
  <c r="AM739" i="1"/>
  <c r="AK221" i="1"/>
  <c r="AK904" i="1"/>
  <c r="AK909" i="1"/>
  <c r="AI700" i="1"/>
  <c r="AI318" i="1"/>
  <c r="AK123" i="1"/>
  <c r="AM1131" i="1"/>
  <c r="AI840" i="1"/>
  <c r="AM594" i="1"/>
  <c r="AK348" i="1"/>
  <c r="AK262" i="1"/>
  <c r="AI559" i="1"/>
  <c r="AK1579" i="1"/>
  <c r="AI27" i="1"/>
  <c r="AI673" i="1"/>
  <c r="AM645" i="1"/>
  <c r="AM867" i="1"/>
  <c r="AK629" i="1"/>
  <c r="AM1282" i="1"/>
  <c r="AM1517" i="1"/>
  <c r="AK1577" i="1"/>
  <c r="AI1538" i="1"/>
  <c r="AM848" i="1"/>
  <c r="AM944" i="1"/>
  <c r="AI1539" i="1"/>
  <c r="AI1575" i="1"/>
  <c r="AM1425" i="1"/>
  <c r="AK502" i="1"/>
  <c r="AK1482" i="1"/>
  <c r="AK1382" i="1"/>
  <c r="AI517" i="1"/>
  <c r="AI1046" i="1"/>
  <c r="AI991" i="1"/>
  <c r="AK210" i="1"/>
  <c r="AK91" i="1"/>
  <c r="AI1218" i="1"/>
  <c r="AK521" i="1"/>
  <c r="AI1336" i="1"/>
  <c r="AK792" i="1"/>
  <c r="AM1441" i="1"/>
  <c r="AK1040" i="1"/>
  <c r="AM959" i="1"/>
  <c r="AK901" i="1"/>
  <c r="AI1092" i="1"/>
  <c r="AM659" i="1"/>
  <c r="AM405" i="1"/>
  <c r="AI508" i="1"/>
  <c r="AM268" i="1"/>
  <c r="AK87" i="1"/>
  <c r="AK354" i="1"/>
  <c r="AI1083" i="1"/>
  <c r="AK634" i="1"/>
  <c r="AK1395" i="1"/>
  <c r="AI650" i="1"/>
  <c r="AM373" i="1"/>
  <c r="AK388" i="1"/>
  <c r="AK406" i="1"/>
  <c r="AM955" i="1"/>
  <c r="AM1202" i="1"/>
  <c r="AK1501" i="1"/>
  <c r="AI858" i="1"/>
  <c r="AM1146" i="1"/>
  <c r="AM110" i="1"/>
  <c r="AK1471" i="1"/>
  <c r="AK1497" i="1"/>
  <c r="AM1210" i="1"/>
  <c r="AI226" i="1"/>
  <c r="AK1028" i="1"/>
  <c r="AI512" i="1"/>
  <c r="AK1474" i="1"/>
  <c r="AM598" i="1"/>
  <c r="AI1529" i="1"/>
  <c r="AM541" i="1"/>
  <c r="AI355" i="1"/>
  <c r="AM841" i="1"/>
  <c r="AI503" i="1"/>
  <c r="AM1350" i="1"/>
  <c r="AM1214" i="1"/>
  <c r="AI899" i="1"/>
  <c r="AM36" i="1"/>
  <c r="AI984" i="1"/>
  <c r="AM644" i="1"/>
  <c r="AI1580" i="1"/>
  <c r="AK1396" i="1"/>
  <c r="AM1116" i="1"/>
  <c r="AM688" i="1"/>
  <c r="AM933" i="1"/>
  <c r="AM633" i="1"/>
  <c r="AK394" i="1"/>
  <c r="AK1493" i="1"/>
  <c r="AM1087" i="1"/>
  <c r="AM1142" i="1"/>
  <c r="AM128" i="1"/>
  <c r="AM314" i="1"/>
  <c r="AK1401" i="1"/>
  <c r="AK804" i="1"/>
  <c r="AM222" i="1"/>
  <c r="AK1578" i="1"/>
  <c r="AK313" i="1"/>
  <c r="AM235" i="1"/>
  <c r="AK994" i="1"/>
  <c r="AI1338" i="1"/>
  <c r="AK342" i="1"/>
  <c r="AK319" i="1"/>
  <c r="AM548" i="1"/>
  <c r="AM95" i="1"/>
  <c r="AK1475" i="1"/>
  <c r="AI1030" i="1"/>
  <c r="AM613" i="1"/>
  <c r="AK806" i="1"/>
  <c r="AI217" i="1"/>
  <c r="AK1568" i="1"/>
  <c r="AI733" i="1"/>
  <c r="AI461" i="1"/>
  <c r="AI628" i="1"/>
  <c r="AI454" i="1"/>
  <c r="AM936" i="1"/>
  <c r="AI586" i="1"/>
  <c r="AM455" i="1"/>
  <c r="AI604" i="1"/>
  <c r="AK64" i="1"/>
  <c r="AI1384" i="1"/>
  <c r="AI641" i="1"/>
  <c r="AK400" i="1"/>
  <c r="AK133" i="1"/>
  <c r="AI655" i="1"/>
  <c r="AM963" i="1"/>
  <c r="AK797" i="1"/>
  <c r="AI513" i="1"/>
  <c r="AM137" i="1"/>
  <c r="AI937" i="1"/>
  <c r="AK495" i="1"/>
  <c r="AI141" i="1"/>
  <c r="AK913" i="1"/>
  <c r="AI415" i="1"/>
  <c r="AM21" i="1"/>
  <c r="AK494" i="1"/>
  <c r="AI582" i="1"/>
  <c r="AM754" i="1"/>
  <c r="AM750" i="1"/>
  <c r="AK917" i="1"/>
  <c r="AM266" i="1"/>
  <c r="AI1209" i="1"/>
  <c r="AK542" i="1"/>
  <c r="AK1121" i="1"/>
  <c r="AK892" i="1"/>
  <c r="AI439" i="1"/>
  <c r="AK979" i="1"/>
  <c r="AK216" i="1"/>
  <c r="AI1093" i="1"/>
  <c r="AI549" i="1"/>
  <c r="AK490" i="1"/>
  <c r="AI1584" i="1"/>
  <c r="AK809" i="1"/>
  <c r="AI1200" i="1"/>
  <c r="AK791" i="1"/>
  <c r="AK908" i="1"/>
  <c r="AK254" i="1"/>
  <c r="AK813" i="1"/>
  <c r="AM1130" i="1"/>
  <c r="AK1400" i="1"/>
  <c r="AM551" i="1"/>
  <c r="AK978" i="1"/>
  <c r="AM1533" i="1"/>
  <c r="AI445" i="1"/>
  <c r="AM1439" i="1"/>
  <c r="AK403" i="1"/>
  <c r="AK251" i="1"/>
  <c r="AM600" i="1"/>
  <c r="AK82" i="1"/>
  <c r="AK358" i="1"/>
  <c r="AI1563" i="1"/>
  <c r="AI1137" i="1"/>
  <c r="AK595" i="1"/>
  <c r="AK250" i="1"/>
  <c r="AI1024" i="1"/>
  <c r="AI646" i="1"/>
  <c r="AK231" i="1"/>
  <c r="AK296" i="1"/>
  <c r="AK886" i="1"/>
  <c r="AI452" i="1"/>
  <c r="AI401" i="1"/>
  <c r="AK803" i="1"/>
  <c r="AM456" i="1"/>
  <c r="AM1344" i="1"/>
  <c r="AI263" i="1"/>
  <c r="AI1516" i="1"/>
  <c r="AM1009" i="1"/>
  <c r="AM115" i="1"/>
  <c r="AI1566" i="1"/>
  <c r="AI540" i="1"/>
  <c r="AK743" i="1"/>
  <c r="AI1492" i="1"/>
  <c r="AI18" i="1"/>
  <c r="AK68" i="1"/>
  <c r="AI9" i="1"/>
  <c r="AK808" i="1"/>
  <c r="AI609" i="1"/>
  <c r="AM1132" i="1"/>
  <c r="AI1070" i="1"/>
  <c r="AI651" i="1"/>
  <c r="AM1119" i="1"/>
  <c r="AI77" i="1"/>
  <c r="AM1191" i="1"/>
  <c r="AK32" i="1"/>
  <c r="AI1405" i="1"/>
  <c r="AK205" i="1"/>
  <c r="AM851" i="1"/>
  <c r="AM1138" i="1"/>
  <c r="AM731" i="1"/>
  <c r="AK640" i="1"/>
  <c r="AK308" i="1"/>
  <c r="AK404" i="1"/>
  <c r="AM1267" i="1"/>
  <c r="AM1348" i="1"/>
  <c r="AI677" i="1"/>
  <c r="AM689" i="1"/>
  <c r="AK507" i="1"/>
  <c r="AI1280" i="1"/>
  <c r="AI1332" i="1"/>
  <c r="AM127" i="1"/>
  <c r="AM567" i="1"/>
  <c r="AK887" i="1"/>
  <c r="AI686" i="1"/>
  <c r="AI605" i="1"/>
  <c r="AK389" i="1"/>
  <c r="AM1284" i="1"/>
  <c r="AM852" i="1"/>
  <c r="AK1428" i="1"/>
  <c r="AM1272" i="1"/>
  <c r="AM1349" i="1"/>
  <c r="AK954" i="1"/>
  <c r="AK1036" i="1"/>
  <c r="AK347" i="1"/>
  <c r="AI1483" i="1"/>
  <c r="AI1476" i="1"/>
  <c r="AM17" i="1"/>
  <c r="AK346" i="1"/>
  <c r="AM1532" i="1"/>
  <c r="AK411" i="1"/>
  <c r="AM281" i="1"/>
  <c r="AI1543" i="1"/>
  <c r="AM553" i="1"/>
  <c r="AK204" i="1"/>
  <c r="AK996" i="1"/>
  <c r="AI849" i="1"/>
  <c r="AM81" i="1"/>
  <c r="AK1273" i="1"/>
  <c r="AM1271" i="1"/>
  <c r="AI410" i="1"/>
  <c r="AI443" i="1"/>
  <c r="AI836" i="1"/>
  <c r="AI1037" i="1"/>
  <c r="AK273" i="1"/>
  <c r="AM80" i="1"/>
  <c r="AK1383" i="1"/>
  <c r="AK496" i="1"/>
  <c r="AK65" i="1"/>
  <c r="AI863" i="1"/>
  <c r="AM583" i="1"/>
  <c r="AM440" i="1"/>
  <c r="AK1522" i="1"/>
  <c r="AM1436" i="1"/>
  <c r="AI1193" i="1"/>
  <c r="AI1430" i="1"/>
  <c r="AM948" i="1"/>
  <c r="AK209" i="1"/>
  <c r="AI122" i="1"/>
  <c r="AK267" i="1"/>
  <c r="AM20" i="1"/>
  <c r="AM1447" i="1"/>
  <c r="AM419" i="1"/>
  <c r="AI1562" i="1"/>
  <c r="AM854" i="1"/>
  <c r="AI1128" i="1"/>
  <c r="AK1029" i="1"/>
  <c r="AK990" i="1"/>
  <c r="AI451" i="1"/>
  <c r="AK1097" i="1"/>
  <c r="AI86" i="1"/>
  <c r="AI1470" i="1"/>
  <c r="AK732" i="1"/>
  <c r="AI945" i="1"/>
  <c r="AM1455" i="1"/>
  <c r="AI740" i="1"/>
  <c r="AM22" i="1"/>
  <c r="AM1298" i="1"/>
  <c r="AK903" i="1"/>
  <c r="AM685" i="1"/>
  <c r="AK28" i="1"/>
  <c r="AM1071" i="1"/>
  <c r="AM79" i="1"/>
  <c r="AK822" i="1"/>
  <c r="AM932" i="1"/>
  <c r="AK982" i="1"/>
  <c r="AM597" i="1"/>
  <c r="AK227" i="1"/>
  <c r="AK1005" i="1"/>
  <c r="AM1429" i="1"/>
  <c r="AK357" i="1"/>
  <c r="AM111" i="1"/>
  <c r="AK1355" i="1"/>
  <c r="AK1446" i="1"/>
  <c r="AK219" i="1"/>
  <c r="AI1000" i="1"/>
  <c r="AK1390" i="1"/>
  <c r="AI1205" i="1"/>
  <c r="AM1290" i="1"/>
  <c r="AM837" i="1"/>
  <c r="AI1345" i="1"/>
  <c r="AK323" i="1"/>
  <c r="AK491" i="1"/>
  <c r="AK742" i="1"/>
  <c r="AM23" i="1"/>
  <c r="AK814" i="1"/>
  <c r="AI938" i="1"/>
  <c r="AK807" i="1"/>
  <c r="AS28" i="1" l="1" a="1"/>
  <c r="AS28" i="1" s="1"/>
  <c r="AS34" i="1" a="1"/>
  <c r="AS34" i="1" s="1"/>
  <c r="AS9" i="1" a="1"/>
  <c r="AS9" i="1" s="1"/>
  <c r="AS23" i="1" a="1"/>
  <c r="AS23" i="1" s="1"/>
  <c r="AS13" i="1" a="1"/>
  <c r="AS13" i="1" s="1"/>
  <c r="AS17" i="1" a="1"/>
  <c r="AS17" i="1" s="1"/>
  <c r="AS30" i="1" a="1"/>
  <c r="AS30" i="1" s="1"/>
  <c r="AS11" i="1" a="1"/>
  <c r="AS11" i="1" s="1"/>
  <c r="AS31" i="1" a="1"/>
  <c r="AS31" i="1" s="1"/>
  <c r="AS24" i="1" a="1"/>
  <c r="AS24" i="1" s="1"/>
  <c r="AS25" i="1" a="1"/>
  <c r="AS25" i="1" s="1"/>
  <c r="AS6" i="1" a="1"/>
  <c r="AS6" i="1" s="1"/>
  <c r="AS27" i="1" a="1"/>
  <c r="AS27" i="1" s="1"/>
  <c r="AS2" i="1" a="1"/>
  <c r="AS2" i="1" s="1"/>
  <c r="AS16" i="1" a="1"/>
  <c r="AS16" i="1" s="1"/>
  <c r="AS22" i="1" a="1"/>
  <c r="AS22" i="1" s="1"/>
  <c r="AS14" i="1" a="1"/>
  <c r="AS14" i="1" s="1"/>
  <c r="AS3" i="1" a="1"/>
  <c r="AS3" i="1" s="1"/>
  <c r="AS8" i="1" a="1"/>
  <c r="AS8" i="1" s="1"/>
  <c r="AS7" i="1" a="1"/>
  <c r="AS7" i="1" s="1"/>
  <c r="AS21" i="1" a="1"/>
  <c r="AS21" i="1" s="1"/>
  <c r="AS20" i="1" a="1"/>
  <c r="AS20" i="1" s="1"/>
  <c r="AS5" i="1" a="1"/>
  <c r="AS5" i="1" s="1"/>
  <c r="AS18" i="1" a="1"/>
  <c r="AS18" i="1" s="1"/>
  <c r="AS26" i="1" a="1"/>
  <c r="AS26" i="1" s="1"/>
  <c r="AS32" i="1" a="1"/>
  <c r="AS32" i="1" s="1"/>
  <c r="AS12" i="1" a="1"/>
  <c r="AS12" i="1" s="1"/>
  <c r="AS33" i="1" a="1"/>
  <c r="AS33" i="1" s="1"/>
  <c r="AS10" i="1" a="1"/>
  <c r="AS10" i="1" s="1"/>
  <c r="AS19" i="1" a="1"/>
  <c r="AS19" i="1" s="1"/>
  <c r="AS4" i="1" a="1"/>
  <c r="AS4" i="1" s="1"/>
  <c r="AS15" i="1" a="1"/>
  <c r="AS15" i="1" s="1"/>
  <c r="AS29" i="1" a="1"/>
  <c r="AS29" i="1" s="1"/>
  <c r="AR30" i="1" a="1"/>
  <c r="AR30" i="1" s="1"/>
  <c r="AR28" i="1" a="1"/>
  <c r="AR28" i="1" s="1"/>
  <c r="AR23" i="1" a="1"/>
  <c r="AR23" i="1" s="1"/>
  <c r="AR25" i="1" a="1"/>
  <c r="AR25" i="1" s="1"/>
  <c r="AR7" i="1" a="1"/>
  <c r="AR7" i="1" s="1"/>
  <c r="AR22" i="1" a="1"/>
  <c r="AR22" i="1" s="1"/>
  <c r="AR8" i="1" a="1"/>
  <c r="AR8" i="1" s="1"/>
  <c r="AR13" i="1" a="1"/>
  <c r="AR13" i="1" s="1"/>
  <c r="AR19" i="1" a="1"/>
  <c r="AR19" i="1" s="1"/>
  <c r="AR33" i="1" a="1"/>
  <c r="AR33" i="1" s="1"/>
  <c r="AR21" i="1" a="1"/>
  <c r="AR21" i="1" s="1"/>
  <c r="AR15" i="1" a="1"/>
  <c r="AR15" i="1" s="1"/>
  <c r="AR29" i="1" a="1"/>
  <c r="AR29" i="1" s="1"/>
  <c r="AR3" i="1" a="1"/>
  <c r="AR3" i="1" s="1"/>
  <c r="AR18" i="1" a="1"/>
  <c r="AR18" i="1" s="1"/>
  <c r="AR9" i="1" a="1"/>
  <c r="AR9" i="1" s="1"/>
  <c r="AR4" i="1" a="1"/>
  <c r="AR4" i="1" s="1"/>
  <c r="AR26" i="1" a="1"/>
  <c r="AR26" i="1" s="1"/>
  <c r="AR11" i="1" a="1"/>
  <c r="AR11" i="1" s="1"/>
  <c r="AR5" i="1" a="1"/>
  <c r="AR5" i="1" s="1"/>
  <c r="AR17" i="1" a="1"/>
  <c r="AR17" i="1" s="1"/>
  <c r="AR32" i="1" a="1"/>
  <c r="AR32" i="1" s="1"/>
  <c r="AR6" i="1" a="1"/>
  <c r="AR6" i="1" s="1"/>
  <c r="AR12" i="1" a="1"/>
  <c r="AR12" i="1" s="1"/>
  <c r="AR34" i="1" a="1"/>
  <c r="AR34" i="1" s="1"/>
  <c r="AR16" i="1" a="1"/>
  <c r="AR16" i="1" s="1"/>
  <c r="AR10" i="1" a="1"/>
  <c r="AR10" i="1" s="1"/>
  <c r="AR14" i="1" a="1"/>
  <c r="AR14" i="1" s="1"/>
  <c r="AR20" i="1" a="1"/>
  <c r="AR20" i="1" s="1"/>
  <c r="AR31" i="1" a="1"/>
  <c r="AR31" i="1" s="1"/>
  <c r="AR24" i="1" a="1"/>
  <c r="AR24" i="1" s="1"/>
  <c r="AR27" i="1" a="1"/>
  <c r="AR27" i="1" s="1"/>
  <c r="AR2" i="1" a="1"/>
  <c r="AR2" i="1" s="1"/>
  <c r="AQ14" i="1" a="1"/>
  <c r="AQ14" i="1" s="1"/>
  <c r="AQ25" i="1" a="1"/>
  <c r="AQ25" i="1" s="1"/>
  <c r="AQ20" i="1" a="1"/>
  <c r="AQ20" i="1" s="1"/>
  <c r="AQ16" i="1" a="1"/>
  <c r="AQ16" i="1" s="1"/>
  <c r="AQ33" i="1" a="1"/>
  <c r="AQ33" i="1" s="1"/>
  <c r="AQ10" i="1" a="1"/>
  <c r="AQ10" i="1" s="1"/>
  <c r="AQ23" i="1" a="1"/>
  <c r="AQ23" i="1" s="1"/>
  <c r="AQ9" i="1" a="1"/>
  <c r="AQ9" i="1" s="1"/>
  <c r="AQ34" i="1" a="1"/>
  <c r="AQ34" i="1" s="1"/>
  <c r="AQ12" i="1" a="1"/>
  <c r="AQ12" i="1" s="1"/>
  <c r="AQ29" i="1" a="1"/>
  <c r="AQ29" i="1" s="1"/>
  <c r="AQ8" i="1" a="1"/>
  <c r="AQ8" i="1" s="1"/>
  <c r="AQ11" i="1" a="1"/>
  <c r="AQ11" i="1" s="1"/>
  <c r="AQ27" i="1" a="1"/>
  <c r="AQ27" i="1" s="1"/>
  <c r="AQ31" i="1" a="1"/>
  <c r="AQ31" i="1" s="1"/>
  <c r="AQ4" i="1" a="1"/>
  <c r="AQ4" i="1" s="1"/>
  <c r="AQ5" i="1" a="1"/>
  <c r="AQ5" i="1" s="1"/>
  <c r="AQ2" i="1" a="1"/>
  <c r="AQ2" i="1" s="1"/>
  <c r="AQ21" i="1" a="1"/>
  <c r="AQ21" i="1" s="1"/>
  <c r="AQ6" i="1" a="1"/>
  <c r="AQ6" i="1" s="1"/>
  <c r="AQ30" i="1" a="1"/>
  <c r="AQ30" i="1" s="1"/>
  <c r="AQ19" i="1" a="1"/>
  <c r="AQ19" i="1" s="1"/>
  <c r="AQ15" i="1" a="1"/>
  <c r="AQ15" i="1" s="1"/>
  <c r="AQ3" i="1" a="1"/>
  <c r="AQ3" i="1" s="1"/>
  <c r="AQ32" i="1" a="1"/>
  <c r="AQ32" i="1" s="1"/>
  <c r="AQ13" i="1" a="1"/>
  <c r="AQ13" i="1" s="1"/>
  <c r="AQ28" i="1" a="1"/>
  <c r="AQ28" i="1" s="1"/>
  <c r="AQ7" i="1" a="1"/>
  <c r="AQ7" i="1" s="1"/>
  <c r="AQ18" i="1" a="1"/>
  <c r="AQ18" i="1" s="1"/>
  <c r="AQ26" i="1" a="1"/>
  <c r="AQ26" i="1" s="1"/>
  <c r="AQ22" i="1" a="1"/>
  <c r="AQ22" i="1" s="1"/>
  <c r="AQ17" i="1" a="1"/>
  <c r="AQ17" i="1" s="1"/>
  <c r="AQ24" i="1" a="1"/>
  <c r="AQ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<sst xmlns="http://schemas.openxmlformats.org/spreadsheetml/2006/main" count="1674" uniqueCount="255">
  <si>
    <r>
      <rPr>
        <b/>
        <sz val="9"/>
        <rFont val="Calibri"/>
        <family val="2"/>
      </rPr>
      <t>JUPAS Code: JS3010</t>
    </r>
  </si>
  <si>
    <r>
      <rPr>
        <b/>
        <sz val="9"/>
        <rFont val="Calibri"/>
        <family val="2"/>
      </rPr>
      <t>Programme Title: BSc (Hons) Scheme in Biotechnology, Food Safety and Chemical Technology</t>
    </r>
  </si>
  <si>
    <r>
      <rPr>
        <b/>
        <sz val="9"/>
        <rFont val="Calibri"/>
        <family val="2"/>
      </rPr>
      <t>Category A: Core and Elective Subjects</t>
    </r>
  </si>
  <si>
    <r>
      <rPr>
        <b/>
        <sz val="9"/>
        <rFont val="Calibri"/>
        <family val="2"/>
      </rPr>
      <t>Subject Name</t>
    </r>
  </si>
  <si>
    <r>
      <rPr>
        <b/>
        <sz val="9"/>
        <rFont val="Calibri"/>
        <family val="2"/>
      </rPr>
      <t>Subject Weighting for 2023/24 Admission Exercise *</t>
    </r>
  </si>
  <si>
    <r>
      <rPr>
        <sz val="9"/>
        <rFont val="Calibri"/>
        <family val="2"/>
      </rPr>
      <t>Business, Accounting and Financial Studies (Accounting)</t>
    </r>
  </si>
  <si>
    <r>
      <rPr>
        <sz val="9"/>
        <rFont val="Calibri"/>
        <family val="2"/>
      </rPr>
      <t>Business, Accounting and Financial Studies (Business Management)</t>
    </r>
  </si>
  <si>
    <r>
      <rPr>
        <sz val="9"/>
        <rFont val="Calibri"/>
        <family val="2"/>
      </rPr>
      <t>Chinese Literature</t>
    </r>
  </si>
  <si>
    <r>
      <rPr>
        <sz val="9"/>
        <rFont val="Calibri"/>
        <family val="2"/>
      </rPr>
      <t>Combined Science: Biology + Chemistry</t>
    </r>
  </si>
  <si>
    <r>
      <rPr>
        <sz val="9"/>
        <rFont val="Calibri"/>
        <family val="2"/>
      </rPr>
      <t>Combined Science: Biology + Physics</t>
    </r>
  </si>
  <si>
    <r>
      <rPr>
        <sz val="9"/>
        <rFont val="Calibri"/>
        <family val="2"/>
      </rPr>
      <t>Combined Science: Physics + Chemistry</t>
    </r>
  </si>
  <si>
    <r>
      <rPr>
        <sz val="9"/>
        <rFont val="Calibri"/>
        <family val="2"/>
      </rPr>
      <t>Design and Applied Technology</t>
    </r>
  </si>
  <si>
    <r>
      <rPr>
        <sz val="9"/>
        <rFont val="Calibri"/>
        <family val="2"/>
      </rPr>
      <t>Ethics and Religious Studies</t>
    </r>
  </si>
  <si>
    <r>
      <rPr>
        <sz val="9"/>
        <rFont val="Calibri"/>
        <family val="2"/>
      </rPr>
      <t>Integrated Science</t>
    </r>
  </si>
  <si>
    <r>
      <rPr>
        <sz val="9"/>
        <rFont val="Calibri"/>
        <family val="2"/>
      </rPr>
      <t>Literature in English</t>
    </r>
  </si>
  <si>
    <r>
      <rPr>
        <sz val="9"/>
        <rFont val="Calibri"/>
        <family val="2"/>
      </rPr>
      <t>Mathematics (Extended part - Calculus and Statistics)</t>
    </r>
  </si>
  <si>
    <r>
      <rPr>
        <sz val="9"/>
        <rFont val="Calibri"/>
        <family val="2"/>
      </rPr>
      <t>Music</t>
    </r>
  </si>
  <si>
    <r>
      <rPr>
        <sz val="9"/>
        <rFont val="Calibri"/>
        <family val="2"/>
      </rPr>
      <t>Physical Education</t>
    </r>
  </si>
  <si>
    <r>
      <rPr>
        <sz val="9"/>
        <rFont val="Calibri"/>
        <family val="2"/>
      </rPr>
      <t>Technology and Living (Fashion, Clothing and Textiles)</t>
    </r>
  </si>
  <si>
    <r>
      <rPr>
        <sz val="9"/>
        <rFont val="Calibri"/>
        <family val="2"/>
      </rPr>
      <t>Technology and Living (Food Science and Technology)</t>
    </r>
  </si>
  <si>
    <r>
      <rPr>
        <sz val="9"/>
        <rFont val="Calibri"/>
        <family val="2"/>
      </rPr>
      <t>Tourism and Hospitality Studies</t>
    </r>
  </si>
  <si>
    <r>
      <rPr>
        <b/>
        <sz val="9"/>
        <rFont val="Calibri"/>
        <family val="2"/>
      </rPr>
      <t>Category B: Applied Learning Subjects</t>
    </r>
  </si>
  <si>
    <r>
      <rPr>
        <sz val="9"/>
        <rFont val="Calibri"/>
        <family val="2"/>
      </rPr>
      <t>Child Care and Development</t>
    </r>
  </si>
  <si>
    <r>
      <rPr>
        <sz val="9"/>
        <rFont val="Calibri"/>
        <family val="2"/>
      </rPr>
      <t>Child Development and Care</t>
    </r>
  </si>
  <si>
    <r>
      <rPr>
        <sz val="9"/>
        <rFont val="Calibri"/>
        <family val="2"/>
      </rPr>
      <t>Environmental Engineering</t>
    </r>
  </si>
  <si>
    <r>
      <rPr>
        <sz val="9"/>
        <rFont val="Calibri"/>
        <family val="2"/>
      </rPr>
      <t>Events Planning and Operation</t>
    </r>
  </si>
  <si>
    <r>
      <rPr>
        <sz val="9"/>
        <rFont val="Calibri"/>
        <family val="2"/>
      </rPr>
      <t>Exercise Science and Health Fitness</t>
    </r>
  </si>
  <si>
    <r>
      <rPr>
        <sz val="9"/>
        <rFont val="Calibri"/>
        <family val="2"/>
      </rPr>
      <t>Food and Beverage Operations</t>
    </r>
  </si>
  <si>
    <r>
      <rPr>
        <sz val="9"/>
        <rFont val="Calibri"/>
        <family val="2"/>
      </rPr>
      <t>Foundation in Chinese Medicine</t>
    </r>
  </si>
  <si>
    <r>
      <rPr>
        <sz val="9"/>
        <rFont val="Calibri"/>
        <family val="2"/>
      </rPr>
      <t>Fundamental Health Care</t>
    </r>
  </si>
  <si>
    <r>
      <rPr>
        <sz val="9"/>
        <rFont val="Calibri"/>
        <family val="2"/>
      </rPr>
      <t>Health and Beauty Keeping in TCM</t>
    </r>
  </si>
  <si>
    <r>
      <rPr>
        <sz val="9"/>
        <rFont val="Calibri"/>
        <family val="2"/>
      </rPr>
      <t>Health Care Practice</t>
    </r>
  </si>
  <si>
    <r>
      <rPr>
        <sz val="9"/>
        <rFont val="Calibri"/>
        <family val="2"/>
      </rPr>
      <t>Medical Laboratory Science</t>
    </r>
  </si>
  <si>
    <r>
      <rPr>
        <sz val="9"/>
        <rFont val="Calibri"/>
        <family val="2"/>
      </rPr>
      <t>Sports Coaching and Management</t>
    </r>
  </si>
  <si>
    <r>
      <rPr>
        <b/>
        <sz val="9"/>
        <rFont val="Calibri"/>
        <family val="2"/>
      </rPr>
      <t>Category C: Other Language Subjects</t>
    </r>
  </si>
  <si>
    <r>
      <rPr>
        <sz val="9"/>
        <rFont val="Calibri"/>
        <family val="2"/>
      </rPr>
      <t>French</t>
    </r>
  </si>
  <si>
    <r>
      <rPr>
        <sz val="9"/>
        <rFont val="Calibri"/>
        <family val="2"/>
      </rPr>
      <t>German</t>
    </r>
  </si>
  <si>
    <r>
      <rPr>
        <sz val="9"/>
        <rFont val="Calibri"/>
        <family val="2"/>
      </rPr>
      <t>Hindi</t>
    </r>
  </si>
  <si>
    <r>
      <rPr>
        <sz val="9"/>
        <rFont val="Calibri"/>
        <family val="2"/>
      </rPr>
      <t>Japanese</t>
    </r>
  </si>
  <si>
    <r>
      <rPr>
        <sz val="9"/>
        <rFont val="Calibri"/>
        <family val="2"/>
      </rPr>
      <t>Spanish</t>
    </r>
  </si>
  <si>
    <r>
      <rPr>
        <sz val="9"/>
        <rFont val="Calibri"/>
        <family val="2"/>
      </rPr>
      <t>Urdu</t>
    </r>
  </si>
  <si>
    <r>
      <rPr>
        <sz val="9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</si>
  <si>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JUPAS Code: JS3020</t>
    </r>
  </si>
  <si>
    <r>
      <rPr>
        <b/>
        <sz val="9"/>
        <rFont val="Calibri"/>
        <family val="2"/>
      </rPr>
      <t>Programme Title: BSc (Hons) Scheme in Data Science</t>
    </r>
  </si>
  <si>
    <r>
      <rPr>
        <b/>
        <sz val="9"/>
        <rFont val="Calibri"/>
        <family val="2"/>
      </rPr>
      <t>JUPAS Code: JS3050</t>
    </r>
  </si>
  <si>
    <r>
      <rPr>
        <b/>
        <sz val="9"/>
        <rFont val="Calibri"/>
        <family val="2"/>
      </rPr>
      <t>Programme Title: BA (Hons) Scheme in Fashion</t>
    </r>
  </si>
  <si>
    <r>
      <rPr>
        <sz val="9"/>
        <rFont val="Calibri"/>
        <family val="2"/>
      </rPr>
      <t>Accounting for E-business</t>
    </r>
  </si>
  <si>
    <r>
      <rPr>
        <sz val="9"/>
        <rFont val="Calibri"/>
        <family val="2"/>
      </rPr>
      <t>Accounting in Practice</t>
    </r>
  </si>
  <si>
    <r>
      <rPr>
        <sz val="9"/>
        <rFont val="Calibri"/>
        <family val="2"/>
      </rPr>
      <t>Applied Business Research</t>
    </r>
  </si>
  <si>
    <r>
      <rPr>
        <sz val="9"/>
        <rFont val="Calibri"/>
        <family val="2"/>
      </rPr>
      <t>Applied Psychology</t>
    </r>
  </si>
  <si>
    <r>
      <rPr>
        <sz val="9"/>
        <rFont val="Calibri"/>
        <family val="2"/>
      </rPr>
      <t>Computer Game and Animation Design</t>
    </r>
  </si>
  <si>
    <r>
      <rPr>
        <sz val="9"/>
        <rFont val="Calibri"/>
        <family val="2"/>
      </rPr>
      <t>Creative Advertising</t>
    </r>
  </si>
  <si>
    <r>
      <rPr>
        <sz val="9"/>
        <rFont val="Calibri"/>
        <family val="2"/>
      </rPr>
      <t>Data Application for Business</t>
    </r>
  </si>
  <si>
    <r>
      <rPr>
        <sz val="9"/>
        <rFont val="Calibri"/>
        <family val="2"/>
      </rPr>
      <t>Digital Comic Design And Production</t>
    </r>
  </si>
  <si>
    <r>
      <rPr>
        <sz val="9"/>
        <rFont val="Calibri"/>
        <family val="2"/>
      </rPr>
      <t>Display and Jewellery Design</t>
    </r>
  </si>
  <si>
    <r>
      <rPr>
        <sz val="9"/>
        <rFont val="Calibri"/>
        <family val="2"/>
      </rPr>
      <t>Entrepreneurship for SME</t>
    </r>
  </si>
  <si>
    <r>
      <rPr>
        <sz val="9"/>
        <rFont val="Calibri"/>
        <family val="2"/>
      </rPr>
      <t>Exercise and Fitness Coaching</t>
    </r>
  </si>
  <si>
    <r>
      <rPr>
        <sz val="9"/>
        <rFont val="Calibri"/>
        <family val="2"/>
      </rPr>
      <t>Exploring Psychology</t>
    </r>
  </si>
  <si>
    <r>
      <rPr>
        <sz val="9"/>
        <rFont val="Calibri"/>
        <family val="2"/>
      </rPr>
      <t>Fashion Image Design</t>
    </r>
  </si>
  <si>
    <r>
      <rPr>
        <sz val="9"/>
        <rFont val="Calibri"/>
        <family val="2"/>
      </rPr>
      <t>Film and Transmedia</t>
    </r>
  </si>
  <si>
    <r>
      <rPr>
        <sz val="9"/>
        <rFont val="Calibri"/>
        <family val="2"/>
      </rPr>
      <t>Film and Video</t>
    </r>
  </si>
  <si>
    <r>
      <rPr>
        <sz val="9"/>
        <rFont val="Calibri"/>
        <family val="2"/>
      </rPr>
      <t>Fundamental Cosmetology</t>
    </r>
  </si>
  <si>
    <r>
      <rPr>
        <sz val="9"/>
        <rFont val="Calibri"/>
        <family val="2"/>
      </rPr>
      <t>Image Design</t>
    </r>
  </si>
  <si>
    <r>
      <rPr>
        <sz val="9"/>
        <rFont val="Calibri"/>
        <family val="2"/>
      </rPr>
      <t>Innovative Product Design</t>
    </r>
  </si>
  <si>
    <r>
      <rPr>
        <sz val="9"/>
        <rFont val="Calibri"/>
        <family val="2"/>
      </rPr>
      <t>Interior Design</t>
    </r>
  </si>
  <si>
    <r>
      <rPr>
        <sz val="9"/>
        <rFont val="Calibri"/>
        <family val="2"/>
      </rPr>
      <t>Internet of Everything Application</t>
    </r>
  </si>
  <si>
    <r>
      <rPr>
        <sz val="9"/>
        <rFont val="Calibri"/>
        <family val="2"/>
      </rPr>
      <t>Jewellery and Accessories Design</t>
    </r>
  </si>
  <si>
    <r>
      <rPr>
        <sz val="9"/>
        <rFont val="Calibri"/>
        <family val="2"/>
      </rPr>
      <t>Jewellery Arts and Design</t>
    </r>
  </si>
  <si>
    <r>
      <rPr>
        <sz val="9"/>
        <rFont val="Calibri"/>
        <family val="2"/>
      </rPr>
      <t>Magazine Editing and Production</t>
    </r>
  </si>
  <si>
    <r>
      <rPr>
        <sz val="9"/>
        <rFont val="Calibri"/>
        <family val="2"/>
      </rPr>
      <t>Marketing and Online Promotion</t>
    </r>
  </si>
  <si>
    <r>
      <rPr>
        <sz val="9"/>
        <rFont val="Calibri"/>
        <family val="2"/>
      </rPr>
      <t>Marketing in Global Trade</t>
    </r>
  </si>
  <si>
    <r>
      <rPr>
        <sz val="9"/>
        <rFont val="Calibri"/>
        <family val="2"/>
      </rPr>
      <t>Mobile and Online Apps Development</t>
    </r>
  </si>
  <si>
    <r>
      <rPr>
        <sz val="9"/>
        <rFont val="Calibri"/>
        <family val="2"/>
      </rPr>
      <t>Multimedia Entertainment Studies</t>
    </r>
  </si>
  <si>
    <r>
      <rPr>
        <sz val="9"/>
        <rFont val="Calibri"/>
        <family val="2"/>
      </rPr>
      <t>New Media Communication Strategies</t>
    </r>
  </si>
  <si>
    <r>
      <rPr>
        <sz val="9"/>
        <rFont val="Calibri"/>
        <family val="2"/>
      </rPr>
      <t>PR And Multimedia Communication</t>
    </r>
  </si>
  <si>
    <r>
      <rPr>
        <sz val="9"/>
        <rFont val="Calibri"/>
        <family val="2"/>
      </rPr>
      <t>Practical Accounting for SMEs</t>
    </r>
  </si>
  <si>
    <r>
      <rPr>
        <sz val="9"/>
        <rFont val="Calibri"/>
        <family val="2"/>
      </rPr>
      <t>Practical Psychology</t>
    </r>
  </si>
  <si>
    <r>
      <rPr>
        <sz val="9"/>
        <rFont val="Calibri"/>
        <family val="2"/>
      </rPr>
      <t>Public Relations and Advertising</t>
    </r>
  </si>
  <si>
    <r>
      <rPr>
        <sz val="9"/>
        <rFont val="Calibri"/>
        <family val="2"/>
      </rPr>
      <t>Public Relations and Communication</t>
    </r>
  </si>
  <si>
    <r>
      <rPr>
        <sz val="9"/>
        <rFont val="Calibri"/>
        <family val="2"/>
      </rPr>
      <t>Purchasing and Merchandising</t>
    </r>
  </si>
  <si>
    <r>
      <rPr>
        <sz val="9"/>
        <rFont val="Calibri"/>
        <family val="2"/>
      </rPr>
      <t>Retail Management</t>
    </r>
  </si>
  <si>
    <r>
      <rPr>
        <sz val="9"/>
        <rFont val="Calibri"/>
        <family val="2"/>
      </rPr>
      <t>Tech Basics</t>
    </r>
  </si>
  <si>
    <r>
      <rPr>
        <sz val="9"/>
        <rFont val="Calibri"/>
        <family val="2"/>
      </rPr>
      <t>The Essentials of Theatre Arts</t>
    </r>
  </si>
  <si>
    <r>
      <rPr>
        <sz val="9"/>
        <rFont val="Calibri"/>
        <family val="2"/>
      </rPr>
      <t>Understanding Financial Services</t>
    </r>
  </si>
  <si>
    <r>
      <rPr>
        <b/>
        <sz val="9"/>
        <rFont val="Calibri"/>
        <family val="2"/>
      </rPr>
      <t>JUPAS Code: JS3060</t>
    </r>
  </si>
  <si>
    <r>
      <rPr>
        <b/>
        <sz val="9"/>
        <rFont val="Calibri"/>
        <family val="2"/>
      </rPr>
      <t>Programme Title: BBA (Hons) Scheme in Accounting and Finance</t>
    </r>
  </si>
  <si>
    <r>
      <rPr>
        <b/>
        <sz val="9"/>
        <rFont val="Calibri"/>
        <family val="2"/>
      </rPr>
      <t>JUPAS Code: JS3070</t>
    </r>
  </si>
  <si>
    <r>
      <rPr>
        <b/>
        <sz val="9"/>
        <rFont val="Calibri"/>
        <family val="2"/>
      </rPr>
      <t>Programme Title: BBA (Hons) Scheme in Aviation, Maritime and Supply Chain Management</t>
    </r>
  </si>
  <si>
    <r>
      <rPr>
        <b/>
        <sz val="9"/>
        <rFont val="Calibri"/>
        <family val="2"/>
      </rPr>
      <t>JUPAS Code: JS3080</t>
    </r>
  </si>
  <si>
    <r>
      <rPr>
        <b/>
        <sz val="9"/>
        <rFont val="Calibri"/>
        <family val="2"/>
      </rPr>
      <t>Programme Title: BBA (Hons) Scheme in Management and Marketing</t>
    </r>
  </si>
  <si>
    <r>
      <rPr>
        <b/>
        <sz val="9"/>
        <rFont val="Calibri"/>
        <family val="2"/>
      </rPr>
      <t>JUPAS Code: JS3100</t>
    </r>
  </si>
  <si>
    <r>
      <rPr>
        <b/>
        <sz val="9"/>
        <rFont val="Calibri"/>
        <family val="2"/>
      </rPr>
      <t>Programme Title: BSc (Hons) Scheme in Building and Real Estate</t>
    </r>
  </si>
  <si>
    <r>
      <rPr>
        <b/>
        <sz val="9"/>
        <rFont val="Calibri"/>
        <family val="2"/>
      </rPr>
      <t>JUPAS Code: JS3110</t>
    </r>
  </si>
  <si>
    <r>
      <rPr>
        <b/>
        <sz val="9"/>
        <rFont val="Calibri"/>
        <family val="2"/>
      </rPr>
      <t>Programme Title: BEng (Hons) Scheme in Building Sciences and Engineering</t>
    </r>
  </si>
  <si>
    <r>
      <rPr>
        <sz val="9"/>
        <rFont val="Calibri"/>
        <family val="2"/>
      </rPr>
      <t>Building Facilities Engineering</t>
    </r>
  </si>
  <si>
    <r>
      <rPr>
        <b/>
        <sz val="9"/>
        <rFont val="Calibri"/>
        <family val="2"/>
      </rPr>
      <t>JUPAS Code: JS3120</t>
    </r>
  </si>
  <si>
    <r>
      <rPr>
        <b/>
        <sz val="9"/>
        <rFont val="Calibri"/>
        <family val="2"/>
      </rPr>
      <t>Programme Title: BEng (Hons) Scheme in Civil Engineering and Sustainable Development</t>
    </r>
  </si>
  <si>
    <r>
      <rPr>
        <b/>
        <sz val="9"/>
        <rFont val="Calibri"/>
        <family val="2"/>
      </rPr>
      <t>JUPAS Code: JS3130</t>
    </r>
  </si>
  <si>
    <r>
      <rPr>
        <b/>
        <sz val="9"/>
        <rFont val="Calibri"/>
        <family val="2"/>
      </rPr>
      <t>Programme Title: BSc (Hons) Scheme in Spatial Data Science and Smart Cities</t>
    </r>
  </si>
  <si>
    <r>
      <rPr>
        <b/>
        <sz val="9"/>
        <rFont val="Calibri"/>
        <family val="2"/>
      </rPr>
      <t>JUPAS Code: JS3140</t>
    </r>
  </si>
  <si>
    <r>
      <rPr>
        <b/>
        <sz val="9"/>
        <rFont val="Calibri"/>
        <family val="2"/>
      </rPr>
      <t>Programme Title: BEng (Hons) Scheme in Aviation Engineering</t>
    </r>
  </si>
  <si>
    <r>
      <rPr>
        <b/>
        <sz val="9"/>
        <rFont val="Calibri"/>
        <family val="2"/>
      </rPr>
      <t>JUPAS Code: JS3150</t>
    </r>
  </si>
  <si>
    <r>
      <rPr>
        <b/>
        <sz val="9"/>
        <rFont val="Calibri"/>
        <family val="2"/>
      </rPr>
      <t>Programme Title: BSc (Hons) Scheme in Biomedical Engineering</t>
    </r>
  </si>
  <si>
    <r>
      <rPr>
        <b/>
        <sz val="9"/>
        <rFont val="Calibri"/>
        <family val="2"/>
      </rPr>
      <t>JUPAS Code: JS3170</t>
    </r>
  </si>
  <si>
    <r>
      <rPr>
        <b/>
        <sz val="9"/>
        <rFont val="Calibri"/>
        <family val="2"/>
      </rPr>
      <t>Programme Title: BEng (Hons) Scheme in Electrical Engineering</t>
    </r>
  </si>
  <si>
    <r>
      <rPr>
        <b/>
        <sz val="9"/>
        <rFont val="Calibri"/>
        <family val="2"/>
      </rPr>
      <t>JUPAS Code: JS3180</t>
    </r>
  </si>
  <si>
    <r>
      <rPr>
        <b/>
        <sz val="9"/>
        <rFont val="Calibri"/>
        <family val="2"/>
      </rPr>
      <t>Programme Title: BEng (Hons) / BSc (Hons) Scheme in Information and Artificial Intelligence Engineering</t>
    </r>
  </si>
  <si>
    <r>
      <rPr>
        <sz val="9"/>
        <rFont val="Calibri"/>
        <family val="2"/>
      </rPr>
      <t>Computer Forensic Technology</t>
    </r>
  </si>
  <si>
    <r>
      <rPr>
        <sz val="9"/>
        <rFont val="Calibri"/>
        <family val="2"/>
      </rPr>
      <t>Constructing Smart Cities</t>
    </r>
  </si>
  <si>
    <r>
      <rPr>
        <sz val="9"/>
        <rFont val="Calibri"/>
        <family val="2"/>
      </rPr>
      <t>Electrical and Energy Engineering</t>
    </r>
  </si>
  <si>
    <r>
      <rPr>
        <sz val="9"/>
        <rFont val="Calibri"/>
        <family val="2"/>
      </rPr>
      <t>Electronic Product Design in Action</t>
    </r>
  </si>
  <si>
    <r>
      <rPr>
        <b/>
        <sz val="8.5"/>
        <rFont val="Calibri"/>
        <family val="2"/>
      </rPr>
      <t>JUPAS Code: JS3240</t>
    </r>
  </si>
  <si>
    <r>
      <rPr>
        <b/>
        <sz val="8.5"/>
        <rFont val="Calibri"/>
        <family val="2"/>
      </rPr>
      <t>Programme Title: BA (Hons) Scheme in English and Applied Linguistics</t>
    </r>
  </si>
  <si>
    <r>
      <rPr>
        <b/>
        <sz val="8.5"/>
        <rFont val="Calibri"/>
        <family val="2"/>
      </rPr>
      <t>Category A: Core and Elective Subjects</t>
    </r>
  </si>
  <si>
    <r>
      <rPr>
        <b/>
        <sz val="8.5"/>
        <rFont val="Calibri"/>
        <family val="2"/>
      </rPr>
      <t>Subject Name</t>
    </r>
  </si>
  <si>
    <r>
      <rPr>
        <b/>
        <sz val="8.5"/>
        <rFont val="Calibri"/>
        <family val="2"/>
      </rPr>
      <t>Subject Weighting for 2023/24 Admission Exercise *</t>
    </r>
  </si>
  <si>
    <r>
      <rPr>
        <sz val="8.5"/>
        <rFont val="Calibri"/>
        <family val="2"/>
      </rPr>
      <t>Business, Accounting and Financial Studies (Accounting)</t>
    </r>
  </si>
  <si>
    <r>
      <rPr>
        <sz val="8.5"/>
        <rFont val="Calibri"/>
        <family val="2"/>
      </rPr>
      <t>Business, Accounting and Financial Studies (Business Management)</t>
    </r>
  </si>
  <si>
    <r>
      <rPr>
        <sz val="8.5"/>
        <rFont val="Calibri"/>
        <family val="2"/>
      </rPr>
      <t>Chinese Literature</t>
    </r>
  </si>
  <si>
    <r>
      <rPr>
        <sz val="8.5"/>
        <rFont val="Calibri"/>
        <family val="2"/>
      </rPr>
      <t>Combined Science: Biology + Chemistry</t>
    </r>
  </si>
  <si>
    <r>
      <rPr>
        <sz val="8.5"/>
        <rFont val="Calibri"/>
        <family val="2"/>
      </rPr>
      <t>Combined Science: Biology + Physics</t>
    </r>
  </si>
  <si>
    <r>
      <rPr>
        <sz val="8.5"/>
        <rFont val="Calibri"/>
        <family val="2"/>
      </rPr>
      <t>Combined Science: Physics + Chemistry</t>
    </r>
  </si>
  <si>
    <r>
      <rPr>
        <sz val="8.5"/>
        <rFont val="Calibri"/>
        <family val="2"/>
      </rPr>
      <t>Design and Applied Technology</t>
    </r>
  </si>
  <si>
    <r>
      <rPr>
        <sz val="8.5"/>
        <rFont val="Calibri"/>
        <family val="2"/>
      </rPr>
      <t>Ethics and Religious Studies</t>
    </r>
  </si>
  <si>
    <r>
      <rPr>
        <sz val="8.5"/>
        <rFont val="Calibri"/>
        <family val="2"/>
      </rPr>
      <t>Integrated Science</t>
    </r>
  </si>
  <si>
    <r>
      <rPr>
        <sz val="8.5"/>
        <rFont val="Calibri"/>
        <family val="2"/>
      </rPr>
      <t>Literature in English</t>
    </r>
  </si>
  <si>
    <r>
      <rPr>
        <sz val="8.5"/>
        <rFont val="Calibri"/>
        <family val="2"/>
      </rPr>
      <t>Mathematics (Extended part - Calculus and Statistics)</t>
    </r>
  </si>
  <si>
    <r>
      <rPr>
        <sz val="8.5"/>
        <rFont val="Calibri"/>
        <family val="2"/>
      </rPr>
      <t>Music</t>
    </r>
  </si>
  <si>
    <r>
      <rPr>
        <sz val="8.5"/>
        <rFont val="Calibri"/>
        <family val="2"/>
      </rPr>
      <t>Physical Education</t>
    </r>
  </si>
  <si>
    <r>
      <rPr>
        <sz val="8.5"/>
        <rFont val="Calibri"/>
        <family val="2"/>
      </rPr>
      <t>Technology and Living (Fashion, Clothing and Textiles)</t>
    </r>
  </si>
  <si>
    <r>
      <rPr>
        <sz val="8.5"/>
        <rFont val="Calibri"/>
        <family val="2"/>
      </rPr>
      <t>Technology and Living (Food Science and Technology)</t>
    </r>
  </si>
  <si>
    <r>
      <rPr>
        <sz val="8.5"/>
        <rFont val="Calibri"/>
        <family val="2"/>
      </rPr>
      <t>Tourism and Hospitality Studies</t>
    </r>
  </si>
  <si>
    <r>
      <rPr>
        <b/>
        <sz val="8.5"/>
        <rFont val="Calibri"/>
        <family val="2"/>
      </rPr>
      <t>Category B: Applied Learning Subjects</t>
    </r>
  </si>
  <si>
    <r>
      <rPr>
        <sz val="8.5"/>
        <rFont val="Calibri"/>
        <family val="2"/>
      </rPr>
      <t>Accounting in Practice</t>
    </r>
  </si>
  <si>
    <r>
      <rPr>
        <sz val="8.5"/>
        <rFont val="Calibri"/>
        <family val="2"/>
      </rPr>
      <t>Applied Psychology</t>
    </r>
  </si>
  <si>
    <r>
      <rPr>
        <sz val="8.5"/>
        <rFont val="Calibri"/>
        <family val="2"/>
      </rPr>
      <t>Child Care and Education</t>
    </r>
  </si>
  <si>
    <r>
      <rPr>
        <sz val="8.5"/>
        <rFont val="Calibri"/>
        <family val="2"/>
      </rPr>
      <t>Creative Advertising</t>
    </r>
  </si>
  <si>
    <r>
      <rPr>
        <sz val="8.5"/>
        <rFont val="Calibri"/>
        <family val="2"/>
      </rPr>
      <t>Exploring Psychology</t>
    </r>
  </si>
  <si>
    <r>
      <rPr>
        <sz val="8.5"/>
        <rFont val="Calibri"/>
        <family val="2"/>
      </rPr>
      <t>Fashion Image Design</t>
    </r>
  </si>
  <si>
    <r>
      <rPr>
        <sz val="8.5"/>
        <rFont val="Calibri"/>
        <family val="2"/>
      </rPr>
      <t>Film and Video</t>
    </r>
  </si>
  <si>
    <r>
      <rPr>
        <sz val="8.5"/>
        <rFont val="Calibri"/>
        <family val="2"/>
      </rPr>
      <t>Image Design</t>
    </r>
  </si>
  <si>
    <r>
      <rPr>
        <sz val="8.5"/>
        <rFont val="Calibri"/>
        <family val="2"/>
      </rPr>
      <t>Introduction to Theatre Arts</t>
    </r>
  </si>
  <si>
    <r>
      <rPr>
        <sz val="8.5"/>
        <rFont val="Calibri"/>
        <family val="2"/>
      </rPr>
      <t>Magazine Editing and Production</t>
    </r>
  </si>
  <si>
    <r>
      <rPr>
        <sz val="8.5"/>
        <rFont val="Calibri"/>
        <family val="2"/>
      </rPr>
      <t>Marketing in Global Trade</t>
    </r>
  </si>
  <si>
    <r>
      <rPr>
        <sz val="8.5"/>
        <rFont val="Calibri"/>
        <family val="2"/>
      </rPr>
      <t>Multimedia Entertainment Studies</t>
    </r>
  </si>
  <si>
    <r>
      <rPr>
        <sz val="8.5"/>
        <rFont val="Calibri"/>
        <family val="2"/>
      </rPr>
      <t>New Media Communication Strategies</t>
    </r>
  </si>
  <si>
    <r>
      <rPr>
        <sz val="8.5"/>
        <rFont val="Calibri"/>
        <family val="2"/>
      </rPr>
      <t>Practical Psychology</t>
    </r>
  </si>
  <si>
    <r>
      <rPr>
        <sz val="8.5"/>
        <rFont val="Calibri"/>
        <family val="2"/>
      </rPr>
      <t>Public Relations and Advertising</t>
    </r>
  </si>
  <si>
    <r>
      <rPr>
        <sz val="8.5"/>
        <rFont val="Calibri"/>
        <family val="2"/>
      </rPr>
      <t>Radio Host and Programme Production</t>
    </r>
  </si>
  <si>
    <r>
      <rPr>
        <sz val="8.5"/>
        <rFont val="Calibri"/>
        <family val="2"/>
      </rPr>
      <t>Western Cuisine</t>
    </r>
  </si>
  <si>
    <r>
      <rPr>
        <b/>
        <sz val="8.5"/>
        <rFont val="Calibri"/>
        <family val="2"/>
      </rPr>
      <t>Category C: Other Language Subjects</t>
    </r>
  </si>
  <si>
    <r>
      <rPr>
        <sz val="8.5"/>
        <rFont val="Calibri"/>
        <family val="2"/>
      </rPr>
      <t>French</t>
    </r>
  </si>
  <si>
    <r>
      <rPr>
        <sz val="8.5"/>
        <rFont val="Calibri"/>
        <family val="2"/>
      </rPr>
      <t>German</t>
    </r>
  </si>
  <si>
    <r>
      <rPr>
        <sz val="8.5"/>
        <rFont val="Calibri"/>
        <family val="2"/>
      </rPr>
      <t>Hindi</t>
    </r>
  </si>
  <si>
    <r>
      <rPr>
        <sz val="8.5"/>
        <rFont val="Calibri"/>
        <family val="2"/>
      </rPr>
      <t>Japanese</t>
    </r>
  </si>
  <si>
    <r>
      <rPr>
        <sz val="8.5"/>
        <rFont val="Calibri"/>
        <family val="2"/>
      </rPr>
      <t>Spanish</t>
    </r>
  </si>
  <si>
    <r>
      <rPr>
        <sz val="8.5"/>
        <rFont val="Calibri"/>
        <family val="2"/>
      </rPr>
      <t>Urdu</t>
    </r>
  </si>
  <si>
    <r>
      <rPr>
        <sz val="8.5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</si>
  <si>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JUPAS Code: JS3250</t>
    </r>
  </si>
  <si>
    <r>
      <rPr>
        <b/>
        <sz val="9"/>
        <rFont val="Calibri"/>
        <family val="2"/>
      </rPr>
      <t>Programme Title: BA (Hons) Scheme in Applied Social Sciences</t>
    </r>
  </si>
  <si>
    <r>
      <rPr>
        <b/>
        <sz val="9"/>
        <rFont val="Calibri"/>
        <family val="2"/>
      </rPr>
      <t>JUPAS Code: JS3290</t>
    </r>
  </si>
  <si>
    <r>
      <rPr>
        <b/>
        <sz val="9"/>
        <rFont val="Calibri"/>
        <family val="2"/>
      </rPr>
      <t>Programme Title: BSc (Hons) Scheme in Optometry</t>
    </r>
  </si>
  <si>
    <r>
      <rPr>
        <b/>
        <sz val="9"/>
        <rFont val="Calibri"/>
        <family val="2"/>
      </rPr>
      <t>JUPAS Code: JS3310</t>
    </r>
  </si>
  <si>
    <r>
      <rPr>
        <b/>
        <sz val="9"/>
        <rFont val="Calibri"/>
        <family val="2"/>
      </rPr>
      <t>Programme Title: BSc (Hons) Scheme in Hotel and Tourism Management</t>
    </r>
  </si>
  <si>
    <r>
      <rPr>
        <b/>
        <sz val="9"/>
        <rFont val="Calibri"/>
        <family val="2"/>
      </rPr>
      <t>JUPAS Code: JS3320</t>
    </r>
  </si>
  <si>
    <r>
      <rPr>
        <b/>
        <sz val="9"/>
        <rFont val="Calibri"/>
        <family val="2"/>
      </rPr>
      <t>Programme Title: BA (Hons) Scheme in Chinese History and Culture</t>
    </r>
  </si>
  <si>
    <r>
      <rPr>
        <b/>
        <sz val="9"/>
        <rFont val="Calibri"/>
        <family val="2"/>
      </rPr>
      <t>JUPAS Code: JS3330</t>
    </r>
  </si>
  <si>
    <r>
      <rPr>
        <b/>
        <sz val="9"/>
        <rFont val="Calibri"/>
        <family val="2"/>
      </rPr>
      <t>Programme Title: BA (Hons) / BSc (Hons) Scheme in Language Sciences, Translation, and Speech Therapy</t>
    </r>
  </si>
  <si>
    <r>
      <rPr>
        <b/>
        <sz val="9"/>
        <rFont val="Calibri"/>
        <family val="2"/>
      </rPr>
      <t>JUPAS Code: JS3337</t>
    </r>
  </si>
  <si>
    <r>
      <rPr>
        <b/>
        <sz val="9"/>
        <rFont val="Calibri"/>
        <family val="2"/>
      </rPr>
      <t>Programme Title: BSc (Hons) Scheme in Nursing - Mental Health Nursing</t>
    </r>
  </si>
  <si>
    <r>
      <rPr>
        <b/>
        <sz val="9"/>
        <rFont val="Calibri"/>
        <family val="2"/>
      </rPr>
      <t>JUPAS Code: JS3478</t>
    </r>
  </si>
  <si>
    <r>
      <rPr>
        <b/>
        <sz val="9"/>
        <rFont val="Calibri"/>
        <family val="2"/>
      </rPr>
      <t>Programme Title: BSc (Hons) Scheme in Medical Laboratory Science and Radiography - Medical Laboratory Science</t>
    </r>
  </si>
  <si>
    <r>
      <rPr>
        <b/>
        <sz val="9"/>
        <rFont val="Calibri"/>
        <family val="2"/>
      </rPr>
      <t>JUPAS Code: JS3557</t>
    </r>
  </si>
  <si>
    <r>
      <rPr>
        <b/>
        <sz val="9"/>
        <rFont val="Calibri"/>
        <family val="2"/>
      </rPr>
      <t>Programme Title: BEng (Hons) Scheme in Product and Industrial Engineering</t>
    </r>
  </si>
  <si>
    <r>
      <rPr>
        <sz val="9"/>
        <rFont val="Calibri"/>
        <family val="2"/>
      </rPr>
      <t>Automotive Technology</t>
    </r>
  </si>
  <si>
    <r>
      <rPr>
        <sz val="9"/>
        <rFont val="Calibri"/>
        <family val="2"/>
      </rPr>
      <t>Aviation Studies</t>
    </r>
  </si>
  <si>
    <r>
      <rPr>
        <sz val="9"/>
        <rFont val="Calibri"/>
        <family val="2"/>
      </rPr>
      <t>Law Enforcement in Hong Kong</t>
    </r>
  </si>
  <si>
    <r>
      <rPr>
        <sz val="9"/>
        <rFont val="Calibri"/>
        <family val="2"/>
      </rPr>
      <t>Rehabilitation Care Practice</t>
    </r>
  </si>
  <si>
    <r>
      <rPr>
        <b/>
        <sz val="9"/>
        <rFont val="Calibri"/>
        <family val="2"/>
      </rPr>
      <t>JUPAS Code: JS3569</t>
    </r>
  </si>
  <si>
    <r>
      <rPr>
        <b/>
        <sz val="9"/>
        <rFont val="Calibri"/>
        <family val="2"/>
      </rPr>
      <t>Programme Title: BA (Hons) Scheme in Design</t>
    </r>
  </si>
  <si>
    <r>
      <rPr>
        <sz val="9"/>
        <rFont val="Calibri"/>
        <family val="2"/>
      </rPr>
      <t>Building Technology</t>
    </r>
  </si>
  <si>
    <r>
      <rPr>
        <sz val="9"/>
        <rFont val="Calibri"/>
        <family val="2"/>
      </rPr>
      <t>Commercial Comic Art</t>
    </r>
  </si>
  <si>
    <r>
      <rPr>
        <sz val="9"/>
        <rFont val="Calibri"/>
        <family val="2"/>
      </rPr>
      <t>Radio Host and Programme Production</t>
    </r>
  </si>
  <si>
    <r>
      <rPr>
        <sz val="9"/>
        <rFont val="Calibri"/>
        <family val="2"/>
      </rPr>
      <t>TV Infotainment Production</t>
    </r>
  </si>
  <si>
    <r>
      <rPr>
        <b/>
        <sz val="8.5"/>
        <rFont val="Calibri"/>
        <family val="2"/>
      </rPr>
      <t>JUPAS Code: JS3571</t>
    </r>
  </si>
  <si>
    <r>
      <rPr>
        <b/>
        <sz val="8.5"/>
        <rFont val="Calibri"/>
        <family val="2"/>
      </rPr>
      <t>Programme Title: BSc (Hons) Scheme in Logistics and Enterprise Engineering</t>
    </r>
  </si>
  <si>
    <r>
      <rPr>
        <sz val="8.5"/>
        <rFont val="Calibri"/>
        <family val="2"/>
      </rPr>
      <t>Aviation Studies</t>
    </r>
  </si>
  <si>
    <r>
      <rPr>
        <sz val="8.5"/>
        <rFont val="Calibri"/>
        <family val="2"/>
      </rPr>
      <t>Data Application for Business</t>
    </r>
  </si>
  <si>
    <r>
      <rPr>
        <sz val="8.5"/>
        <rFont val="Calibri"/>
        <family val="2"/>
      </rPr>
      <t>Entrepreneurship for SME</t>
    </r>
  </si>
  <si>
    <r>
      <rPr>
        <sz val="8.5"/>
        <rFont val="Calibri"/>
        <family val="2"/>
      </rPr>
      <t>Environmental Engineering</t>
    </r>
  </si>
  <si>
    <r>
      <rPr>
        <sz val="8.5"/>
        <rFont val="Calibri"/>
        <family val="2"/>
      </rPr>
      <t>Food and Beverage Operations</t>
    </r>
  </si>
  <si>
    <r>
      <rPr>
        <sz val="8.5"/>
        <rFont val="Calibri"/>
        <family val="2"/>
      </rPr>
      <t>Fundamental Health Care</t>
    </r>
  </si>
  <si>
    <r>
      <rPr>
        <sz val="8.5"/>
        <rFont val="Calibri"/>
        <family val="2"/>
      </rPr>
      <t>Hotel Operations</t>
    </r>
  </si>
  <si>
    <r>
      <rPr>
        <sz val="8.5"/>
        <rFont val="Calibri"/>
        <family val="2"/>
      </rPr>
      <t>Internet of Everything Application</t>
    </r>
  </si>
  <si>
    <r>
      <rPr>
        <sz val="8.5"/>
        <rFont val="Calibri"/>
        <family val="2"/>
      </rPr>
      <t>Law Enforcement in Hong Kong</t>
    </r>
  </si>
  <si>
    <r>
      <rPr>
        <sz val="8.5"/>
        <rFont val="Calibri"/>
        <family val="2"/>
      </rPr>
      <t>Marketing and Online Promotion</t>
    </r>
  </si>
  <si>
    <r>
      <rPr>
        <sz val="8.5"/>
        <rFont val="Calibri"/>
        <family val="2"/>
      </rPr>
      <t>Mobile and Online Apps Development</t>
    </r>
  </si>
  <si>
    <r>
      <rPr>
        <sz val="8.5"/>
        <rFont val="Calibri"/>
        <family val="2"/>
      </rPr>
      <t>Purchasing and Merchandising</t>
    </r>
  </si>
  <si>
    <r>
      <rPr>
        <b/>
        <sz val="9"/>
        <rFont val="Calibri"/>
        <family val="2"/>
      </rPr>
      <t>JUPAS Code: JS3612</t>
    </r>
  </si>
  <si>
    <r>
      <rPr>
        <b/>
        <sz val="9"/>
        <rFont val="Calibri"/>
        <family val="2"/>
      </rPr>
      <t>Programme Title: BSc (Hons) Scheme in Medical Laboratory Science and Radiography - Radiography</t>
    </r>
  </si>
  <si>
    <r>
      <rPr>
        <b/>
        <sz val="9"/>
        <rFont val="Calibri"/>
        <family val="2"/>
      </rPr>
      <t>JUPAS Code: JS3624</t>
    </r>
  </si>
  <si>
    <r>
      <rPr>
        <b/>
        <sz val="9"/>
        <rFont val="Calibri"/>
        <family val="2"/>
      </rPr>
      <t>Programme Title: BSc (Hons) Scheme in Rehabilitation Sciences - Occupational Therapy</t>
    </r>
  </si>
  <si>
    <r>
      <rPr>
        <b/>
        <sz val="9"/>
        <rFont val="Calibri"/>
        <family val="2"/>
      </rPr>
      <t>JUPAS Code: JS3636</t>
    </r>
  </si>
  <si>
    <r>
      <rPr>
        <b/>
        <sz val="9"/>
        <rFont val="Calibri"/>
        <family val="2"/>
      </rPr>
      <t>Programme Title: BSc (Hons) Scheme in Rehabilitation Sciences - Physiotherapy</t>
    </r>
  </si>
  <si>
    <r>
      <rPr>
        <b/>
        <sz val="9"/>
        <rFont val="Calibri"/>
        <family val="2"/>
      </rPr>
      <t>JUPAS Code: JS3648</t>
    </r>
  </si>
  <si>
    <r>
      <rPr>
        <b/>
        <sz val="9"/>
        <rFont val="Calibri"/>
        <family val="2"/>
      </rPr>
      <t>Programme Title: BSc (Hons) Scheme in Nursing - Nursing</t>
    </r>
  </si>
  <si>
    <r>
      <rPr>
        <b/>
        <sz val="9"/>
        <rFont val="Calibri"/>
        <family val="2"/>
      </rPr>
      <t>JUPAS Code: JS3741</t>
    </r>
  </si>
  <si>
    <r>
      <rPr>
        <b/>
        <sz val="9"/>
        <rFont val="Calibri"/>
        <family val="2"/>
      </rPr>
      <t>Programme Title: BEng (Hons) Scheme in Mechanical Engineering</t>
    </r>
  </si>
  <si>
    <r>
      <rPr>
        <b/>
        <sz val="9"/>
        <rFont val="Calibri"/>
        <family val="2"/>
      </rPr>
      <t>JUPAS Code: JS3868</t>
    </r>
  </si>
  <si>
    <r>
      <rPr>
        <b/>
        <sz val="9"/>
        <rFont val="Calibri"/>
        <family val="2"/>
      </rPr>
      <t>Programme Title: BSc (Hons) Scheme in Computing and AI</t>
    </r>
  </si>
  <si>
    <t>VA</t>
  </si>
  <si>
    <t>BIO</t>
  </si>
  <si>
    <t>CHEM</t>
  </si>
  <si>
    <t>BAFS</t>
  </si>
  <si>
    <t>中史</t>
  </si>
  <si>
    <t>中史</t>
    <phoneticPr fontId="8" type="noConversion"/>
  </si>
  <si>
    <t>中文</t>
  </si>
  <si>
    <t>ECON</t>
  </si>
  <si>
    <t>ENG</t>
  </si>
  <si>
    <t>GEOG</t>
  </si>
  <si>
    <t>HMSC</t>
  </si>
  <si>
    <t>HIST</t>
  </si>
  <si>
    <t>ICT</t>
  </si>
  <si>
    <t>通</t>
  </si>
  <si>
    <t>MATH</t>
  </si>
  <si>
    <t>M2</t>
  </si>
  <si>
    <t>PHY</t>
  </si>
  <si>
    <t/>
  </si>
  <si>
    <t>通</t>
    <phoneticPr fontId="8" type="noConversion"/>
  </si>
  <si>
    <t>比重10:BIO, CHEM, ENG, MATH
比重7:中文, 通, M2, PHY
比重5:其他</t>
  </si>
  <si>
    <t>比重10:ENG, MATH
比重7:BIO, BAFS, CHEM, 中文, ECON, ICT, 通, M2, PHY
比重5:其他</t>
  </si>
  <si>
    <t>比重10:ECON, VA
比重7:中文, ENG, 通, MATH, M2
比重5:其他</t>
  </si>
  <si>
    <t>比重10:ENG, MATH
比重7:BIO, BAFS, CHEM, 中史, 中文, ECON, GEOG, HIST, 通, M2, PHY
比重5:其他</t>
  </si>
  <si>
    <t>比重10:ENG
比重7:BIO, BAFS, CHEM, 中史, 中文, ECON, GEOG, HMSC, HIST, ICT, 通, MATH, M2, PHY
比重5:其他</t>
  </si>
  <si>
    <t>比重10:ENG, MATH, PHY
比重7:BIO, BAFS, CHEM, 中文, ECON, GEOG, HMSC, ICT, 通, M2
比重5:其他</t>
  </si>
  <si>
    <t>比重10:BIO, CHEM, 中文, ECON, ENG, GEOG, MATH, M2, PHY
比重7:ICT, 通
比重5:其他</t>
  </si>
  <si>
    <t>比重10:ENG, GEOG, ICT, MATH, M2, PHY
比重7:其他</t>
  </si>
  <si>
    <t>比重10:CHEM, ENG, ICT, MATH, M2, PHY
比重7:BIO, 中文, 通
比重5:其他</t>
  </si>
  <si>
    <t>比重10:BIO, CHEM, MATH, M2, PHY
比重7:中文, ENG, 通
比重5:其他</t>
  </si>
  <si>
    <t>比重10:BIO, CHEM, ENG, ICT, MATH, M2, PHY
比重7:BAFS, 中文, ECON, 通
比重5:其他</t>
  </si>
  <si>
    <t>比重10:BIO, CHEM, ENG, ICT, MATH, M2, PHY
比重7:中文, 通
比重5:其他</t>
  </si>
  <si>
    <t>比重10:中文, ENG
比重7:BAFS, 中史, GEOG, HMSC, HIST, ICT, 通, MATH, VA
比重5:其他</t>
  </si>
  <si>
    <t>比重10:BIO, CHEM, ENG, MATH, M2, PHY
比重7:中文, 通
比重5:其他</t>
  </si>
  <si>
    <t>比重10:ENG
比重7:其他</t>
  </si>
  <si>
    <t>比重10:中史, 中文, ENG, HIST
比重7:通, MATH
比重5:其他</t>
  </si>
  <si>
    <t>比重10:中文, ENG, MATH
比重7:BIO, BAFS, CHEM, 中史, ECON, GEOG, HMSC, HIST, ICT, 通, M2, PHY
比重5:其他</t>
  </si>
  <si>
    <t>比重10:BIO, 中文, ENG, 通, MATH
比重7:其他</t>
  </si>
  <si>
    <t>比重10:BIO, CHEM, 中文, ENG, MATH, M2
比重7:通, PHY
比重5:其他</t>
  </si>
  <si>
    <t>比重10:ENG, MATH
比重7:中文, 通
比重5:其他</t>
  </si>
  <si>
    <t>比重10:中文, ENG, ICT, 通, MATH, VA
比重7:BAFS, ECON, HIST
比重5:其他</t>
  </si>
  <si>
    <t>比重10:BIO, CHEM, 中文, ENG, MATH, PHY
比重7:通, M2
比重5:其他</t>
  </si>
  <si>
    <t>比重10:BIO, 中文, ENG, PHY
比重7:CHEM, 中史, ECON, GEOG, HMSC, HIST, ICT, 通, MATH, M2
比重5:其他</t>
  </si>
  <si>
    <t>比重10:BIO, 中文, ENG, PHY
比重7:CHEM, HMSC, 通, MATH
比重5:其他</t>
  </si>
  <si>
    <t>比重10:BIO, BAFS, CHEM, ECON, ENG, ICT, MATH, M2, PHY
比重7:其他</t>
  </si>
  <si>
    <r>
      <rPr>
        <sz val="10"/>
        <color rgb="FF000000"/>
        <rFont val="新細明體"/>
        <family val="1"/>
        <charset val="136"/>
      </rPr>
      <t>比重</t>
    </r>
    <r>
      <rPr>
        <sz val="10"/>
        <color rgb="FF000000"/>
        <rFont val="Times New Roman"/>
        <family val="1"/>
      </rPr>
      <t>7:</t>
    </r>
    <r>
      <rPr>
        <sz val="10"/>
        <color rgb="FF000000"/>
        <rFont val="細明體"/>
        <family val="1"/>
        <charset val="136"/>
      </rPr>
      <t>全部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</si>
</sst>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8.5"/>
      <name val="Calibri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9"/>
      <name val="Microsoft YaHei"/>
      <family val="2"/>
      <charset val="134"/>
    </font>
    <font>
      <sz val="10"/>
      <color rgb="FF000000"/>
      <name val="Times New Roman"/>
      <family val="1"/>
      <charset val="136"/>
    </font>
    <font>
      <sz val="10"/>
      <color rgb="FF000000"/>
      <name val="細明體"/>
      <family val="3"/>
      <charset val="136"/>
    </font>
    <font>
      <sz val="10"/>
      <color rgb="FF000000"/>
      <name val="Times New Roman"/>
      <family val="3"/>
      <charset val="136"/>
    </font>
    <font>
      <sz val="10"/>
      <color rgb="FF000000"/>
      <name val="新細明體"/>
      <family val="1"/>
      <charset val="136"/>
    </font>
    <font>
      <sz val="10"/>
      <color rgb="FF000000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40"/>
  <sheetViews>
    <sheetView topLeftCell="AP1" workbookViewId="0">
      <selection activeCell="AQ1" sqref="AQ1"/>
    </sheetView>
  </sheetViews>
  <sheetFormatPr defaultRowHeight="13" x14ac:dyDescent="0.3"/>
  <cols>
    <col min="1" max="1" width="62.8984375" customWidth="1"/>
    <col min="2" max="2" width="1.09765625" customWidth="1"/>
    <col min="3" max="3" width="46.69921875" customWidth="1"/>
    <col min="4" max="4" width="2.19921875" customWidth="1"/>
    <col min="5" max="5" width="14" customWidth="1"/>
    <col min="28" max="28" width="75.69921875" customWidth="1"/>
    <col min="29" max="29" width="53.796875" bestFit="1" customWidth="1"/>
    <col min="42" max="42" width="123.19921875" customWidth="1"/>
    <col min="43" max="43" width="52" customWidth="1"/>
    <col min="44" max="44" width="84.796875" customWidth="1"/>
    <col min="45" max="45" width="75.19921875" bestFit="1" customWidth="1"/>
  </cols>
  <sheetData>
    <row r="1" spans="1:48" ht="15" customHeight="1" x14ac:dyDescent="0.3">
      <c r="A1" s="18" t="s">
        <v>0</v>
      </c>
      <c r="B1" s="18"/>
      <c r="C1" s="18"/>
      <c r="D1" s="1"/>
      <c r="E1" s="1"/>
      <c r="AB1" t="str" cm="1">
        <f t="array" ref="AB1">_xlfn._xlws.FILTER(A1:Z1,A1:Z1&lt;&gt;"","")</f>
        <v>JUPAS Code: JS3010</v>
      </c>
      <c r="AD1" t="str" cm="1">
        <f t="array" ref="AD1:AD1640">IF(LEFT(AB1:AB1640,10)="JUPAS Code",RIGHT(AB1:AB1640,6),"")</f>
        <v>JS3010</v>
      </c>
      <c r="AE1" t="str" cm="1">
        <f t="array" ref="AE1:AE1640">IF(LEFT(AB1:AB1640,15)="Programme Title",SUBSTITUTE(AB1:AB1640,"Programme Title: ",""),"")</f>
        <v/>
      </c>
      <c r="AF1" cm="1">
        <f t="array" ref="AF1">IF(AD1="","",SUMPRODUCT(IF(LEFT($AD$1:AD1,2)="JS",1,0)))</f>
        <v>1</v>
      </c>
      <c r="AG1" t="str">
        <f t="shared" ref="AG1:AG64" si="0">IF(ISNUMBER(MATCH(AB1,$AV$3:$AV$18,0)),TRUE,"")</f>
        <v/>
      </c>
      <c r="AH1" t="str">
        <f>IF(AND(AC1=10,AG1=TRUE),AB1,"")</f>
        <v/>
      </c>
      <c r="AI1" t="str">
        <f>IF(AH1="","",MAX($AF$1:$AF1))</f>
        <v/>
      </c>
      <c r="AJ1" t="str">
        <f>IF(AND(AC1=7,AG1=TRUE),AB1,"")</f>
        <v/>
      </c>
      <c r="AK1" t="str">
        <f>IF(AJ1="","",MAX($AF$1:$AF1))</f>
        <v/>
      </c>
      <c r="AL1" t="str">
        <f>IF(AND(AC1=5,AG1=TRUE),AB1,"")</f>
        <v/>
      </c>
      <c r="AM1" t="str">
        <f>IF(AL1="","",MAX($AF$1:$AF1))</f>
        <v/>
      </c>
      <c r="AQ1">
        <v>10</v>
      </c>
      <c r="AR1">
        <v>7</v>
      </c>
      <c r="AS1">
        <v>5</v>
      </c>
    </row>
    <row r="2" spans="1:48" ht="24" customHeight="1" x14ac:dyDescent="0.3">
      <c r="A2" s="18" t="s">
        <v>1</v>
      </c>
      <c r="B2" s="18"/>
      <c r="C2" s="18"/>
      <c r="D2" s="1"/>
      <c r="E2" s="1"/>
      <c r="AB2" t="str" cm="1">
        <f t="array" ref="AB2">_xlfn._xlws.FILTER(A2:Z2,A2:Z2&lt;&gt;"","")</f>
        <v>Programme Title: BSc (Hons) Scheme in Biotechnology, Food Safety and Chemical Technology</v>
      </c>
      <c r="AD2" t="str">
        <v/>
      </c>
      <c r="AE2" t="str">
        <v>BSc (Hons) Scheme in Biotechnology, Food Safety and Chemical Technology</v>
      </c>
      <c r="AF2" t="str" cm="1">
        <f t="array" ref="AF2">IF(AD2="","",SUMPRODUCT(IF(LEFT($AD$1:AD2,2)="JS",1,0)))</f>
        <v/>
      </c>
      <c r="AG2" t="str">
        <f t="shared" si="0"/>
        <v/>
      </c>
      <c r="AH2" t="str">
        <f t="shared" ref="AH2:AH65" si="1">IF(AND(AC2=10,AG2=TRUE),AB2,"")</f>
        <v/>
      </c>
      <c r="AI2" t="str">
        <f>IF(AH2="","",MAX($AF$1:$AF2))</f>
        <v/>
      </c>
      <c r="AJ2" t="str">
        <f t="shared" ref="AJ2:AJ65" si="2">IF(AND(AC2=7,AG2=TRUE),AB2,"")</f>
        <v/>
      </c>
      <c r="AK2" t="str">
        <f>IF(AJ2="","",MAX($AF$1:$AF2))</f>
        <v/>
      </c>
      <c r="AL2" t="str">
        <f t="shared" ref="AL2:AL65" si="3">IF(AND(AC2=5,AG2=TRUE),AB2,"")</f>
        <v/>
      </c>
      <c r="AM2" t="str">
        <f>IF(AL2="","",MAX($AF$1:$AF2))</f>
        <v/>
      </c>
      <c r="AO2" t="str" cm="1">
        <f t="array" ref="AO2:AO32">_xlfn._xlws.FILTER(AD1:AD1640,AD1:AD1640&lt;&gt;"","")</f>
        <v>JS3010</v>
      </c>
      <c r="AP2" t="str" cm="1">
        <f t="array" ref="AP2:AP32">_xlfn._xlws.FILTER(AE1:AE1640,AE1:AE1640&lt;&gt;"","")</f>
        <v>BSc (Hons) Scheme in Biotechnology, Food Safety and Chemical Technology</v>
      </c>
      <c r="AQ2" t="str" cm="1">
        <f t="array" ref="AQ2">_xlfn.TEXTJOIN(", ",TRUE,_xlfn._xlws.FILTER($AH$1:$AH$1640,$AI$1:$AI$1640=ROW()-1,""))</f>
        <v>BIO, CHEM, ENG, MATH</v>
      </c>
      <c r="AR2" t="str" cm="1">
        <f t="array" ref="AR2">_xlfn.TEXTJOIN(", ",TRUE,_xlfn._xlws.FILTER($AJ$1:$AJ$1640,$AK$1:$AK$1640=ROW()-1,""))</f>
        <v>中文, 通, M2, PHY</v>
      </c>
      <c r="AS2" t="str" cm="1">
        <f t="array" ref="AS2">_xlfn.TEXTJOIN(", ",TRUE,_xlfn._xlws.FILTER($AL$1:$AL$1640,$AM$1:$AM$1640=ROW()-1,""))</f>
        <v>BAFS, 中史, ECON, GEOG, HMSC, HIST, ICT, VA</v>
      </c>
      <c r="AV2" t="s">
        <v>227</v>
      </c>
    </row>
    <row r="3" spans="1:48" ht="13.5" customHeight="1" x14ac:dyDescent="0.3">
      <c r="A3" s="13" t="s">
        <v>2</v>
      </c>
      <c r="B3" s="13"/>
      <c r="C3" s="13"/>
      <c r="D3" s="13"/>
      <c r="E3" s="1"/>
      <c r="AB3" t="str" cm="1">
        <f t="array" ref="AB3">_xlfn._xlws.FILTER(A3:Z3,A3:Z3&lt;&gt;"","")</f>
        <v>Category A: Core and Elective Subjects</v>
      </c>
      <c r="AD3" t="str">
        <v/>
      </c>
      <c r="AE3" t="str">
        <v/>
      </c>
      <c r="AF3" t="str" cm="1">
        <f t="array" ref="AF3">IF(AD3="","",SUMPRODUCT(IF(LEFT($AD$1:AD3,2)="JS",1,0)))</f>
        <v/>
      </c>
      <c r="AG3" t="str">
        <f t="shared" si="0"/>
        <v/>
      </c>
      <c r="AH3" t="str">
        <f t="shared" si="1"/>
        <v/>
      </c>
      <c r="AI3" t="str">
        <f>IF(AH3="","",MAX($AF$1:$AF3))</f>
        <v/>
      </c>
      <c r="AJ3" t="str">
        <f t="shared" si="2"/>
        <v/>
      </c>
      <c r="AK3" t="str">
        <f>IF(AJ3="","",MAX($AF$1:$AF3))</f>
        <v/>
      </c>
      <c r="AL3" t="str">
        <f t="shared" si="3"/>
        <v/>
      </c>
      <c r="AM3" t="str">
        <f>IF(AL3="","",MAX($AF$1:$AF3))</f>
        <v/>
      </c>
      <c r="AO3" t="str">
        <v>JS3020</v>
      </c>
      <c r="AP3" t="str">
        <v>BSc (Hons) Scheme in Data Science</v>
      </c>
      <c r="AQ3" t="str" cm="1">
        <f t="array" ref="AQ3">_xlfn.TEXTJOIN(", ",TRUE,_xlfn._xlws.FILTER($AH$1:$AH$1640,$AI$1:$AI$1640=ROW()-1,""))</f>
        <v>ENG, MATH</v>
      </c>
      <c r="AR3" t="str" cm="1">
        <f t="array" ref="AR3">_xlfn.TEXTJOIN(", ",TRUE,_xlfn._xlws.FILTER($AJ$1:$AJ$1640,$AK$1:$AK$1640=ROW()-1,""))</f>
        <v>BIO, BAFS, CHEM, 中文, ECON, ICT, 通, M2, PHY</v>
      </c>
      <c r="AS3" t="str" cm="1">
        <f t="array" ref="AS3">_xlfn.TEXTJOIN(", ",TRUE,_xlfn._xlws.FILTER($AL$1:$AL$1640,$AM$1:$AM$1640=ROW()-1,""))</f>
        <v>中史, GEOG, HMSC, HIST, VA</v>
      </c>
      <c r="AV3" t="s">
        <v>211</v>
      </c>
    </row>
    <row r="4" spans="1:48" ht="13.5" customHeight="1" x14ac:dyDescent="0.3">
      <c r="A4" s="14" t="s">
        <v>3</v>
      </c>
      <c r="B4" s="15"/>
      <c r="C4" s="16" t="s">
        <v>4</v>
      </c>
      <c r="D4" s="17"/>
      <c r="E4" s="2"/>
      <c r="AB4" t="str" cm="1">
        <f t="array" ref="AB4:AC4">_xlfn._xlws.FILTER(A4:Z4,A4:Z4&lt;&gt;"","")</f>
        <v>Subject Name</v>
      </c>
      <c r="AC4" t="str">
        <v>Subject Weighting for 2023/24 Admission Exercise *</v>
      </c>
      <c r="AD4" t="str">
        <v/>
      </c>
      <c r="AE4" t="str">
        <v/>
      </c>
      <c r="AF4" t="str" cm="1">
        <f t="array" ref="AF4">IF(AD4="","",SUMPRODUCT(IF(LEFT($AD$1:AD4,2)="JS",1,0)))</f>
        <v/>
      </c>
      <c r="AG4" t="str">
        <f t="shared" si="0"/>
        <v/>
      </c>
      <c r="AH4" t="str">
        <f t="shared" si="1"/>
        <v/>
      </c>
      <c r="AI4" t="str">
        <f>IF(AH4="","",MAX($AF$1:$AF4))</f>
        <v/>
      </c>
      <c r="AJ4" t="str">
        <f t="shared" si="2"/>
        <v/>
      </c>
      <c r="AK4" t="str">
        <f>IF(AJ4="","",MAX($AF$1:$AF4))</f>
        <v/>
      </c>
      <c r="AL4" t="str">
        <f t="shared" si="3"/>
        <v/>
      </c>
      <c r="AM4" t="str">
        <f>IF(AL4="","",MAX($AF$1:$AF4))</f>
        <v/>
      </c>
      <c r="AO4" t="str">
        <v>JS3050</v>
      </c>
      <c r="AP4" t="str">
        <v>BA (Hons) Scheme in Fashion</v>
      </c>
      <c r="AQ4" t="str" cm="1">
        <f t="array" ref="AQ4">_xlfn.TEXTJOIN(", ",TRUE,_xlfn._xlws.FILTER($AH$1:$AH$1640,$AI$1:$AI$1640=ROW()-1,""))</f>
        <v>ECON, VA</v>
      </c>
      <c r="AR4" t="str" cm="1">
        <f t="array" ref="AR4">_xlfn.TEXTJOIN(", ",TRUE,_xlfn._xlws.FILTER($AJ$1:$AJ$1640,$AK$1:$AK$1640=ROW()-1,""))</f>
        <v>中文, ENG, 通, MATH, M2</v>
      </c>
      <c r="AS4" t="str" cm="1">
        <f t="array" ref="AS4">_xlfn.TEXTJOIN(", ",TRUE,_xlfn._xlws.FILTER($AL$1:$AL$1640,$AM$1:$AM$1640=ROW()-1,""))</f>
        <v>BIO, BAFS, CHEM, 中史, GEOG, HMSC, HIST, ICT, PHY</v>
      </c>
      <c r="AV4" t="s">
        <v>213</v>
      </c>
    </row>
    <row r="5" spans="1:48" ht="13.5" customHeight="1" x14ac:dyDescent="0.3">
      <c r="A5" s="8" t="s">
        <v>211</v>
      </c>
      <c r="B5" s="9"/>
      <c r="C5" s="10">
        <v>10</v>
      </c>
      <c r="D5" s="11"/>
      <c r="E5" s="2"/>
      <c r="AB5" t="str" cm="1">
        <f t="array" ref="AB5:AC5">_xlfn._xlws.FILTER(A5:Z5,A5:Z5&lt;&gt;"","")</f>
        <v>BIO</v>
      </c>
      <c r="AC5">
        <v>10</v>
      </c>
      <c r="AD5" t="str">
        <v/>
      </c>
      <c r="AE5" t="str">
        <v/>
      </c>
      <c r="AF5" t="str" cm="1">
        <f t="array" ref="AF5">IF(AD5="","",SUMPRODUCT(IF(LEFT($AD$1:AD5,2)="JS",1,0)))</f>
        <v/>
      </c>
      <c r="AG5" t="b">
        <f t="shared" si="0"/>
        <v>1</v>
      </c>
      <c r="AH5" t="str">
        <f t="shared" si="1"/>
        <v>BIO</v>
      </c>
      <c r="AI5">
        <f>IF(AH5="","",MAX($AF$1:$AF5))</f>
        <v>1</v>
      </c>
      <c r="AJ5" t="str">
        <f t="shared" si="2"/>
        <v/>
      </c>
      <c r="AK5" t="str">
        <f>IF(AJ5="","",MAX($AF$1:$AF5))</f>
        <v/>
      </c>
      <c r="AL5" t="str">
        <f t="shared" si="3"/>
        <v/>
      </c>
      <c r="AM5" t="str">
        <f>IF(AL5="","",MAX($AF$1:$AF5))</f>
        <v/>
      </c>
      <c r="AO5" t="str">
        <v>JS3060</v>
      </c>
      <c r="AP5" t="str">
        <v>BBA (Hons) Scheme in Accounting and Finance</v>
      </c>
      <c r="AQ5" t="str" cm="1">
        <f t="array" ref="AQ5">_xlfn.TEXTJOIN(", ",TRUE,_xlfn._xlws.FILTER($AH$1:$AH$1640,$AI$1:$AI$1640=ROW()-1,""))</f>
        <v>ENG, MATH</v>
      </c>
      <c r="AR5" t="str" cm="1">
        <f t="array" ref="AR5">_xlfn.TEXTJOIN(", ",TRUE,_xlfn._xlws.FILTER($AJ$1:$AJ$1640,$AK$1:$AK$1640=ROW()-1,""))</f>
        <v>BIO, BAFS, CHEM, 中史, 中文, ECON, GEOG, HIST, 通, M2, PHY</v>
      </c>
      <c r="AS5" t="str" cm="1">
        <f t="array" ref="AS5">_xlfn.TEXTJOIN(", ",TRUE,_xlfn._xlws.FILTER($AL$1:$AL$1640,$AM$1:$AM$1640=ROW()-1,""))</f>
        <v>HMSC, ICT, VA</v>
      </c>
      <c r="AV5" t="s">
        <v>212</v>
      </c>
    </row>
    <row r="6" spans="1:48" ht="13.5" customHeight="1" x14ac:dyDescent="0.3">
      <c r="A6" s="8" t="s">
        <v>213</v>
      </c>
      <c r="B6" s="9"/>
      <c r="C6" s="10">
        <v>5</v>
      </c>
      <c r="D6" s="11"/>
      <c r="E6" s="2"/>
      <c r="AB6" t="str" cm="1">
        <f t="array" ref="AB6:AC6">_xlfn._xlws.FILTER(A6:Z6,A6:Z6&lt;&gt;"","")</f>
        <v>BAFS</v>
      </c>
      <c r="AC6">
        <v>5</v>
      </c>
      <c r="AD6" t="str">
        <v/>
      </c>
      <c r="AE6" t="str">
        <v/>
      </c>
      <c r="AF6" t="str" cm="1">
        <f t="array" ref="AF6">IF(AD6="","",SUMPRODUCT(IF(LEFT($AD$1:AD6,2)="JS",1,0)))</f>
        <v/>
      </c>
      <c r="AG6" t="b">
        <f t="shared" si="0"/>
        <v>1</v>
      </c>
      <c r="AH6" t="str">
        <f t="shared" si="1"/>
        <v/>
      </c>
      <c r="AI6" t="str">
        <f>IF(AH6="","",MAX($AF$1:$AF6))</f>
        <v/>
      </c>
      <c r="AJ6" t="str">
        <f t="shared" si="2"/>
        <v/>
      </c>
      <c r="AK6" t="str">
        <f>IF(AJ6="","",MAX($AF$1:$AF6))</f>
        <v/>
      </c>
      <c r="AL6" t="str">
        <f t="shared" si="3"/>
        <v>BAFS</v>
      </c>
      <c r="AM6">
        <f>IF(AL6="","",MAX($AF$1:$AF6))</f>
        <v>1</v>
      </c>
      <c r="AO6" t="str">
        <v>JS3070</v>
      </c>
      <c r="AP6" t="str">
        <v>BBA (Hons) Scheme in Aviation, Maritime and Supply Chain Management</v>
      </c>
      <c r="AQ6" t="str" cm="1">
        <f t="array" ref="AQ6">_xlfn.TEXTJOIN(", ",TRUE,_xlfn._xlws.FILTER($AH$1:$AH$1640,$AI$1:$AI$1640=ROW()-1,""))</f>
        <v>ENG, MATH</v>
      </c>
      <c r="AR6" t="str" cm="1">
        <f t="array" ref="AR6">_xlfn.TEXTJOIN(", ",TRUE,_xlfn._xlws.FILTER($AJ$1:$AJ$1640,$AK$1:$AK$1640=ROW()-1,""))</f>
        <v>BIO, BAFS, CHEM, 中史, 中文, ECON, GEOG, HIST, 通, M2, PHY</v>
      </c>
      <c r="AS6" t="str" cm="1">
        <f t="array" ref="AS6">_xlfn.TEXTJOIN(", ",TRUE,_xlfn._xlws.FILTER($AL$1:$AL$1640,$AM$1:$AM$1640=ROW()-1,""))</f>
        <v>HMSC, ICT, VA</v>
      </c>
      <c r="AV6" t="s">
        <v>214</v>
      </c>
    </row>
    <row r="7" spans="1:48" ht="13.5" customHeight="1" x14ac:dyDescent="0.3">
      <c r="A7" s="8" t="s">
        <v>5</v>
      </c>
      <c r="B7" s="9"/>
      <c r="C7" s="10">
        <v>5</v>
      </c>
      <c r="D7" s="11"/>
      <c r="E7" s="2"/>
      <c r="AB7" t="str" cm="1">
        <f t="array" ref="AB7:AC7">_xlfn._xlws.FILTER(A7:Z7,A7:Z7&lt;&gt;"","")</f>
        <v>Business, Accounting and Financial Studies (Accounting)</v>
      </c>
      <c r="AC7">
        <v>5</v>
      </c>
      <c r="AD7" s="5" t="str">
        <v/>
      </c>
      <c r="AE7" t="str">
        <v/>
      </c>
      <c r="AF7" t="str" cm="1">
        <f t="array" ref="AF7">IF(AD7="","",SUMPRODUCT(IF(LEFT($AD$1:AD7,2)="JS",1,0)))</f>
        <v/>
      </c>
      <c r="AG7" t="str">
        <f t="shared" si="0"/>
        <v/>
      </c>
      <c r="AH7" t="str">
        <f t="shared" si="1"/>
        <v/>
      </c>
      <c r="AI7" t="str">
        <f>IF(AH7="","",MAX($AF$1:$AF7))</f>
        <v/>
      </c>
      <c r="AJ7" t="str">
        <f t="shared" si="2"/>
        <v/>
      </c>
      <c r="AK7" t="str">
        <f>IF(AJ7="","",MAX($AF$1:$AF7))</f>
        <v/>
      </c>
      <c r="AL7" t="str">
        <f t="shared" si="3"/>
        <v/>
      </c>
      <c r="AM7" t="str">
        <f>IF(AL7="","",MAX($AF$1:$AF7))</f>
        <v/>
      </c>
      <c r="AN7" s="5"/>
      <c r="AO7" t="str">
        <v>JS3080</v>
      </c>
      <c r="AP7" t="str">
        <v>BBA (Hons) Scheme in Management and Marketing</v>
      </c>
      <c r="AQ7" t="str" cm="1">
        <f t="array" ref="AQ7">_xlfn.TEXTJOIN(", ",TRUE,_xlfn._xlws.FILTER($AH$1:$AH$1640,$AI$1:$AI$1640=ROW()-1,""))</f>
        <v>ENG, MATH</v>
      </c>
      <c r="AR7" t="str" cm="1">
        <f t="array" ref="AR7">_xlfn.TEXTJOIN(", ",TRUE,_xlfn._xlws.FILTER($AJ$1:$AJ$1640,$AK$1:$AK$1640=ROW()-1,""))</f>
        <v>BIO, BAFS, CHEM, 中史, 中文, ECON, GEOG, HIST, 通, M2, PHY</v>
      </c>
      <c r="AS7" t="str" cm="1">
        <f t="array" ref="AS7">_xlfn.TEXTJOIN(", ",TRUE,_xlfn._xlws.FILTER($AL$1:$AL$1640,$AM$1:$AM$1640=ROW()-1,""))</f>
        <v>HMSC, ICT, VA</v>
      </c>
      <c r="AV7" t="s">
        <v>216</v>
      </c>
    </row>
    <row r="8" spans="1:48" ht="13.5" customHeight="1" x14ac:dyDescent="0.3">
      <c r="A8" s="8" t="s">
        <v>6</v>
      </c>
      <c r="B8" s="9"/>
      <c r="C8" s="10">
        <v>5</v>
      </c>
      <c r="D8" s="11"/>
      <c r="E8" s="2"/>
      <c r="AB8" t="str" cm="1">
        <f t="array" ref="AB8:AC8">_xlfn._xlws.FILTER(A8:Z8,A8:Z8&lt;&gt;"","")</f>
        <v>Business, Accounting and Financial Studies (Business Management)</v>
      </c>
      <c r="AC8">
        <v>5</v>
      </c>
      <c r="AD8" s="5" t="str">
        <v/>
      </c>
      <c r="AE8" t="str">
        <v/>
      </c>
      <c r="AF8" t="str" cm="1">
        <f t="array" ref="AF8">IF(AD8="","",SUMPRODUCT(IF(LEFT($AD$1:AD8,2)="JS",1,0)))</f>
        <v/>
      </c>
      <c r="AG8" t="str">
        <f t="shared" si="0"/>
        <v/>
      </c>
      <c r="AH8" t="str">
        <f t="shared" si="1"/>
        <v/>
      </c>
      <c r="AI8" t="str">
        <f>IF(AH8="","",MAX($AF$1:$AF8))</f>
        <v/>
      </c>
      <c r="AJ8" t="str">
        <f t="shared" si="2"/>
        <v/>
      </c>
      <c r="AK8" t="str">
        <f>IF(AJ8="","",MAX($AF$1:$AF8))</f>
        <v/>
      </c>
      <c r="AL8" t="str">
        <f t="shared" si="3"/>
        <v/>
      </c>
      <c r="AM8" t="str">
        <f>IF(AL8="","",MAX($AF$1:$AF8))</f>
        <v/>
      </c>
      <c r="AN8" s="5"/>
      <c r="AO8" t="str">
        <v>JS3100</v>
      </c>
      <c r="AP8" t="str">
        <v>BSc (Hons) Scheme in Building and Real Estate</v>
      </c>
      <c r="AQ8" t="str" cm="1">
        <f t="array" ref="AQ8">_xlfn.TEXTJOIN(", ",TRUE,_xlfn._xlws.FILTER($AH$1:$AH$1640,$AI$1:$AI$1640=ROW()-1,""))</f>
        <v>ENG</v>
      </c>
      <c r="AR8" t="str" cm="1">
        <f t="array" ref="AR8">_xlfn.TEXTJOIN(", ",TRUE,_xlfn._xlws.FILTER($AJ$1:$AJ$1640,$AK$1:$AK$1640=ROW()-1,""))</f>
        <v>BIO, BAFS, CHEM, 中史, 中文, ECON, GEOG, HMSC, HIST, ICT, 通, MATH, M2, PHY</v>
      </c>
      <c r="AS8" t="str" cm="1">
        <f t="array" ref="AS8">_xlfn.TEXTJOIN(", ",TRUE,_xlfn._xlws.FILTER($AL$1:$AL$1640,$AM$1:$AM$1640=ROW()-1,""))</f>
        <v>VA</v>
      </c>
      <c r="AV8" s="7" t="s">
        <v>228</v>
      </c>
    </row>
    <row r="9" spans="1:48" ht="13.5" customHeight="1" x14ac:dyDescent="0.3">
      <c r="A9" s="8" t="s">
        <v>212</v>
      </c>
      <c r="B9" s="9"/>
      <c r="C9" s="10">
        <v>10</v>
      </c>
      <c r="D9" s="11"/>
      <c r="E9" s="2"/>
      <c r="AB9" t="str" cm="1">
        <f t="array" ref="AB9:AC9">_xlfn._xlws.FILTER(A9:Z9,A9:Z9&lt;&gt;"","")</f>
        <v>CHEM</v>
      </c>
      <c r="AC9">
        <v>10</v>
      </c>
      <c r="AD9" t="str">
        <v/>
      </c>
      <c r="AE9" t="str">
        <v/>
      </c>
      <c r="AF9" t="str" cm="1">
        <f t="array" ref="AF9">IF(AD9="","",SUMPRODUCT(IF(LEFT($AD$1:AD9,2)="JS",1,0)))</f>
        <v/>
      </c>
      <c r="AG9" t="b">
        <f t="shared" si="0"/>
        <v>1</v>
      </c>
      <c r="AH9" t="str">
        <f t="shared" si="1"/>
        <v>CHEM</v>
      </c>
      <c r="AI9">
        <f>IF(AH9="","",MAX($AF$1:$AF9))</f>
        <v>1</v>
      </c>
      <c r="AJ9" t="str">
        <f t="shared" si="2"/>
        <v/>
      </c>
      <c r="AK9" t="str">
        <f>IF(AJ9="","",MAX($AF$1:$AF9))</f>
        <v/>
      </c>
      <c r="AL9" t="str">
        <f t="shared" si="3"/>
        <v/>
      </c>
      <c r="AM9" t="str">
        <f>IF(AL9="","",MAX($AF$1:$AF9))</f>
        <v/>
      </c>
      <c r="AO9" t="str">
        <v>JS3110</v>
      </c>
      <c r="AP9" t="str">
        <v>BEng (Hons) Scheme in Building Sciences and Engineering</v>
      </c>
      <c r="AQ9" t="str" cm="1">
        <f t="array" ref="AQ9">_xlfn.TEXTJOIN(", ",TRUE,_xlfn._xlws.FILTER($AH$1:$AH$1640,$AI$1:$AI$1640=ROW()-1,""))</f>
        <v>ENG, MATH, PHY</v>
      </c>
      <c r="AR9" t="str" cm="1">
        <f t="array" ref="AR9">_xlfn.TEXTJOIN(", ",TRUE,_xlfn._xlws.FILTER($AJ$1:$AJ$1640,$AK$1:$AK$1640=ROW()-1,""))</f>
        <v>BIO, BAFS, CHEM, 中文, ECON, GEOG, HMSC, ICT, 通, M2</v>
      </c>
      <c r="AS9" t="str" cm="1">
        <f t="array" ref="AS9">_xlfn.TEXTJOIN(", ",TRUE,_xlfn._xlws.FILTER($AL$1:$AL$1640,$AM$1:$AM$1640=ROW()-1,""))</f>
        <v>中史, HIST, VA</v>
      </c>
      <c r="AV9" t="s">
        <v>217</v>
      </c>
    </row>
    <row r="10" spans="1:48" ht="13.5" customHeight="1" x14ac:dyDescent="0.3">
      <c r="A10" s="33" t="s">
        <v>215</v>
      </c>
      <c r="B10" s="9"/>
      <c r="C10" s="10">
        <v>5</v>
      </c>
      <c r="D10" s="11"/>
      <c r="E10" s="2"/>
      <c r="AB10" t="str" cm="1">
        <f t="array" ref="AB10:AC10">_xlfn._xlws.FILTER(A10:Z10,A10:Z10&lt;&gt;"","")</f>
        <v>中史</v>
      </c>
      <c r="AC10">
        <v>5</v>
      </c>
      <c r="AD10" t="str">
        <v/>
      </c>
      <c r="AE10" t="str">
        <v/>
      </c>
      <c r="AF10" t="str" cm="1">
        <f t="array" ref="AF10">IF(AD10="","",SUMPRODUCT(IF(LEFT($AD$1:AD10,2)="JS",1,0)))</f>
        <v/>
      </c>
      <c r="AG10" t="b">
        <f t="shared" si="0"/>
        <v>1</v>
      </c>
      <c r="AH10" t="str">
        <f t="shared" si="1"/>
        <v/>
      </c>
      <c r="AI10" t="str">
        <f>IF(AH10="","",MAX($AF$1:$AF10))</f>
        <v/>
      </c>
      <c r="AJ10" t="str">
        <f t="shared" si="2"/>
        <v/>
      </c>
      <c r="AK10" t="str">
        <f>IF(AJ10="","",MAX($AF$1:$AF10))</f>
        <v/>
      </c>
      <c r="AL10" t="str">
        <f t="shared" si="3"/>
        <v>中史</v>
      </c>
      <c r="AM10">
        <f>IF(AL10="","",MAX($AF$1:$AF10))</f>
        <v>1</v>
      </c>
      <c r="AO10" t="str">
        <v>JS3120</v>
      </c>
      <c r="AP10" t="str">
        <v>BEng (Hons) Scheme in Civil Engineering and Sustainable Development</v>
      </c>
      <c r="AQ10" t="str" cm="1">
        <f t="array" ref="AQ10">_xlfn.TEXTJOIN(", ",TRUE,_xlfn._xlws.FILTER($AH$1:$AH$1640,$AI$1:$AI$1640=ROW()-1,""))</f>
        <v>BIO, CHEM, 中文, ECON, ENG, GEOG, MATH, M2, PHY</v>
      </c>
      <c r="AR10" t="str" cm="1">
        <f t="array" ref="AR10">_xlfn.TEXTJOIN(", ",TRUE,_xlfn._xlws.FILTER($AJ$1:$AJ$1640,$AK$1:$AK$1640=ROW()-1,""))</f>
        <v>ICT, 通</v>
      </c>
      <c r="AS10" t="str" cm="1">
        <f t="array" ref="AS10">_xlfn.TEXTJOIN(", ",TRUE,_xlfn._xlws.FILTER($AL$1:$AL$1640,$AM$1:$AM$1640=ROW()-1,""))</f>
        <v>BAFS, 中史, HMSC, HIST, VA</v>
      </c>
      <c r="AV10" t="s">
        <v>218</v>
      </c>
    </row>
    <row r="11" spans="1:48" ht="13.5" customHeight="1" x14ac:dyDescent="0.3">
      <c r="A11" s="8" t="s">
        <v>216</v>
      </c>
      <c r="B11" s="9"/>
      <c r="C11" s="10">
        <v>7</v>
      </c>
      <c r="D11" s="11"/>
      <c r="E11" s="2"/>
      <c r="AB11" t="str" cm="1">
        <f t="array" ref="AB11:AC11">_xlfn._xlws.FILTER(A11:Z11,A11:Z11&lt;&gt;"","")</f>
        <v>中文</v>
      </c>
      <c r="AC11">
        <v>7</v>
      </c>
      <c r="AD11" t="str">
        <v/>
      </c>
      <c r="AE11" t="str">
        <v/>
      </c>
      <c r="AF11" t="str" cm="1">
        <f t="array" ref="AF11">IF(AD11="","",SUMPRODUCT(IF(LEFT($AD$1:AD11,2)="JS",1,0)))</f>
        <v/>
      </c>
      <c r="AG11" t="b">
        <f t="shared" si="0"/>
        <v>1</v>
      </c>
      <c r="AH11" t="str">
        <f t="shared" si="1"/>
        <v/>
      </c>
      <c r="AI11" t="str">
        <f>IF(AH11="","",MAX($AF$1:$AF11))</f>
        <v/>
      </c>
      <c r="AJ11" t="str">
        <f t="shared" si="2"/>
        <v>中文</v>
      </c>
      <c r="AK11">
        <f>IF(AJ11="","",MAX($AF$1:$AF11))</f>
        <v>1</v>
      </c>
      <c r="AL11" t="str">
        <f t="shared" si="3"/>
        <v/>
      </c>
      <c r="AM11" t="str">
        <f>IF(AL11="","",MAX($AF$1:$AF11))</f>
        <v/>
      </c>
      <c r="AO11" t="str">
        <v>JS3130</v>
      </c>
      <c r="AP11" t="str">
        <v>BSc (Hons) Scheme in Spatial Data Science and Smart Cities</v>
      </c>
      <c r="AQ11" t="str" cm="1">
        <f t="array" ref="AQ11">_xlfn.TEXTJOIN(", ",TRUE,_xlfn._xlws.FILTER($AH$1:$AH$1640,$AI$1:$AI$1640=ROW()-1,""))</f>
        <v>ENG, GEOG, ICT, MATH, M2, PHY</v>
      </c>
      <c r="AR11" t="str" cm="1">
        <f t="array" ref="AR11">_xlfn.TEXTJOIN(", ",TRUE,_xlfn._xlws.FILTER($AJ$1:$AJ$1640,$AK$1:$AK$1640=ROW()-1,""))</f>
        <v>BIO, BAFS, CHEM, 中史, 中文, ECON, HMSC, HIST, 通, VA</v>
      </c>
      <c r="AS11" t="str" cm="1">
        <f t="array" ref="AS11">_xlfn.TEXTJOIN(", ",TRUE,_xlfn._xlws.FILTER($AL$1:$AL$1640,$AM$1:$AM$1640=ROW()-1,""))</f>
        <v/>
      </c>
      <c r="AV11" t="s">
        <v>219</v>
      </c>
    </row>
    <row r="12" spans="1:48" ht="13.5" customHeight="1" x14ac:dyDescent="0.3">
      <c r="A12" s="8" t="s">
        <v>7</v>
      </c>
      <c r="B12" s="9"/>
      <c r="C12" s="10">
        <v>5</v>
      </c>
      <c r="D12" s="11"/>
      <c r="E12" s="2"/>
      <c r="AB12" t="str" cm="1">
        <f t="array" ref="AB12:AC12">_xlfn._xlws.FILTER(A12:Z12,A12:Z12&lt;&gt;"","")</f>
        <v>Chinese Literature</v>
      </c>
      <c r="AC12">
        <v>5</v>
      </c>
      <c r="AD12" t="str">
        <v/>
      </c>
      <c r="AE12" t="str">
        <v/>
      </c>
      <c r="AF12" t="str" cm="1">
        <f t="array" ref="AF12">IF(AD12="","",SUMPRODUCT(IF(LEFT($AD$1:AD12,2)="JS",1,0)))</f>
        <v/>
      </c>
      <c r="AG12" t="str">
        <f t="shared" si="0"/>
        <v/>
      </c>
      <c r="AH12" t="str">
        <f t="shared" si="1"/>
        <v/>
      </c>
      <c r="AI12" t="str">
        <f>IF(AH12="","",MAX($AF$1:$AF12))</f>
        <v/>
      </c>
      <c r="AJ12" t="str">
        <f t="shared" si="2"/>
        <v/>
      </c>
      <c r="AK12" t="str">
        <f>IF(AJ12="","",MAX($AF$1:$AF12))</f>
        <v/>
      </c>
      <c r="AL12" t="str">
        <f t="shared" si="3"/>
        <v/>
      </c>
      <c r="AM12" t="str">
        <f>IF(AL12="","",MAX($AF$1:$AF12))</f>
        <v/>
      </c>
      <c r="AO12" t="str">
        <v>JS3140</v>
      </c>
      <c r="AP12" t="str">
        <v>BEng (Hons) Scheme in Aviation Engineering</v>
      </c>
      <c r="AQ12" t="str" cm="1">
        <f t="array" ref="AQ12">_xlfn.TEXTJOIN(", ",TRUE,_xlfn._xlws.FILTER($AH$1:$AH$1640,$AI$1:$AI$1640=ROW()-1,""))</f>
        <v>CHEM, ENG, ICT, MATH, M2, PHY</v>
      </c>
      <c r="AR12" t="str" cm="1">
        <f t="array" ref="AR12">_xlfn.TEXTJOIN(", ",TRUE,_xlfn._xlws.FILTER($AJ$1:$AJ$1640,$AK$1:$AK$1640=ROW()-1,""))</f>
        <v>BIO, 中文, 通</v>
      </c>
      <c r="AS12" t="str" cm="1">
        <f t="array" ref="AS12">_xlfn.TEXTJOIN(", ",TRUE,_xlfn._xlws.FILTER($AL$1:$AL$1640,$AM$1:$AM$1640=ROW()-1,""))</f>
        <v>BAFS, 中史, ECON, GEOG, HMSC, HIST, VA</v>
      </c>
      <c r="AV12" t="s">
        <v>220</v>
      </c>
    </row>
    <row r="13" spans="1:48" ht="13.5" customHeight="1" x14ac:dyDescent="0.3">
      <c r="A13" s="8" t="s">
        <v>8</v>
      </c>
      <c r="B13" s="9"/>
      <c r="C13" s="10">
        <v>10</v>
      </c>
      <c r="D13" s="11"/>
      <c r="E13" s="2"/>
      <c r="AB13" t="str" cm="1">
        <f t="array" ref="AB13:AC13">_xlfn._xlws.FILTER(A13:Z13,A13:Z13&lt;&gt;"","")</f>
        <v>Combined Science: Biology + Chemistry</v>
      </c>
      <c r="AC13">
        <v>10</v>
      </c>
      <c r="AD13" t="str">
        <v/>
      </c>
      <c r="AE13" t="str">
        <v/>
      </c>
      <c r="AF13" t="str" cm="1">
        <f t="array" ref="AF13">IF(AD13="","",SUMPRODUCT(IF(LEFT($AD$1:AD13,2)="JS",1,0)))</f>
        <v/>
      </c>
      <c r="AG13" t="str">
        <f t="shared" si="0"/>
        <v/>
      </c>
      <c r="AH13" t="str">
        <f t="shared" si="1"/>
        <v/>
      </c>
      <c r="AI13" t="str">
        <f>IF(AH13="","",MAX($AF$1:$AF13))</f>
        <v/>
      </c>
      <c r="AJ13" t="str">
        <f t="shared" si="2"/>
        <v/>
      </c>
      <c r="AK13" t="str">
        <f>IF(AJ13="","",MAX($AF$1:$AF13))</f>
        <v/>
      </c>
      <c r="AL13" t="str">
        <f t="shared" si="3"/>
        <v/>
      </c>
      <c r="AM13" t="str">
        <f>IF(AL13="","",MAX($AF$1:$AF13))</f>
        <v/>
      </c>
      <c r="AO13" t="str">
        <v>JS3150</v>
      </c>
      <c r="AP13" t="str">
        <v>BSc (Hons) Scheme in Biomedical Engineering</v>
      </c>
      <c r="AQ13" t="str" cm="1">
        <f t="array" ref="AQ13">_xlfn.TEXTJOIN(", ",TRUE,_xlfn._xlws.FILTER($AH$1:$AH$1640,$AI$1:$AI$1640=ROW()-1,""))</f>
        <v>BIO, CHEM, MATH, M2, PHY</v>
      </c>
      <c r="AR13" t="str" cm="1">
        <f t="array" ref="AR13">_xlfn.TEXTJOIN(", ",TRUE,_xlfn._xlws.FILTER($AJ$1:$AJ$1640,$AK$1:$AK$1640=ROW()-1,""))</f>
        <v>中文, ENG, 通</v>
      </c>
      <c r="AS13" t="str" cm="1">
        <f t="array" ref="AS13">_xlfn.TEXTJOIN(", ",TRUE,_xlfn._xlws.FILTER($AL$1:$AL$1640,$AM$1:$AM$1640=ROW()-1,""))</f>
        <v>BAFS, 中史, ECON, GEOG, HMSC, HIST, ICT, VA</v>
      </c>
      <c r="AV13" t="s">
        <v>221</v>
      </c>
    </row>
    <row r="14" spans="1:48" ht="13.5" customHeight="1" x14ac:dyDescent="0.3">
      <c r="A14" s="8" t="s">
        <v>9</v>
      </c>
      <c r="B14" s="9"/>
      <c r="C14" s="10">
        <v>10</v>
      </c>
      <c r="D14" s="11"/>
      <c r="E14" s="2"/>
      <c r="AB14" t="str" cm="1">
        <f t="array" ref="AB14:AC14">_xlfn._xlws.FILTER(A14:Z14,A14:Z14&lt;&gt;"","")</f>
        <v>Combined Science: Biology + Physics</v>
      </c>
      <c r="AC14">
        <v>10</v>
      </c>
      <c r="AD14" t="str">
        <v/>
      </c>
      <c r="AE14" t="str">
        <v/>
      </c>
      <c r="AF14" t="str" cm="1">
        <f t="array" ref="AF14">IF(AD14="","",SUMPRODUCT(IF(LEFT($AD$1:AD14,2)="JS",1,0)))</f>
        <v/>
      </c>
      <c r="AG14" t="str">
        <f t="shared" si="0"/>
        <v/>
      </c>
      <c r="AH14" t="str">
        <f t="shared" si="1"/>
        <v/>
      </c>
      <c r="AI14" t="str">
        <f>IF(AH14="","",MAX($AF$1:$AF14))</f>
        <v/>
      </c>
      <c r="AJ14" t="str">
        <f t="shared" si="2"/>
        <v/>
      </c>
      <c r="AK14" t="str">
        <f>IF(AJ14="","",MAX($AF$1:$AF14))</f>
        <v/>
      </c>
      <c r="AL14" t="str">
        <f t="shared" si="3"/>
        <v/>
      </c>
      <c r="AM14" t="str">
        <f>IF(AL14="","",MAX($AF$1:$AF14))</f>
        <v/>
      </c>
      <c r="AO14" t="str">
        <v>JS3170</v>
      </c>
      <c r="AP14" t="str">
        <v>BEng (Hons) Scheme in Electrical Engineering</v>
      </c>
      <c r="AQ14" t="str" cm="1">
        <f t="array" ref="AQ14">_xlfn.TEXTJOIN(", ",TRUE,_xlfn._xlws.FILTER($AH$1:$AH$1640,$AI$1:$AI$1640=ROW()-1,""))</f>
        <v>BIO, CHEM, ENG, ICT, MATH, M2, PHY</v>
      </c>
      <c r="AR14" t="str" cm="1">
        <f t="array" ref="AR14">_xlfn.TEXTJOIN(", ",TRUE,_xlfn._xlws.FILTER($AJ$1:$AJ$1640,$AK$1:$AK$1640=ROW()-1,""))</f>
        <v>BAFS, 中文, ECON, 通</v>
      </c>
      <c r="AS14" t="str" cm="1">
        <f t="array" ref="AS14">_xlfn.TEXTJOIN(", ",TRUE,_xlfn._xlws.FILTER($AL$1:$AL$1640,$AM$1:$AM$1640=ROW()-1,""))</f>
        <v>中史, GEOG, HMSC, HIST, VA</v>
      </c>
      <c r="AU14" s="6"/>
      <c r="AV14" t="s">
        <v>222</v>
      </c>
    </row>
    <row r="15" spans="1:48" ht="13.5" customHeight="1" x14ac:dyDescent="0.3">
      <c r="A15" s="8" t="s">
        <v>10</v>
      </c>
      <c r="B15" s="9"/>
      <c r="C15" s="10">
        <v>10</v>
      </c>
      <c r="D15" s="11"/>
      <c r="E15" s="2"/>
      <c r="AB15" t="str" cm="1">
        <f t="array" ref="AB15:AC15">_xlfn._xlws.FILTER(A15:Z15,A15:Z15&lt;&gt;"","")</f>
        <v>Combined Science: Physics + Chemistry</v>
      </c>
      <c r="AC15">
        <v>10</v>
      </c>
      <c r="AD15" t="str">
        <v/>
      </c>
      <c r="AE15" t="str">
        <v/>
      </c>
      <c r="AF15" t="str" cm="1">
        <f t="array" ref="AF15">IF(AD15="","",SUMPRODUCT(IF(LEFT($AD$1:AD15,2)="JS",1,0)))</f>
        <v/>
      </c>
      <c r="AG15" t="str">
        <f t="shared" si="0"/>
        <v/>
      </c>
      <c r="AH15" t="str">
        <f t="shared" si="1"/>
        <v/>
      </c>
      <c r="AI15" t="str">
        <f>IF(AH15="","",MAX($AF$1:$AF15))</f>
        <v/>
      </c>
      <c r="AJ15" t="str">
        <f t="shared" si="2"/>
        <v/>
      </c>
      <c r="AK15" t="str">
        <f>IF(AJ15="","",MAX($AF$1:$AF15))</f>
        <v/>
      </c>
      <c r="AL15" t="str">
        <f t="shared" si="3"/>
        <v/>
      </c>
      <c r="AM15" t="str">
        <f>IF(AL15="","",MAX($AF$1:$AF15))</f>
        <v/>
      </c>
      <c r="AO15" t="str">
        <v>JS3180</v>
      </c>
      <c r="AP15" t="str">
        <v>BEng (Hons) / BSc (Hons) Scheme in Information and Artificial Intelligence Engineering</v>
      </c>
      <c r="AQ15" t="str" cm="1">
        <f t="array" ref="AQ15">_xlfn.TEXTJOIN(", ",TRUE,_xlfn._xlws.FILTER($AH$1:$AH$1640,$AI$1:$AI$1640=ROW()-1,""))</f>
        <v>BIO, CHEM, ENG, ICT, MATH, M2, PHY</v>
      </c>
      <c r="AR15" t="str" cm="1">
        <f t="array" ref="AR15">_xlfn.TEXTJOIN(", ",TRUE,_xlfn._xlws.FILTER($AJ$1:$AJ$1640,$AK$1:$AK$1640=ROW()-1,""))</f>
        <v>中文, 通</v>
      </c>
      <c r="AS15" t="str" cm="1">
        <f t="array" ref="AS15">_xlfn.TEXTJOIN(", ",TRUE,_xlfn._xlws.FILTER($AL$1:$AL$1640,$AM$1:$AM$1640=ROW()-1,""))</f>
        <v>BAFS, 中史, ECON, GEOG, HMSC, HIST, VA</v>
      </c>
      <c r="AV15" t="s">
        <v>224</v>
      </c>
    </row>
    <row r="16" spans="1:48" ht="13.5" customHeight="1" x14ac:dyDescent="0.3">
      <c r="A16" s="8" t="s">
        <v>11</v>
      </c>
      <c r="B16" s="9"/>
      <c r="C16" s="10">
        <v>5</v>
      </c>
      <c r="D16" s="11"/>
      <c r="E16" s="2"/>
      <c r="AB16" t="str" cm="1">
        <f t="array" ref="AB16:AC16">_xlfn._xlws.FILTER(A16:Z16,A16:Z16&lt;&gt;"","")</f>
        <v>Design and Applied Technology</v>
      </c>
      <c r="AC16">
        <v>5</v>
      </c>
      <c r="AD16" t="str">
        <v/>
      </c>
      <c r="AE16" t="str">
        <v/>
      </c>
      <c r="AF16" t="str" cm="1">
        <f t="array" ref="AF16">IF(AD16="","",SUMPRODUCT(IF(LEFT($AD$1:AD16,2)="JS",1,0)))</f>
        <v/>
      </c>
      <c r="AG16" t="str">
        <f t="shared" si="0"/>
        <v/>
      </c>
      <c r="AH16" t="str">
        <f t="shared" si="1"/>
        <v/>
      </c>
      <c r="AI16" t="str">
        <f>IF(AH16="","",MAX($AF$1:$AF16))</f>
        <v/>
      </c>
      <c r="AJ16" t="str">
        <f t="shared" si="2"/>
        <v/>
      </c>
      <c r="AK16" t="str">
        <f>IF(AJ16="","",MAX($AF$1:$AF16))</f>
        <v/>
      </c>
      <c r="AL16" t="str">
        <f t="shared" si="3"/>
        <v/>
      </c>
      <c r="AM16" t="str">
        <f>IF(AL16="","",MAX($AF$1:$AF16))</f>
        <v/>
      </c>
      <c r="AO16" t="str">
        <v>JS3240</v>
      </c>
      <c r="AP16" t="str">
        <v>BA (Hons) Scheme in English and Applied Linguistics</v>
      </c>
      <c r="AQ16" t="str" cm="1">
        <f t="array" ref="AQ16">_xlfn.TEXTJOIN(", ",TRUE,_xlfn._xlws.FILTER($AH$1:$AH$1640,$AI$1:$AI$1640=ROW()-1,""))</f>
        <v>中文, ENG</v>
      </c>
      <c r="AR16" t="str" cm="1">
        <f t="array" ref="AR16">_xlfn.TEXTJOIN(", ",TRUE,_xlfn._xlws.FILTER($AJ$1:$AJ$1640,$AK$1:$AK$1640=ROW()-1,""))</f>
        <v>BAFS, 中史, GEOG, HMSC, HIST, ICT, 通, MATH, VA</v>
      </c>
      <c r="AS16" t="str" cm="1">
        <f t="array" ref="AS16">_xlfn.TEXTJOIN(", ",TRUE,_xlfn._xlws.FILTER($AL$1:$AL$1640,$AM$1:$AM$1640=ROW()-1,""))</f>
        <v>BIO, CHEM, ECON, M2, PHY</v>
      </c>
      <c r="AV16" t="s">
        <v>225</v>
      </c>
    </row>
    <row r="17" spans="1:48" ht="13.5" customHeight="1" x14ac:dyDescent="0.3">
      <c r="A17" s="8" t="s">
        <v>217</v>
      </c>
      <c r="B17" s="9"/>
      <c r="C17" s="10">
        <v>5</v>
      </c>
      <c r="D17" s="11"/>
      <c r="E17" s="2"/>
      <c r="AB17" t="str" cm="1">
        <f t="array" ref="AB17:AC17">_xlfn._xlws.FILTER(A17:Z17,A17:Z17&lt;&gt;"","")</f>
        <v>ECON</v>
      </c>
      <c r="AC17">
        <v>5</v>
      </c>
      <c r="AD17" t="str">
        <v/>
      </c>
      <c r="AE17" t="str">
        <v/>
      </c>
      <c r="AF17" t="str" cm="1">
        <f t="array" ref="AF17">IF(AD17="","",SUMPRODUCT(IF(LEFT($AD$1:AD17,2)="JS",1,0)))</f>
        <v/>
      </c>
      <c r="AG17" t="b">
        <f t="shared" si="0"/>
        <v>1</v>
      </c>
      <c r="AH17" t="str">
        <f t="shared" si="1"/>
        <v/>
      </c>
      <c r="AI17" t="str">
        <f>IF(AH17="","",MAX($AF$1:$AF17))</f>
        <v/>
      </c>
      <c r="AJ17" t="str">
        <f t="shared" si="2"/>
        <v/>
      </c>
      <c r="AK17" t="str">
        <f>IF(AJ17="","",MAX($AF$1:$AF17))</f>
        <v/>
      </c>
      <c r="AL17" t="str">
        <f t="shared" si="3"/>
        <v>ECON</v>
      </c>
      <c r="AM17">
        <f>IF(AL17="","",MAX($AF$1:$AF17))</f>
        <v>1</v>
      </c>
      <c r="AO17" t="str">
        <v>JS3250</v>
      </c>
      <c r="AP17" t="str">
        <v>BA (Hons) Scheme in Applied Social Sciences</v>
      </c>
      <c r="AQ17" t="str" cm="1">
        <f t="array" ref="AQ17">_xlfn.TEXTJOIN(", ",TRUE,_xlfn._xlws.FILTER($AH$1:$AH$1640,$AI$1:$AI$1640=ROW()-1,""))</f>
        <v/>
      </c>
      <c r="AR17" t="str" cm="1">
        <f t="array" ref="AR17">_xlfn.TEXTJOIN(", ",TRUE,_xlfn._xlws.FILTER($AJ$1:$AJ$1640,$AK$1:$AK$1640=ROW()-1,""))</f>
        <v>BIO, BAFS, CHEM, 中史, 中文, ECON, ENG, GEOG, HMSC, HIST, ICT, 通, MATH, M2, PHY, VA</v>
      </c>
      <c r="AS17" t="str" cm="1">
        <f t="array" ref="AS17">_xlfn.TEXTJOIN(", ",TRUE,_xlfn._xlws.FILTER($AL$1:$AL$1640,$AM$1:$AM$1640=ROW()-1,""))</f>
        <v/>
      </c>
      <c r="AV17" t="s">
        <v>226</v>
      </c>
    </row>
    <row r="18" spans="1:48" ht="13.5" customHeight="1" x14ac:dyDescent="0.3">
      <c r="A18" s="8" t="s">
        <v>218</v>
      </c>
      <c r="B18" s="9"/>
      <c r="C18" s="10">
        <v>10</v>
      </c>
      <c r="D18" s="11"/>
      <c r="E18" s="2"/>
      <c r="AB18" t="str" cm="1">
        <f t="array" ref="AB18:AC18">_xlfn._xlws.FILTER(A18:Z18,A18:Z18&lt;&gt;"","")</f>
        <v>ENG</v>
      </c>
      <c r="AC18">
        <v>10</v>
      </c>
      <c r="AD18" t="str">
        <v/>
      </c>
      <c r="AE18" t="str">
        <v/>
      </c>
      <c r="AF18" t="str" cm="1">
        <f t="array" ref="AF18">IF(AD18="","",SUMPRODUCT(IF(LEFT($AD$1:AD18,2)="JS",1,0)))</f>
        <v/>
      </c>
      <c r="AG18" t="b">
        <f t="shared" si="0"/>
        <v>1</v>
      </c>
      <c r="AH18" t="str">
        <f t="shared" si="1"/>
        <v>ENG</v>
      </c>
      <c r="AI18">
        <f>IF(AH18="","",MAX($AF$1:$AF18))</f>
        <v>1</v>
      </c>
      <c r="AJ18" t="str">
        <f t="shared" si="2"/>
        <v/>
      </c>
      <c r="AK18" t="str">
        <f>IF(AJ18="","",MAX($AF$1:$AF18))</f>
        <v/>
      </c>
      <c r="AL18" t="str">
        <f t="shared" si="3"/>
        <v/>
      </c>
      <c r="AM18" t="str">
        <f>IF(AL18="","",MAX($AF$1:$AF18))</f>
        <v/>
      </c>
      <c r="AO18" t="str">
        <v>JS3290</v>
      </c>
      <c r="AP18" t="str">
        <v>BSc (Hons) Scheme in Optometry</v>
      </c>
      <c r="AQ18" t="str" cm="1">
        <f t="array" ref="AQ18">_xlfn.TEXTJOIN(", ",TRUE,_xlfn._xlws.FILTER($AH$1:$AH$1640,$AI$1:$AI$1640=ROW()-1,""))</f>
        <v>BIO, CHEM, ENG, MATH, M2, PHY</v>
      </c>
      <c r="AR18" t="str" cm="1">
        <f t="array" ref="AR18">_xlfn.TEXTJOIN(", ",TRUE,_xlfn._xlws.FILTER($AJ$1:$AJ$1640,$AK$1:$AK$1640=ROW()-1,""))</f>
        <v>中文, 通</v>
      </c>
      <c r="AS18" t="str" cm="1">
        <f t="array" ref="AS18">_xlfn.TEXTJOIN(", ",TRUE,_xlfn._xlws.FILTER($AL$1:$AL$1640,$AM$1:$AM$1640=ROW()-1,""))</f>
        <v>BAFS, 中史, ECON, GEOG, HMSC, HIST, ICT, VA</v>
      </c>
      <c r="AV18" t="s">
        <v>210</v>
      </c>
    </row>
    <row r="19" spans="1:48" ht="13.5" customHeight="1" x14ac:dyDescent="0.3">
      <c r="A19" s="8" t="s">
        <v>12</v>
      </c>
      <c r="B19" s="9"/>
      <c r="C19" s="10">
        <v>5</v>
      </c>
      <c r="D19" s="11"/>
      <c r="E19" s="2"/>
      <c r="AB19" t="str" cm="1">
        <f t="array" ref="AB19:AC19">_xlfn._xlws.FILTER(A19:Z19,A19:Z19&lt;&gt;"","")</f>
        <v>Ethics and Religious Studies</v>
      </c>
      <c r="AC19">
        <v>5</v>
      </c>
      <c r="AD19" t="str">
        <v/>
      </c>
      <c r="AE19" t="str">
        <v/>
      </c>
      <c r="AF19" t="str" cm="1">
        <f t="array" ref="AF19">IF(AD19="","",SUMPRODUCT(IF(LEFT($AD$1:AD19,2)="JS",1,0)))</f>
        <v/>
      </c>
      <c r="AG19" t="str">
        <f t="shared" si="0"/>
        <v/>
      </c>
      <c r="AH19" t="str">
        <f t="shared" si="1"/>
        <v/>
      </c>
      <c r="AI19" t="str">
        <f>IF(AH19="","",MAX($AF$1:$AF19))</f>
        <v/>
      </c>
      <c r="AJ19" t="str">
        <f t="shared" si="2"/>
        <v/>
      </c>
      <c r="AK19" t="str">
        <f>IF(AJ19="","",MAX($AF$1:$AF19))</f>
        <v/>
      </c>
      <c r="AL19" t="str">
        <f t="shared" si="3"/>
        <v/>
      </c>
      <c r="AM19" t="str">
        <f>IF(AL19="","",MAX($AF$1:$AF19))</f>
        <v/>
      </c>
      <c r="AO19" t="str">
        <v>JS3310</v>
      </c>
      <c r="AP19" t="str">
        <v>BSc (Hons) Scheme in Hotel and Tourism Management</v>
      </c>
      <c r="AQ19" t="str" cm="1">
        <f t="array" ref="AQ19">_xlfn.TEXTJOIN(", ",TRUE,_xlfn._xlws.FILTER($AH$1:$AH$1640,$AI$1:$AI$1640=ROW()-1,""))</f>
        <v>ENG</v>
      </c>
      <c r="AR19" t="str" cm="1">
        <f t="array" ref="AR19">_xlfn.TEXTJOIN(", ",TRUE,_xlfn._xlws.FILTER($AJ$1:$AJ$1640,$AK$1:$AK$1640=ROW()-1,""))</f>
        <v>BIO, BAFS, CHEM, 中史, 中文, ECON, GEOG, HMSC, HIST, ICT, 通, MATH, M2, PHY, VA</v>
      </c>
      <c r="AS19" t="str" cm="1">
        <f t="array" ref="AS19">_xlfn.TEXTJOIN(", ",TRUE,_xlfn._xlws.FILTER($AL$1:$AL$1640,$AM$1:$AM$1640=ROW()-1,""))</f>
        <v/>
      </c>
    </row>
    <row r="20" spans="1:48" ht="13.5" customHeight="1" x14ac:dyDescent="0.3">
      <c r="A20" s="8" t="s">
        <v>219</v>
      </c>
      <c r="B20" s="9"/>
      <c r="C20" s="10">
        <v>5</v>
      </c>
      <c r="D20" s="11"/>
      <c r="E20" s="2"/>
      <c r="AB20" t="str" cm="1">
        <f t="array" ref="AB20:AC20">_xlfn._xlws.FILTER(A20:Z20,A20:Z20&lt;&gt;"","")</f>
        <v>GEOG</v>
      </c>
      <c r="AC20">
        <v>5</v>
      </c>
      <c r="AD20" t="str">
        <v/>
      </c>
      <c r="AE20" t="str">
        <v/>
      </c>
      <c r="AF20" t="str" cm="1">
        <f t="array" ref="AF20">IF(AD20="","",SUMPRODUCT(IF(LEFT($AD$1:AD20,2)="JS",1,0)))</f>
        <v/>
      </c>
      <c r="AG20" t="b">
        <f t="shared" si="0"/>
        <v>1</v>
      </c>
      <c r="AH20" t="str">
        <f t="shared" si="1"/>
        <v/>
      </c>
      <c r="AI20" t="str">
        <f>IF(AH20="","",MAX($AF$1:$AF20))</f>
        <v/>
      </c>
      <c r="AJ20" t="str">
        <f t="shared" si="2"/>
        <v/>
      </c>
      <c r="AK20" t="str">
        <f>IF(AJ20="","",MAX($AF$1:$AF20))</f>
        <v/>
      </c>
      <c r="AL20" t="str">
        <f t="shared" si="3"/>
        <v>GEOG</v>
      </c>
      <c r="AM20">
        <f>IF(AL20="","",MAX($AF$1:$AF20))</f>
        <v>1</v>
      </c>
      <c r="AO20" t="str">
        <v>JS3320</v>
      </c>
      <c r="AP20" t="str">
        <v>BA (Hons) Scheme in Chinese History and Culture</v>
      </c>
      <c r="AQ20" t="str" cm="1">
        <f t="array" ref="AQ20">_xlfn.TEXTJOIN(", ",TRUE,_xlfn._xlws.FILTER($AH$1:$AH$1640,$AI$1:$AI$1640=ROW()-1,""))</f>
        <v>中史, 中文, ENG, HIST</v>
      </c>
      <c r="AR20" t="str" cm="1">
        <f t="array" ref="AR20">_xlfn.TEXTJOIN(", ",TRUE,_xlfn._xlws.FILTER($AJ$1:$AJ$1640,$AK$1:$AK$1640=ROW()-1,""))</f>
        <v>通, MATH</v>
      </c>
      <c r="AS20" t="str" cm="1">
        <f t="array" ref="AS20">_xlfn.TEXTJOIN(", ",TRUE,_xlfn._xlws.FILTER($AL$1:$AL$1640,$AM$1:$AM$1640=ROW()-1,""))</f>
        <v>BIO, BAFS, CHEM, ECON, GEOG, HMSC, ICT, M2, PHY, VA</v>
      </c>
    </row>
    <row r="21" spans="1:48" ht="13.5" customHeight="1" x14ac:dyDescent="0.3">
      <c r="A21" s="8" t="s">
        <v>220</v>
      </c>
      <c r="B21" s="9"/>
      <c r="C21" s="10">
        <v>5</v>
      </c>
      <c r="D21" s="11"/>
      <c r="E21" s="2"/>
      <c r="AB21" t="str" cm="1">
        <f t="array" ref="AB21:AC21">_xlfn._xlws.FILTER(A21:Z21,A21:Z21&lt;&gt;"","")</f>
        <v>HMSC</v>
      </c>
      <c r="AC21">
        <v>5</v>
      </c>
      <c r="AD21" t="str">
        <v/>
      </c>
      <c r="AE21" t="str">
        <v/>
      </c>
      <c r="AF21" t="str" cm="1">
        <f t="array" ref="AF21">IF(AD21="","",SUMPRODUCT(IF(LEFT($AD$1:AD21,2)="JS",1,0)))</f>
        <v/>
      </c>
      <c r="AG21" t="b">
        <f t="shared" si="0"/>
        <v>1</v>
      </c>
      <c r="AH21" t="str">
        <f t="shared" si="1"/>
        <v/>
      </c>
      <c r="AI21" t="str">
        <f>IF(AH21="","",MAX($AF$1:$AF21))</f>
        <v/>
      </c>
      <c r="AJ21" t="str">
        <f t="shared" si="2"/>
        <v/>
      </c>
      <c r="AK21" t="str">
        <f>IF(AJ21="","",MAX($AF$1:$AF21))</f>
        <v/>
      </c>
      <c r="AL21" t="str">
        <f t="shared" si="3"/>
        <v>HMSC</v>
      </c>
      <c r="AM21">
        <f>IF(AL21="","",MAX($AF$1:$AF21))</f>
        <v>1</v>
      </c>
      <c r="AO21" t="str">
        <v>JS3330</v>
      </c>
      <c r="AP21" t="str">
        <v>BA (Hons) / BSc (Hons) Scheme in Language Sciences, Translation, and Speech Therapy</v>
      </c>
      <c r="AQ21" t="str" cm="1">
        <f t="array" ref="AQ21">_xlfn.TEXTJOIN(", ",TRUE,_xlfn._xlws.FILTER($AH$1:$AH$1640,$AI$1:$AI$1640=ROW()-1,""))</f>
        <v>中文, ENG, MATH</v>
      </c>
      <c r="AR21" t="str" cm="1">
        <f t="array" ref="AR21">_xlfn.TEXTJOIN(", ",TRUE,_xlfn._xlws.FILTER($AJ$1:$AJ$1640,$AK$1:$AK$1640=ROW()-1,""))</f>
        <v>BIO, BAFS, CHEM, 中史, ECON, GEOG, HMSC, HIST, ICT, 通, M2, PHY</v>
      </c>
      <c r="AS21" t="str" cm="1">
        <f t="array" ref="AS21">_xlfn.TEXTJOIN(", ",TRUE,_xlfn._xlws.FILTER($AL$1:$AL$1640,$AM$1:$AM$1640=ROW()-1,""))</f>
        <v>VA</v>
      </c>
    </row>
    <row r="22" spans="1:48" ht="13.5" customHeight="1" x14ac:dyDescent="0.3">
      <c r="A22" s="8" t="s">
        <v>221</v>
      </c>
      <c r="B22" s="9"/>
      <c r="C22" s="10">
        <v>5</v>
      </c>
      <c r="D22" s="11"/>
      <c r="E22" s="2"/>
      <c r="AB22" t="str" cm="1">
        <f t="array" ref="AB22:AC22">_xlfn._xlws.FILTER(A22:Z22,A22:Z22&lt;&gt;"","")</f>
        <v>HIST</v>
      </c>
      <c r="AC22">
        <v>5</v>
      </c>
      <c r="AD22" t="str">
        <v/>
      </c>
      <c r="AE22" t="str">
        <v/>
      </c>
      <c r="AF22" t="str" cm="1">
        <f t="array" ref="AF22">IF(AD22="","",SUMPRODUCT(IF(LEFT($AD$1:AD22,2)="JS",1,0)))</f>
        <v/>
      </c>
      <c r="AG22" t="b">
        <f t="shared" si="0"/>
        <v>1</v>
      </c>
      <c r="AH22" t="str">
        <f t="shared" si="1"/>
        <v/>
      </c>
      <c r="AI22" t="str">
        <f>IF(AH22="","",MAX($AF$1:$AF22))</f>
        <v/>
      </c>
      <c r="AJ22" t="str">
        <f t="shared" si="2"/>
        <v/>
      </c>
      <c r="AK22" t="str">
        <f>IF(AJ22="","",MAX($AF$1:$AF22))</f>
        <v/>
      </c>
      <c r="AL22" t="str">
        <f t="shared" si="3"/>
        <v>HIST</v>
      </c>
      <c r="AM22">
        <f>IF(AL22="","",MAX($AF$1:$AF22))</f>
        <v>1</v>
      </c>
      <c r="AO22" t="str">
        <v>JS3337</v>
      </c>
      <c r="AP22" t="str">
        <v>BSc (Hons) Scheme in Nursing - Mental Health Nursing</v>
      </c>
      <c r="AQ22" t="str" cm="1">
        <f t="array" ref="AQ22">_xlfn.TEXTJOIN(", ",TRUE,_xlfn._xlws.FILTER($AH$1:$AH$1640,$AI$1:$AI$1640=ROW()-1,""))</f>
        <v>BIO, 中文, ENG, 通, MATH</v>
      </c>
      <c r="AR22" t="str" cm="1">
        <f t="array" ref="AR22">_xlfn.TEXTJOIN(", ",TRUE,_xlfn._xlws.FILTER($AJ$1:$AJ$1640,$AK$1:$AK$1640=ROW()-1,""))</f>
        <v>BAFS, CHEM, 中史, ECON, GEOG, HMSC, HIST, ICT, M2, PHY, VA</v>
      </c>
      <c r="AS22" t="str" cm="1">
        <f t="array" ref="AS22">_xlfn.TEXTJOIN(", ",TRUE,_xlfn._xlws.FILTER($AL$1:$AL$1640,$AM$1:$AM$1640=ROW()-1,""))</f>
        <v/>
      </c>
    </row>
    <row r="23" spans="1:48" ht="13.5" customHeight="1" x14ac:dyDescent="0.3">
      <c r="A23" s="8" t="s">
        <v>222</v>
      </c>
      <c r="B23" s="9"/>
      <c r="C23" s="10">
        <v>5</v>
      </c>
      <c r="D23" s="11"/>
      <c r="E23" s="2"/>
      <c r="AB23" t="str" cm="1">
        <f t="array" ref="AB23:AC23">_xlfn._xlws.FILTER(A23:Z23,A23:Z23&lt;&gt;"","")</f>
        <v>ICT</v>
      </c>
      <c r="AC23">
        <v>5</v>
      </c>
      <c r="AD23" t="str">
        <v/>
      </c>
      <c r="AE23" t="str">
        <v/>
      </c>
      <c r="AF23" t="str" cm="1">
        <f t="array" ref="AF23">IF(AD23="","",SUMPRODUCT(IF(LEFT($AD$1:AD23,2)="JS",1,0)))</f>
        <v/>
      </c>
      <c r="AG23" t="b">
        <f t="shared" si="0"/>
        <v>1</v>
      </c>
      <c r="AH23" t="str">
        <f t="shared" si="1"/>
        <v/>
      </c>
      <c r="AI23" t="str">
        <f>IF(AH23="","",MAX($AF$1:$AF23))</f>
        <v/>
      </c>
      <c r="AJ23" t="str">
        <f t="shared" si="2"/>
        <v/>
      </c>
      <c r="AK23" t="str">
        <f>IF(AJ23="","",MAX($AF$1:$AF23))</f>
        <v/>
      </c>
      <c r="AL23" t="str">
        <f t="shared" si="3"/>
        <v>ICT</v>
      </c>
      <c r="AM23">
        <f>IF(AL23="","",MAX($AF$1:$AF23))</f>
        <v>1</v>
      </c>
      <c r="AO23" t="str">
        <v>JS3478</v>
      </c>
      <c r="AP23" t="str">
        <v>BSc (Hons) Scheme in Medical Laboratory Science and Radiography - Medical Laboratory Science</v>
      </c>
      <c r="AQ23" t="str" cm="1">
        <f t="array" ref="AQ23">_xlfn.TEXTJOIN(", ",TRUE,_xlfn._xlws.FILTER($AH$1:$AH$1640,$AI$1:$AI$1640=ROW()-1,""))</f>
        <v>BIO, CHEM, 中文, ENG, MATH, M2</v>
      </c>
      <c r="AR23" t="str" cm="1">
        <f t="array" ref="AR23">_xlfn.TEXTJOIN(", ",TRUE,_xlfn._xlws.FILTER($AJ$1:$AJ$1640,$AK$1:$AK$1640=ROW()-1,""))</f>
        <v>通, PHY</v>
      </c>
      <c r="AS23" t="str" cm="1">
        <f t="array" ref="AS23">_xlfn.TEXTJOIN(", ",TRUE,_xlfn._xlws.FILTER($AL$1:$AL$1640,$AM$1:$AM$1640=ROW()-1,""))</f>
        <v>BAFS, 中史, ECON, GEOG, HMSC, HIST, ICT, VA</v>
      </c>
    </row>
    <row r="24" spans="1:48" ht="13.5" customHeight="1" x14ac:dyDescent="0.3">
      <c r="A24" s="8" t="s">
        <v>13</v>
      </c>
      <c r="B24" s="9"/>
      <c r="C24" s="10">
        <v>7</v>
      </c>
      <c r="D24" s="11"/>
      <c r="E24" s="2"/>
      <c r="AB24" t="str" cm="1">
        <f t="array" ref="AB24:AC24">_xlfn._xlws.FILTER(A24:Z24,A24:Z24&lt;&gt;"","")</f>
        <v>Integrated Science</v>
      </c>
      <c r="AC24">
        <v>7</v>
      </c>
      <c r="AD24" t="str">
        <v/>
      </c>
      <c r="AE24" t="str">
        <v/>
      </c>
      <c r="AF24" t="str" cm="1">
        <f t="array" ref="AF24">IF(AD24="","",SUMPRODUCT(IF(LEFT($AD$1:AD24,2)="JS",1,0)))</f>
        <v/>
      </c>
      <c r="AG24" t="str">
        <f t="shared" si="0"/>
        <v/>
      </c>
      <c r="AH24" t="str">
        <f t="shared" si="1"/>
        <v/>
      </c>
      <c r="AI24" t="str">
        <f>IF(AH24="","",MAX($AF$1:$AF24))</f>
        <v/>
      </c>
      <c r="AJ24" t="str">
        <f t="shared" si="2"/>
        <v/>
      </c>
      <c r="AK24" t="str">
        <f>IF(AJ24="","",MAX($AF$1:$AF24))</f>
        <v/>
      </c>
      <c r="AL24" t="str">
        <f t="shared" si="3"/>
        <v/>
      </c>
      <c r="AM24" t="str">
        <f>IF(AL24="","",MAX($AF$1:$AF24))</f>
        <v/>
      </c>
      <c r="AO24" t="str">
        <v>JS3557</v>
      </c>
      <c r="AP24" t="str">
        <v>BEng (Hons) Scheme in Product and Industrial Engineering</v>
      </c>
      <c r="AQ24" t="str" cm="1">
        <f t="array" ref="AQ24">_xlfn.TEXTJOIN(", ",TRUE,_xlfn._xlws.FILTER($AH$1:$AH$1640,$AI$1:$AI$1640=ROW()-1,""))</f>
        <v>ENG, MATH</v>
      </c>
      <c r="AR24" t="str" cm="1">
        <f t="array" ref="AR24">_xlfn.TEXTJOIN(", ",TRUE,_xlfn._xlws.FILTER($AJ$1:$AJ$1640,$AK$1:$AK$1640=ROW()-1,""))</f>
        <v>中文, 通</v>
      </c>
      <c r="AS24" t="str" cm="1">
        <f t="array" ref="AS24">_xlfn.TEXTJOIN(", ",TRUE,_xlfn._xlws.FILTER($AL$1:$AL$1640,$AM$1:$AM$1640=ROW()-1,""))</f>
        <v>BIO, BAFS, CHEM, 中史, ECON, GEOG, HMSC, HIST, ICT, M2, PHY, VA</v>
      </c>
    </row>
    <row r="25" spans="1:48" ht="13.5" customHeight="1" x14ac:dyDescent="0.3">
      <c r="A25" s="8" t="s">
        <v>223</v>
      </c>
      <c r="B25" s="9"/>
      <c r="C25" s="10">
        <v>7</v>
      </c>
      <c r="D25" s="11"/>
      <c r="E25" s="2"/>
      <c r="AB25" t="str" cm="1">
        <f t="array" ref="AB25:AC25">_xlfn._xlws.FILTER(A25:Z25,A25:Z25&lt;&gt;"","")</f>
        <v>通</v>
      </c>
      <c r="AC25">
        <v>7</v>
      </c>
      <c r="AD25" t="str">
        <v/>
      </c>
      <c r="AE25" t="str">
        <v/>
      </c>
      <c r="AF25" t="str" cm="1">
        <f t="array" ref="AF25">IF(AD25="","",SUMPRODUCT(IF(LEFT($AD$1:AD25,2)="JS",1,0)))</f>
        <v/>
      </c>
      <c r="AG25" t="b">
        <f t="shared" si="0"/>
        <v>1</v>
      </c>
      <c r="AH25" t="str">
        <f t="shared" si="1"/>
        <v/>
      </c>
      <c r="AI25" t="str">
        <f>IF(AH25="","",MAX($AF$1:$AF25))</f>
        <v/>
      </c>
      <c r="AJ25" t="str">
        <f t="shared" si="2"/>
        <v>通</v>
      </c>
      <c r="AK25">
        <f>IF(AJ25="","",MAX($AF$1:$AF25))</f>
        <v>1</v>
      </c>
      <c r="AL25" t="str">
        <f t="shared" si="3"/>
        <v/>
      </c>
      <c r="AM25" t="str">
        <f>IF(AL25="","",MAX($AF$1:$AF25))</f>
        <v/>
      </c>
      <c r="AO25" t="str">
        <v>JS3569</v>
      </c>
      <c r="AP25" t="str">
        <v>BA (Hons) Scheme in Design</v>
      </c>
      <c r="AQ25" t="str" cm="1">
        <f t="array" ref="AQ25">_xlfn.TEXTJOIN(", ",TRUE,_xlfn._xlws.FILTER($AH$1:$AH$1640,$AI$1:$AI$1640=ROW()-1,""))</f>
        <v>中文, ENG, ICT, 通, MATH, VA</v>
      </c>
      <c r="AR25" t="str" cm="1">
        <f t="array" ref="AR25">_xlfn.TEXTJOIN(", ",TRUE,_xlfn._xlws.FILTER($AJ$1:$AJ$1640,$AK$1:$AK$1640=ROW()-1,""))</f>
        <v>BAFS, ECON, HIST</v>
      </c>
      <c r="AS25" t="str" cm="1">
        <f t="array" ref="AS25">_xlfn.TEXTJOIN(", ",TRUE,_xlfn._xlws.FILTER($AL$1:$AL$1640,$AM$1:$AM$1640=ROW()-1,""))</f>
        <v>BIO, CHEM, 中史, GEOG, HMSC, M2, PHY</v>
      </c>
    </row>
    <row r="26" spans="1:48" ht="13.5" customHeight="1" x14ac:dyDescent="0.3">
      <c r="A26" s="8" t="s">
        <v>14</v>
      </c>
      <c r="B26" s="9"/>
      <c r="C26" s="10">
        <v>5</v>
      </c>
      <c r="D26" s="11"/>
      <c r="E26" s="2"/>
      <c r="AB26" t="str" cm="1">
        <f t="array" ref="AB26:AC26">_xlfn._xlws.FILTER(A26:Z26,A26:Z26&lt;&gt;"","")</f>
        <v>Literature in English</v>
      </c>
      <c r="AC26">
        <v>5</v>
      </c>
      <c r="AD26" t="str">
        <v/>
      </c>
      <c r="AE26" t="str">
        <v/>
      </c>
      <c r="AF26" t="str" cm="1">
        <f t="array" ref="AF26">IF(AD26="","",SUMPRODUCT(IF(LEFT($AD$1:AD26,2)="JS",1,0)))</f>
        <v/>
      </c>
      <c r="AG26" t="str">
        <f t="shared" si="0"/>
        <v/>
      </c>
      <c r="AH26" t="str">
        <f t="shared" si="1"/>
        <v/>
      </c>
      <c r="AI26" t="str">
        <f>IF(AH26="","",MAX($AF$1:$AF26))</f>
        <v/>
      </c>
      <c r="AJ26" t="str">
        <f t="shared" si="2"/>
        <v/>
      </c>
      <c r="AK26" t="str">
        <f>IF(AJ26="","",MAX($AF$1:$AF26))</f>
        <v/>
      </c>
      <c r="AL26" t="str">
        <f t="shared" si="3"/>
        <v/>
      </c>
      <c r="AM26" t="str">
        <f>IF(AL26="","",MAX($AF$1:$AF26))</f>
        <v/>
      </c>
      <c r="AO26" t="str">
        <v>JS3571</v>
      </c>
      <c r="AP26" t="str">
        <v>BSc (Hons) Scheme in Logistics and Enterprise Engineering</v>
      </c>
      <c r="AQ26" t="str" cm="1">
        <f t="array" ref="AQ26">_xlfn.TEXTJOIN(", ",TRUE,_xlfn._xlws.FILTER($AH$1:$AH$1640,$AI$1:$AI$1640=ROW()-1,""))</f>
        <v>ENG, MATH</v>
      </c>
      <c r="AR26" t="str" cm="1">
        <f t="array" ref="AR26">_xlfn.TEXTJOIN(", ",TRUE,_xlfn._xlws.FILTER($AJ$1:$AJ$1640,$AK$1:$AK$1640=ROW()-1,""))</f>
        <v>中文, 通</v>
      </c>
      <c r="AS26" t="str" cm="1">
        <f t="array" ref="AS26">_xlfn.TEXTJOIN(", ",TRUE,_xlfn._xlws.FILTER($AL$1:$AL$1640,$AM$1:$AM$1640=ROW()-1,""))</f>
        <v>BIO, BAFS, CHEM, 中史, ECON, GEOG, HMSC, HIST, ICT, M2, PHY, VA</v>
      </c>
    </row>
    <row r="27" spans="1:48" ht="13.5" customHeight="1" x14ac:dyDescent="0.3">
      <c r="A27" s="8" t="s">
        <v>224</v>
      </c>
      <c r="B27" s="9"/>
      <c r="C27" s="10">
        <v>10</v>
      </c>
      <c r="D27" s="11"/>
      <c r="E27" s="2"/>
      <c r="AB27" t="str" cm="1">
        <f t="array" ref="AB27:AC27">_xlfn._xlws.FILTER(A27:Z27,A27:Z27&lt;&gt;"","")</f>
        <v>MATH</v>
      </c>
      <c r="AC27">
        <v>10</v>
      </c>
      <c r="AD27" t="str">
        <v/>
      </c>
      <c r="AE27" t="str">
        <v/>
      </c>
      <c r="AF27" t="str" cm="1">
        <f t="array" ref="AF27">IF(AD27="","",SUMPRODUCT(IF(LEFT($AD$1:AD27,2)="JS",1,0)))</f>
        <v/>
      </c>
      <c r="AG27" t="b">
        <f t="shared" si="0"/>
        <v>1</v>
      </c>
      <c r="AH27" t="str">
        <f t="shared" si="1"/>
        <v>MATH</v>
      </c>
      <c r="AI27">
        <f>IF(AH27="","",MAX($AF$1:$AF27))</f>
        <v>1</v>
      </c>
      <c r="AJ27" t="str">
        <f t="shared" si="2"/>
        <v/>
      </c>
      <c r="AK27" t="str">
        <f>IF(AJ27="","",MAX($AF$1:$AF27))</f>
        <v/>
      </c>
      <c r="AL27" t="str">
        <f t="shared" si="3"/>
        <v/>
      </c>
      <c r="AM27" t="str">
        <f>IF(AL27="","",MAX($AF$1:$AF27))</f>
        <v/>
      </c>
      <c r="AO27" t="str">
        <v>JS3612</v>
      </c>
      <c r="AP27" t="str">
        <v>BSc (Hons) Scheme in Medical Laboratory Science and Radiography - Radiography</v>
      </c>
      <c r="AQ27" t="str" cm="1">
        <f t="array" ref="AQ27">_xlfn.TEXTJOIN(", ",TRUE,_xlfn._xlws.FILTER($AH$1:$AH$1640,$AI$1:$AI$1640=ROW()-1,""))</f>
        <v>BIO, CHEM, 中文, ENG, MATH, PHY</v>
      </c>
      <c r="AR27" t="str" cm="1">
        <f t="array" ref="AR27">_xlfn.TEXTJOIN(", ",TRUE,_xlfn._xlws.FILTER($AJ$1:$AJ$1640,$AK$1:$AK$1640=ROW()-1,""))</f>
        <v>通, M2</v>
      </c>
      <c r="AS27" t="str" cm="1">
        <f t="array" ref="AS27">_xlfn.TEXTJOIN(", ",TRUE,_xlfn._xlws.FILTER($AL$1:$AL$1640,$AM$1:$AM$1640=ROW()-1,""))</f>
        <v>BAFS, 中史, ECON, GEOG, HMSC, HIST, ICT, VA</v>
      </c>
    </row>
    <row r="28" spans="1:48" ht="13.5" customHeight="1" x14ac:dyDescent="0.3">
      <c r="A28" s="8" t="s">
        <v>225</v>
      </c>
      <c r="B28" s="9"/>
      <c r="C28" s="10">
        <v>7</v>
      </c>
      <c r="D28" s="11"/>
      <c r="E28" s="2"/>
      <c r="AB28" t="str" cm="1">
        <f t="array" ref="AB28:AC28">_xlfn._xlws.FILTER(A28:Z28,A28:Z28&lt;&gt;"","")</f>
        <v>M2</v>
      </c>
      <c r="AC28">
        <v>7</v>
      </c>
      <c r="AD28" t="str">
        <v/>
      </c>
      <c r="AE28" t="str">
        <v/>
      </c>
      <c r="AF28" t="str" cm="1">
        <f t="array" ref="AF28">IF(AD28="","",SUMPRODUCT(IF(LEFT($AD$1:AD28,2)="JS",1,0)))</f>
        <v/>
      </c>
      <c r="AG28" t="b">
        <f t="shared" si="0"/>
        <v>1</v>
      </c>
      <c r="AH28" t="str">
        <f t="shared" si="1"/>
        <v/>
      </c>
      <c r="AI28" t="str">
        <f>IF(AH28="","",MAX($AF$1:$AF28))</f>
        <v/>
      </c>
      <c r="AJ28" t="str">
        <f t="shared" si="2"/>
        <v>M2</v>
      </c>
      <c r="AK28">
        <f>IF(AJ28="","",MAX($AF$1:$AF28))</f>
        <v>1</v>
      </c>
      <c r="AL28" t="str">
        <f t="shared" si="3"/>
        <v/>
      </c>
      <c r="AM28" t="str">
        <f>IF(AL28="","",MAX($AF$1:$AF28))</f>
        <v/>
      </c>
      <c r="AO28" t="str">
        <v>JS3624</v>
      </c>
      <c r="AP28" t="str">
        <v>BSc (Hons) Scheme in Rehabilitation Sciences - Occupational Therapy</v>
      </c>
      <c r="AQ28" t="str" cm="1">
        <f t="array" ref="AQ28">_xlfn.TEXTJOIN(", ",TRUE,_xlfn._xlws.FILTER($AH$1:$AH$1640,$AI$1:$AI$1640=ROW()-1,""))</f>
        <v>BIO, 中文, ENG, PHY</v>
      </c>
      <c r="AR28" t="str" cm="1">
        <f t="array" ref="AR28">_xlfn.TEXTJOIN(", ",TRUE,_xlfn._xlws.FILTER($AJ$1:$AJ$1640,$AK$1:$AK$1640=ROW()-1,""))</f>
        <v>CHEM, 中史, ECON, GEOG, HMSC, HIST, ICT, 通, MATH, M2</v>
      </c>
      <c r="AS28" t="str" cm="1">
        <f t="array" ref="AS28">_xlfn.TEXTJOIN(", ",TRUE,_xlfn._xlws.FILTER($AL$1:$AL$1640,$AM$1:$AM$1640=ROW()-1,""))</f>
        <v>BAFS, VA</v>
      </c>
    </row>
    <row r="29" spans="1:48" ht="13.5" customHeight="1" x14ac:dyDescent="0.3">
      <c r="A29" s="8" t="s">
        <v>15</v>
      </c>
      <c r="B29" s="9"/>
      <c r="C29" s="10">
        <v>7</v>
      </c>
      <c r="D29" s="11"/>
      <c r="E29" s="2"/>
      <c r="AB29" t="str" cm="1">
        <f t="array" ref="AB29:AC29">_xlfn._xlws.FILTER(A29:Z29,A29:Z29&lt;&gt;"","")</f>
        <v>Mathematics (Extended part - Calculus and Statistics)</v>
      </c>
      <c r="AC29">
        <v>7</v>
      </c>
      <c r="AD29" t="str">
        <v/>
      </c>
      <c r="AE29" t="str">
        <v/>
      </c>
      <c r="AF29" t="str" cm="1">
        <f t="array" ref="AF29">IF(AD29="","",SUMPRODUCT(IF(LEFT($AD$1:AD29,2)="JS",1,0)))</f>
        <v/>
      </c>
      <c r="AG29" t="str">
        <f t="shared" si="0"/>
        <v/>
      </c>
      <c r="AH29" t="str">
        <f t="shared" si="1"/>
        <v/>
      </c>
      <c r="AI29" t="str">
        <f>IF(AH29="","",MAX($AF$1:$AF29))</f>
        <v/>
      </c>
      <c r="AJ29" t="str">
        <f t="shared" si="2"/>
        <v/>
      </c>
      <c r="AK29" t="str">
        <f>IF(AJ29="","",MAX($AF$1:$AF29))</f>
        <v/>
      </c>
      <c r="AL29" t="str">
        <f t="shared" si="3"/>
        <v/>
      </c>
      <c r="AM29" t="str">
        <f>IF(AL29="","",MAX($AF$1:$AF29))</f>
        <v/>
      </c>
      <c r="AO29" t="str">
        <v>JS3636</v>
      </c>
      <c r="AP29" t="str">
        <v>BSc (Hons) Scheme in Rehabilitation Sciences - Physiotherapy</v>
      </c>
      <c r="AQ29" t="str" cm="1">
        <f t="array" ref="AQ29">_xlfn.TEXTJOIN(", ",TRUE,_xlfn._xlws.FILTER($AH$1:$AH$1640,$AI$1:$AI$1640=ROW()-1,""))</f>
        <v>BIO, 中文, ENG, PHY</v>
      </c>
      <c r="AR29" t="str" cm="1">
        <f t="array" ref="AR29">_xlfn.TEXTJOIN(", ",TRUE,_xlfn._xlws.FILTER($AJ$1:$AJ$1640,$AK$1:$AK$1640=ROW()-1,""))</f>
        <v>CHEM, HMSC, 通, MATH</v>
      </c>
      <c r="AS29" t="str" cm="1">
        <f t="array" ref="AS29">_xlfn.TEXTJOIN(", ",TRUE,_xlfn._xlws.FILTER($AL$1:$AL$1640,$AM$1:$AM$1640=ROW()-1,""))</f>
        <v>BAFS, 中史, ECON, GEOG, HIST, ICT, M2, VA</v>
      </c>
    </row>
    <row r="30" spans="1:48" ht="13.5" customHeight="1" x14ac:dyDescent="0.3">
      <c r="A30" s="8" t="s">
        <v>16</v>
      </c>
      <c r="B30" s="9"/>
      <c r="C30" s="10">
        <v>5</v>
      </c>
      <c r="D30" s="11"/>
      <c r="E30" s="2"/>
      <c r="AB30" t="str" cm="1">
        <f t="array" ref="AB30:AC30">_xlfn._xlws.FILTER(A30:Z30,A30:Z30&lt;&gt;"","")</f>
        <v>Music</v>
      </c>
      <c r="AC30">
        <v>5</v>
      </c>
      <c r="AD30" t="str">
        <v/>
      </c>
      <c r="AE30" t="str">
        <v/>
      </c>
      <c r="AF30" t="str" cm="1">
        <f t="array" ref="AF30">IF(AD30="","",SUMPRODUCT(IF(LEFT($AD$1:AD30,2)="JS",1,0)))</f>
        <v/>
      </c>
      <c r="AG30" t="str">
        <f t="shared" si="0"/>
        <v/>
      </c>
      <c r="AH30" t="str">
        <f t="shared" si="1"/>
        <v/>
      </c>
      <c r="AI30" t="str">
        <f>IF(AH30="","",MAX($AF$1:$AF30))</f>
        <v/>
      </c>
      <c r="AJ30" t="str">
        <f t="shared" si="2"/>
        <v/>
      </c>
      <c r="AK30" t="str">
        <f>IF(AJ30="","",MAX($AF$1:$AF30))</f>
        <v/>
      </c>
      <c r="AL30" t="str">
        <f t="shared" si="3"/>
        <v/>
      </c>
      <c r="AM30" t="str">
        <f>IF(AL30="","",MAX($AF$1:$AF30))</f>
        <v/>
      </c>
      <c r="AO30" t="str">
        <v>JS3648</v>
      </c>
      <c r="AP30" t="str">
        <v>BSc (Hons) Scheme in Nursing - Nursing</v>
      </c>
      <c r="AQ30" t="str" cm="1">
        <f t="array" ref="AQ30">_xlfn.TEXTJOIN(", ",TRUE,_xlfn._xlws.FILTER($AH$1:$AH$1640,$AI$1:$AI$1640=ROW()-1,""))</f>
        <v>BIO, 中文, ENG, 通, MATH</v>
      </c>
      <c r="AR30" t="str" cm="1">
        <f t="array" ref="AR30">_xlfn.TEXTJOIN(", ",TRUE,_xlfn._xlws.FILTER($AJ$1:$AJ$1640,$AK$1:$AK$1640=ROW()-1,""))</f>
        <v>BAFS, CHEM, 中史, ECON, GEOG, HMSC, HIST, ICT, M2, PHY, VA</v>
      </c>
      <c r="AS30" t="str" cm="1">
        <f t="array" ref="AS30">_xlfn.TEXTJOIN(", ",TRUE,_xlfn._xlws.FILTER($AL$1:$AL$1640,$AM$1:$AM$1640=ROW()-1,""))</f>
        <v/>
      </c>
    </row>
    <row r="31" spans="1:48" ht="13.5" customHeight="1" x14ac:dyDescent="0.3">
      <c r="A31" s="8" t="s">
        <v>17</v>
      </c>
      <c r="B31" s="9"/>
      <c r="C31" s="10">
        <v>5</v>
      </c>
      <c r="D31" s="11"/>
      <c r="E31" s="2"/>
      <c r="AB31" t="str" cm="1">
        <f t="array" ref="AB31:AC31">_xlfn._xlws.FILTER(A31:Z31,A31:Z31&lt;&gt;"","")</f>
        <v>Physical Education</v>
      </c>
      <c r="AC31">
        <v>5</v>
      </c>
      <c r="AD31" t="str">
        <v/>
      </c>
      <c r="AE31" t="str">
        <v/>
      </c>
      <c r="AF31" t="str" cm="1">
        <f t="array" ref="AF31">IF(AD31="","",SUMPRODUCT(IF(LEFT($AD$1:AD31,2)="JS",1,0)))</f>
        <v/>
      </c>
      <c r="AG31" t="str">
        <f t="shared" si="0"/>
        <v/>
      </c>
      <c r="AH31" t="str">
        <f t="shared" si="1"/>
        <v/>
      </c>
      <c r="AI31" t="str">
        <f>IF(AH31="","",MAX($AF$1:$AF31))</f>
        <v/>
      </c>
      <c r="AJ31" t="str">
        <f t="shared" si="2"/>
        <v/>
      </c>
      <c r="AK31" t="str">
        <f>IF(AJ31="","",MAX($AF$1:$AF31))</f>
        <v/>
      </c>
      <c r="AL31" t="str">
        <f t="shared" si="3"/>
        <v/>
      </c>
      <c r="AM31" t="str">
        <f>IF(AL31="","",MAX($AF$1:$AF31))</f>
        <v/>
      </c>
      <c r="AO31" t="str">
        <v>JS3741</v>
      </c>
      <c r="AP31" t="str">
        <v>BEng (Hons) Scheme in Mechanical Engineering</v>
      </c>
      <c r="AQ31" t="str" cm="1">
        <f t="array" ref="AQ31">_xlfn.TEXTJOIN(", ",TRUE,_xlfn._xlws.FILTER($AH$1:$AH$1640,$AI$1:$AI$1640=ROW()-1,""))</f>
        <v>BIO, CHEM, ENG, ICT, MATH, M2, PHY</v>
      </c>
      <c r="AR31" t="str" cm="1">
        <f t="array" ref="AR31">_xlfn.TEXTJOIN(", ",TRUE,_xlfn._xlws.FILTER($AJ$1:$AJ$1640,$AK$1:$AK$1640=ROW()-1,""))</f>
        <v>中文, 通</v>
      </c>
      <c r="AS31" t="str" cm="1">
        <f t="array" ref="AS31">_xlfn.TEXTJOIN(", ",TRUE,_xlfn._xlws.FILTER($AL$1:$AL$1640,$AM$1:$AM$1640=ROW()-1,""))</f>
        <v>BAFS, 中史, ECON, GEOG, HMSC, HIST, VA</v>
      </c>
    </row>
    <row r="32" spans="1:48" ht="13.5" customHeight="1" x14ac:dyDescent="0.3">
      <c r="A32" s="8" t="s">
        <v>226</v>
      </c>
      <c r="B32" s="9"/>
      <c r="C32" s="10">
        <v>7</v>
      </c>
      <c r="D32" s="11"/>
      <c r="E32" s="2"/>
      <c r="AB32" t="str" cm="1">
        <f t="array" ref="AB32:AC32">_xlfn._xlws.FILTER(A32:Z32,A32:Z32&lt;&gt;"","")</f>
        <v>PHY</v>
      </c>
      <c r="AC32">
        <v>7</v>
      </c>
      <c r="AD32" t="str">
        <v/>
      </c>
      <c r="AE32" t="str">
        <v/>
      </c>
      <c r="AF32" t="str" cm="1">
        <f t="array" ref="AF32">IF(AD32="","",SUMPRODUCT(IF(LEFT($AD$1:AD32,2)="JS",1,0)))</f>
        <v/>
      </c>
      <c r="AG32" t="b">
        <f t="shared" si="0"/>
        <v>1</v>
      </c>
      <c r="AH32" t="str">
        <f t="shared" si="1"/>
        <v/>
      </c>
      <c r="AI32" t="str">
        <f>IF(AH32="","",MAX($AF$1:$AF32))</f>
        <v/>
      </c>
      <c r="AJ32" t="str">
        <f t="shared" si="2"/>
        <v>PHY</v>
      </c>
      <c r="AK32">
        <f>IF(AJ32="","",MAX($AF$1:$AF32))</f>
        <v>1</v>
      </c>
      <c r="AL32" t="str">
        <f t="shared" si="3"/>
        <v/>
      </c>
      <c r="AM32" t="str">
        <f>IF(AL32="","",MAX($AF$1:$AF32))</f>
        <v/>
      </c>
      <c r="AO32" t="str">
        <v>JS3868</v>
      </c>
      <c r="AP32" t="str">
        <v>BSc (Hons) Scheme in Computing and AI</v>
      </c>
      <c r="AQ32" t="str" cm="1">
        <f t="array" ref="AQ32">_xlfn.TEXTJOIN(", ",TRUE,_xlfn._xlws.FILTER($AH$1:$AH$1640,$AI$1:$AI$1640=ROW()-1,""))</f>
        <v>BIO, BAFS, CHEM, ECON, ENG, ICT, MATH, M2, PHY</v>
      </c>
      <c r="AR32" t="str" cm="1">
        <f t="array" ref="AR32">_xlfn.TEXTJOIN(", ",TRUE,_xlfn._xlws.FILTER($AJ$1:$AJ$1640,$AK$1:$AK$1640=ROW()-1,""))</f>
        <v>中史, 中文, GEOG, HMSC, HIST, 通, VA</v>
      </c>
      <c r="AS32" t="str" cm="1">
        <f t="array" ref="AS32">_xlfn.TEXTJOIN(", ",TRUE,_xlfn._xlws.FILTER($AL$1:$AL$1640,$AM$1:$AM$1640=ROW()-1,""))</f>
        <v/>
      </c>
    </row>
    <row r="33" spans="1:45" ht="13.5" customHeight="1" x14ac:dyDescent="0.3">
      <c r="A33" s="8" t="s">
        <v>18</v>
      </c>
      <c r="B33" s="9"/>
      <c r="C33" s="10">
        <v>5</v>
      </c>
      <c r="D33" s="11"/>
      <c r="E33" s="2"/>
      <c r="AB33" t="str" cm="1">
        <f t="array" ref="AB33:AC33">_xlfn._xlws.FILTER(A33:Z33,A33:Z33&lt;&gt;"","")</f>
        <v>Technology and Living (Fashion, Clothing and Textiles)</v>
      </c>
      <c r="AC33">
        <v>5</v>
      </c>
      <c r="AD33" t="str">
        <v/>
      </c>
      <c r="AE33" t="str">
        <v/>
      </c>
      <c r="AF33" t="str" cm="1">
        <f t="array" ref="AF33">IF(AD33="","",SUMPRODUCT(IF(LEFT($AD$1:AD33,2)="JS",1,0)))</f>
        <v/>
      </c>
      <c r="AG33" t="str">
        <f t="shared" si="0"/>
        <v/>
      </c>
      <c r="AH33" t="str">
        <f t="shared" si="1"/>
        <v/>
      </c>
      <c r="AI33" t="str">
        <f>IF(AH33="","",MAX($AF$1:$AF33))</f>
        <v/>
      </c>
      <c r="AJ33" t="str">
        <f t="shared" si="2"/>
        <v/>
      </c>
      <c r="AK33" t="str">
        <f>IF(AJ33="","",MAX($AF$1:$AF33))</f>
        <v/>
      </c>
      <c r="AL33" t="str">
        <f t="shared" si="3"/>
        <v/>
      </c>
      <c r="AM33" t="str">
        <f>IF(AL33="","",MAX($AF$1:$AF33))</f>
        <v/>
      </c>
      <c r="AQ33" t="str" cm="1">
        <f t="array" ref="AQ33">_xlfn.TEXTJOIN(", ",TRUE,_xlfn._xlws.FILTER($AH$1:$AH$1640,$AI$1:$AI$1640=ROW()-1,""))</f>
        <v/>
      </c>
      <c r="AR33" t="str" cm="1">
        <f t="array" ref="AR33">_xlfn.TEXTJOIN(", ",TRUE,_xlfn._xlws.FILTER($AJ$1:$AJ$1640,$AK$1:$AK$1640=ROW()-1,""))</f>
        <v/>
      </c>
      <c r="AS33" t="str" cm="1">
        <f t="array" ref="AS33">_xlfn.TEXTJOIN(", ",TRUE,_xlfn._xlws.FILTER($AL$1:$AL$1640,$AM$1:$AM$1640=ROW()-1,""))</f>
        <v/>
      </c>
    </row>
    <row r="34" spans="1:45" ht="13.5" customHeight="1" x14ac:dyDescent="0.3">
      <c r="A34" s="8" t="s">
        <v>19</v>
      </c>
      <c r="B34" s="9"/>
      <c r="C34" s="10">
        <v>5</v>
      </c>
      <c r="D34" s="11"/>
      <c r="E34" s="2"/>
      <c r="AB34" t="str" cm="1">
        <f t="array" ref="AB34:AC34">_xlfn._xlws.FILTER(A34:Z34,A34:Z34&lt;&gt;"","")</f>
        <v>Technology and Living (Food Science and Technology)</v>
      </c>
      <c r="AC34">
        <v>5</v>
      </c>
      <c r="AD34" t="str">
        <v/>
      </c>
      <c r="AE34" t="str">
        <v/>
      </c>
      <c r="AF34" t="str" cm="1">
        <f t="array" ref="AF34">IF(AD34="","",SUMPRODUCT(IF(LEFT($AD$1:AD34,2)="JS",1,0)))</f>
        <v/>
      </c>
      <c r="AG34" t="str">
        <f t="shared" si="0"/>
        <v/>
      </c>
      <c r="AH34" t="str">
        <f t="shared" si="1"/>
        <v/>
      </c>
      <c r="AI34" t="str">
        <f>IF(AH34="","",MAX($AF$1:$AF34))</f>
        <v/>
      </c>
      <c r="AJ34" t="str">
        <f t="shared" si="2"/>
        <v/>
      </c>
      <c r="AK34" t="str">
        <f>IF(AJ34="","",MAX($AF$1:$AF34))</f>
        <v/>
      </c>
      <c r="AL34" t="str">
        <f t="shared" si="3"/>
        <v/>
      </c>
      <c r="AM34" t="str">
        <f>IF(AL34="","",MAX($AF$1:$AF34))</f>
        <v/>
      </c>
      <c r="AQ34" t="str" cm="1">
        <f t="array" ref="AQ34">_xlfn.TEXTJOIN(", ",TRUE,_xlfn._xlws.FILTER($AH$1:$AH$1640,$AI$1:$AI$1640=ROW()-1,""))</f>
        <v/>
      </c>
      <c r="AR34" t="str" cm="1">
        <f t="array" ref="AR34">_xlfn.TEXTJOIN(", ",TRUE,_xlfn._xlws.FILTER($AJ$1:$AJ$1640,$AK$1:$AK$1640=ROW()-1,""))</f>
        <v/>
      </c>
      <c r="AS34" t="str" cm="1">
        <f t="array" ref="AS34">_xlfn.TEXTJOIN(", ",TRUE,_xlfn._xlws.FILTER($AL$1:$AL$1640,$AM$1:$AM$1640=ROW()-1,""))</f>
        <v/>
      </c>
    </row>
    <row r="35" spans="1:45" ht="13.5" customHeight="1" x14ac:dyDescent="0.3">
      <c r="A35" s="8" t="s">
        <v>20</v>
      </c>
      <c r="B35" s="9"/>
      <c r="C35" s="10">
        <v>5</v>
      </c>
      <c r="D35" s="11"/>
      <c r="E35" s="2"/>
      <c r="AB35" t="str" cm="1">
        <f t="array" ref="AB35:AC35">_xlfn._xlws.FILTER(A35:Z35,A35:Z35&lt;&gt;"","")</f>
        <v>Tourism and Hospitality Studies</v>
      </c>
      <c r="AC35">
        <v>5</v>
      </c>
      <c r="AD35" t="str">
        <v/>
      </c>
      <c r="AE35" t="str">
        <v/>
      </c>
      <c r="AF35" t="str" cm="1">
        <f t="array" ref="AF35">IF(AD35="","",SUMPRODUCT(IF(LEFT($AD$1:AD35,2)="JS",1,0)))</f>
        <v/>
      </c>
      <c r="AG35" t="str">
        <f t="shared" si="0"/>
        <v/>
      </c>
      <c r="AH35" t="str">
        <f t="shared" si="1"/>
        <v/>
      </c>
      <c r="AI35" t="str">
        <f>IF(AH35="","",MAX($AF$1:$AF35))</f>
        <v/>
      </c>
      <c r="AJ35" t="str">
        <f t="shared" si="2"/>
        <v/>
      </c>
      <c r="AK35" t="str">
        <f>IF(AJ35="","",MAX($AF$1:$AF35))</f>
        <v/>
      </c>
      <c r="AL35" t="str">
        <f t="shared" si="3"/>
        <v/>
      </c>
      <c r="AM35" t="str">
        <f>IF(AL35="","",MAX($AF$1:$AF35))</f>
        <v/>
      </c>
    </row>
    <row r="36" spans="1:45" ht="13.5" customHeight="1" x14ac:dyDescent="0.3">
      <c r="A36" s="8" t="s">
        <v>210</v>
      </c>
      <c r="B36" s="9"/>
      <c r="C36" s="10">
        <v>5</v>
      </c>
      <c r="D36" s="11"/>
      <c r="E36" s="2"/>
      <c r="AB36" t="str" cm="1">
        <f t="array" ref="AB36:AC36">_xlfn._xlws.FILTER(A36:Z36,A36:Z36&lt;&gt;"","")</f>
        <v>VA</v>
      </c>
      <c r="AC36">
        <v>5</v>
      </c>
      <c r="AD36" t="str">
        <v/>
      </c>
      <c r="AE36" t="str">
        <v/>
      </c>
      <c r="AF36" t="str" cm="1">
        <f t="array" ref="AF36">IF(AD36="","",SUMPRODUCT(IF(LEFT($AD$1:AD36,2)="JS",1,0)))</f>
        <v/>
      </c>
      <c r="AG36" t="b">
        <f t="shared" si="0"/>
        <v>1</v>
      </c>
      <c r="AH36" t="str">
        <f t="shared" si="1"/>
        <v/>
      </c>
      <c r="AI36" t="str">
        <f>IF(AH36="","",MAX($AF$1:$AF36))</f>
        <v/>
      </c>
      <c r="AJ36" t="str">
        <f t="shared" si="2"/>
        <v/>
      </c>
      <c r="AK36" t="str">
        <f>IF(AJ36="","",MAX($AF$1:$AF36))</f>
        <v/>
      </c>
      <c r="AL36" t="str">
        <f t="shared" si="3"/>
        <v>VA</v>
      </c>
      <c r="AM36">
        <f>IF(AL36="","",MAX($AF$1:$AF36))</f>
        <v>1</v>
      </c>
    </row>
    <row r="37" spans="1:45" ht="26.25" customHeight="1" x14ac:dyDescent="0.3">
      <c r="A37" s="29" t="s">
        <v>21</v>
      </c>
      <c r="B37" s="29"/>
      <c r="C37" s="29"/>
      <c r="D37" s="29"/>
      <c r="E37" s="1"/>
      <c r="AB37" t="str" cm="1">
        <f t="array" ref="AB37">_xlfn._xlws.FILTER(A37:Z37,A37:Z37&lt;&gt;"","")</f>
        <v>Category B: Applied Learning Subjects</v>
      </c>
      <c r="AD37" t="str">
        <v/>
      </c>
      <c r="AE37" t="str">
        <v/>
      </c>
      <c r="AF37" t="str" cm="1">
        <f t="array" ref="AF37">IF(AD37="","",SUMPRODUCT(IF(LEFT($AD$1:AD37,2)="JS",1,0)))</f>
        <v/>
      </c>
      <c r="AG37" t="str">
        <f t="shared" si="0"/>
        <v/>
      </c>
      <c r="AH37" t="str">
        <f t="shared" si="1"/>
        <v/>
      </c>
      <c r="AI37" t="str">
        <f>IF(AH37="","",MAX($AF$1:$AF37))</f>
        <v/>
      </c>
      <c r="AJ37" t="str">
        <f t="shared" si="2"/>
        <v/>
      </c>
      <c r="AK37" t="str">
        <f>IF(AJ37="","",MAX($AF$1:$AF37))</f>
        <v/>
      </c>
      <c r="AL37" t="str">
        <f t="shared" si="3"/>
        <v/>
      </c>
      <c r="AM37" t="str">
        <f>IF(AL37="","",MAX($AF$1:$AF37))</f>
        <v/>
      </c>
    </row>
    <row r="38" spans="1:45" ht="13.5" customHeight="1" x14ac:dyDescent="0.3">
      <c r="A38" s="14" t="s">
        <v>3</v>
      </c>
      <c r="B38" s="15"/>
      <c r="C38" s="16" t="s">
        <v>4</v>
      </c>
      <c r="D38" s="17"/>
      <c r="E38" s="2"/>
      <c r="AB38" t="str" cm="1">
        <f t="array" ref="AB38:AC38">_xlfn._xlws.FILTER(A38:Z38,A38:Z38&lt;&gt;"","")</f>
        <v>Subject Name</v>
      </c>
      <c r="AC38" t="str">
        <v>Subject Weighting for 2023/24 Admission Exercise *</v>
      </c>
      <c r="AD38" t="str">
        <v/>
      </c>
      <c r="AE38" t="str">
        <v/>
      </c>
      <c r="AF38" t="str" cm="1">
        <f t="array" ref="AF38">IF(AD38="","",SUMPRODUCT(IF(LEFT($AD$1:AD38,2)="JS",1,0)))</f>
        <v/>
      </c>
      <c r="AG38" t="str">
        <f t="shared" si="0"/>
        <v/>
      </c>
      <c r="AH38" t="str">
        <f t="shared" si="1"/>
        <v/>
      </c>
      <c r="AI38" t="str">
        <f>IF(AH38="","",MAX($AF$1:$AF38))</f>
        <v/>
      </c>
      <c r="AJ38" t="str">
        <f t="shared" si="2"/>
        <v/>
      </c>
      <c r="AK38" t="str">
        <f>IF(AJ38="","",MAX($AF$1:$AF38))</f>
        <v/>
      </c>
      <c r="AL38" t="str">
        <f t="shared" si="3"/>
        <v/>
      </c>
      <c r="AM38" t="str">
        <f>IF(AL38="","",MAX($AF$1:$AF38))</f>
        <v/>
      </c>
      <c r="AQ38" s="5"/>
    </row>
    <row r="39" spans="1:45" ht="13.5" customHeight="1" x14ac:dyDescent="0.3">
      <c r="A39" s="8" t="s">
        <v>22</v>
      </c>
      <c r="B39" s="9"/>
      <c r="C39" s="10">
        <v>5</v>
      </c>
      <c r="D39" s="11"/>
      <c r="E39" s="2"/>
      <c r="AB39" t="str" cm="1">
        <f t="array" ref="AB39:AC39">_xlfn._xlws.FILTER(A39:Z39,A39:Z39&lt;&gt;"","")</f>
        <v>Child Care and Development</v>
      </c>
      <c r="AC39">
        <v>5</v>
      </c>
      <c r="AD39" t="str">
        <v/>
      </c>
      <c r="AE39" t="str">
        <v/>
      </c>
      <c r="AF39" t="str" cm="1">
        <f t="array" ref="AF39">IF(AD39="","",SUMPRODUCT(IF(LEFT($AD$1:AD39,2)="JS",1,0)))</f>
        <v/>
      </c>
      <c r="AG39" t="str">
        <f t="shared" si="0"/>
        <v/>
      </c>
      <c r="AH39" t="str">
        <f t="shared" si="1"/>
        <v/>
      </c>
      <c r="AI39" t="str">
        <f>IF(AH39="","",MAX($AF$1:$AF39))</f>
        <v/>
      </c>
      <c r="AJ39" t="str">
        <f t="shared" si="2"/>
        <v/>
      </c>
      <c r="AK39" t="str">
        <f>IF(AJ39="","",MAX($AF$1:$AF39))</f>
        <v/>
      </c>
      <c r="AL39" t="str">
        <f t="shared" si="3"/>
        <v/>
      </c>
      <c r="AM39" t="str">
        <f>IF(AL39="","",MAX($AF$1:$AF39))</f>
        <v/>
      </c>
      <c r="AQ39" s="5"/>
      <c r="AS39" s="5"/>
    </row>
    <row r="40" spans="1:45" ht="13.5" customHeight="1" x14ac:dyDescent="0.3">
      <c r="A40" s="8" t="s">
        <v>23</v>
      </c>
      <c r="B40" s="9"/>
      <c r="C40" s="10">
        <v>5</v>
      </c>
      <c r="D40" s="11"/>
      <c r="E40" s="2"/>
      <c r="AB40" t="str" cm="1">
        <f t="array" ref="AB40:AC40">_xlfn._xlws.FILTER(A40:Z40,A40:Z40&lt;&gt;"","")</f>
        <v>Child Development and Care</v>
      </c>
      <c r="AC40">
        <v>5</v>
      </c>
      <c r="AD40" t="str">
        <v/>
      </c>
      <c r="AE40" t="str">
        <v/>
      </c>
      <c r="AF40" t="str" cm="1">
        <f t="array" ref="AF40">IF(AD40="","",SUMPRODUCT(IF(LEFT($AD$1:AD40,2)="JS",1,0)))</f>
        <v/>
      </c>
      <c r="AG40" t="str">
        <f t="shared" si="0"/>
        <v/>
      </c>
      <c r="AH40" t="str">
        <f t="shared" si="1"/>
        <v/>
      </c>
      <c r="AI40" t="str">
        <f>IF(AH40="","",MAX($AF$1:$AF40))</f>
        <v/>
      </c>
      <c r="AJ40" t="str">
        <f t="shared" si="2"/>
        <v/>
      </c>
      <c r="AK40" t="str">
        <f>IF(AJ40="","",MAX($AF$1:$AF40))</f>
        <v/>
      </c>
      <c r="AL40" t="str">
        <f t="shared" si="3"/>
        <v/>
      </c>
      <c r="AM40" t="str">
        <f>IF(AL40="","",MAX($AF$1:$AF40))</f>
        <v/>
      </c>
      <c r="AQ40" s="5"/>
      <c r="AS40" s="5"/>
    </row>
    <row r="41" spans="1:45" ht="13.5" customHeight="1" x14ac:dyDescent="0.3">
      <c r="A41" s="8" t="s">
        <v>24</v>
      </c>
      <c r="B41" s="9"/>
      <c r="C41" s="10">
        <v>5</v>
      </c>
      <c r="D41" s="11"/>
      <c r="E41" s="2"/>
      <c r="AB41" t="str" cm="1">
        <f t="array" ref="AB41:AC41">_xlfn._xlws.FILTER(A41:Z41,A41:Z41&lt;&gt;"","")</f>
        <v>Environmental Engineering</v>
      </c>
      <c r="AC41">
        <v>5</v>
      </c>
      <c r="AD41" t="str">
        <v/>
      </c>
      <c r="AE41" t="str">
        <v/>
      </c>
      <c r="AF41" t="str" cm="1">
        <f t="array" ref="AF41">IF(AD41="","",SUMPRODUCT(IF(LEFT($AD$1:AD41,2)="JS",1,0)))</f>
        <v/>
      </c>
      <c r="AG41" t="str">
        <f t="shared" si="0"/>
        <v/>
      </c>
      <c r="AH41" t="str">
        <f t="shared" si="1"/>
        <v/>
      </c>
      <c r="AI41" t="str">
        <f>IF(AH41="","",MAX($AF$1:$AF41))</f>
        <v/>
      </c>
      <c r="AJ41" t="str">
        <f t="shared" si="2"/>
        <v/>
      </c>
      <c r="AK41" t="str">
        <f>IF(AJ41="","",MAX($AF$1:$AF41))</f>
        <v/>
      </c>
      <c r="AL41" t="str">
        <f t="shared" si="3"/>
        <v/>
      </c>
      <c r="AM41" t="str">
        <f>IF(AL41="","",MAX($AF$1:$AF41))</f>
        <v/>
      </c>
      <c r="AS41" s="5"/>
    </row>
    <row r="42" spans="1:45" ht="13.5" customHeight="1" x14ac:dyDescent="0.3">
      <c r="A42" s="8" t="s">
        <v>25</v>
      </c>
      <c r="B42" s="9"/>
      <c r="C42" s="10">
        <v>5</v>
      </c>
      <c r="D42" s="11"/>
      <c r="E42" s="2"/>
      <c r="AB42" t="str" cm="1">
        <f t="array" ref="AB42:AC42">_xlfn._xlws.FILTER(A42:Z42,A42:Z42&lt;&gt;"","")</f>
        <v>Events Planning and Operation</v>
      </c>
      <c r="AC42">
        <v>5</v>
      </c>
      <c r="AD42" t="str">
        <v/>
      </c>
      <c r="AE42" t="str">
        <v/>
      </c>
      <c r="AF42" t="str" cm="1">
        <f t="array" ref="AF42">IF(AD42="","",SUMPRODUCT(IF(LEFT($AD$1:AD42,2)="JS",1,0)))</f>
        <v/>
      </c>
      <c r="AG42" t="str">
        <f t="shared" si="0"/>
        <v/>
      </c>
      <c r="AH42" t="str">
        <f t="shared" si="1"/>
        <v/>
      </c>
      <c r="AI42" t="str">
        <f>IF(AH42="","",MAX($AF$1:$AF42))</f>
        <v/>
      </c>
      <c r="AJ42" t="str">
        <f t="shared" si="2"/>
        <v/>
      </c>
      <c r="AK42" t="str">
        <f>IF(AJ42="","",MAX($AF$1:$AF42))</f>
        <v/>
      </c>
      <c r="AL42" t="str">
        <f t="shared" si="3"/>
        <v/>
      </c>
      <c r="AM42" t="str">
        <f>IF(AL42="","",MAX($AF$1:$AF42))</f>
        <v/>
      </c>
    </row>
    <row r="43" spans="1:45" ht="13.5" customHeight="1" x14ac:dyDescent="0.3">
      <c r="A43" s="8" t="s">
        <v>26</v>
      </c>
      <c r="B43" s="9"/>
      <c r="C43" s="10">
        <v>5</v>
      </c>
      <c r="D43" s="11"/>
      <c r="E43" s="2"/>
      <c r="AB43" t="str" cm="1">
        <f t="array" ref="AB43:AC43">_xlfn._xlws.FILTER(A43:Z43,A43:Z43&lt;&gt;"","")</f>
        <v>Exercise Science and Health Fitness</v>
      </c>
      <c r="AC43">
        <v>5</v>
      </c>
      <c r="AD43" t="str">
        <v/>
      </c>
      <c r="AE43" t="str">
        <v/>
      </c>
      <c r="AF43" t="str" cm="1">
        <f t="array" ref="AF43">IF(AD43="","",SUMPRODUCT(IF(LEFT($AD$1:AD43,2)="JS",1,0)))</f>
        <v/>
      </c>
      <c r="AG43" t="str">
        <f t="shared" si="0"/>
        <v/>
      </c>
      <c r="AH43" t="str">
        <f t="shared" si="1"/>
        <v/>
      </c>
      <c r="AI43" t="str">
        <f>IF(AH43="","",MAX($AF$1:$AF43))</f>
        <v/>
      </c>
      <c r="AJ43" t="str">
        <f t="shared" si="2"/>
        <v/>
      </c>
      <c r="AK43" t="str">
        <f>IF(AJ43="","",MAX($AF$1:$AF43))</f>
        <v/>
      </c>
      <c r="AL43" t="str">
        <f t="shared" si="3"/>
        <v/>
      </c>
      <c r="AM43" t="str">
        <f>IF(AL43="","",MAX($AF$1:$AF43))</f>
        <v/>
      </c>
    </row>
    <row r="44" spans="1:45" ht="13.5" customHeight="1" x14ac:dyDescent="0.3">
      <c r="A44" s="8" t="s">
        <v>27</v>
      </c>
      <c r="B44" s="9"/>
      <c r="C44" s="10">
        <v>5</v>
      </c>
      <c r="D44" s="11"/>
      <c r="E44" s="2"/>
      <c r="AB44" t="str" cm="1">
        <f t="array" ref="AB44:AC44">_xlfn._xlws.FILTER(A44:Z44,A44:Z44&lt;&gt;"","")</f>
        <v>Food and Beverage Operations</v>
      </c>
      <c r="AC44">
        <v>5</v>
      </c>
      <c r="AD44" t="str">
        <v/>
      </c>
      <c r="AE44" t="str">
        <v/>
      </c>
      <c r="AF44" t="str" cm="1">
        <f t="array" ref="AF44">IF(AD44="","",SUMPRODUCT(IF(LEFT($AD$1:AD44,2)="JS",1,0)))</f>
        <v/>
      </c>
      <c r="AG44" t="str">
        <f t="shared" si="0"/>
        <v/>
      </c>
      <c r="AH44" t="str">
        <f t="shared" si="1"/>
        <v/>
      </c>
      <c r="AI44" t="str">
        <f>IF(AH44="","",MAX($AF$1:$AF44))</f>
        <v/>
      </c>
      <c r="AJ44" t="str">
        <f t="shared" si="2"/>
        <v/>
      </c>
      <c r="AK44" t="str">
        <f>IF(AJ44="","",MAX($AF$1:$AF44))</f>
        <v/>
      </c>
      <c r="AL44" t="str">
        <f t="shared" si="3"/>
        <v/>
      </c>
      <c r="AM44" t="str">
        <f>IF(AL44="","",MAX($AF$1:$AF44))</f>
        <v/>
      </c>
    </row>
    <row r="45" spans="1:45" ht="13.5" customHeight="1" x14ac:dyDescent="0.3">
      <c r="A45" s="8" t="s">
        <v>28</v>
      </c>
      <c r="B45" s="9"/>
      <c r="C45" s="10">
        <v>5</v>
      </c>
      <c r="D45" s="11"/>
      <c r="E45" s="2"/>
      <c r="AB45" t="str" cm="1">
        <f t="array" ref="AB45:AC45">_xlfn._xlws.FILTER(A45:Z45,A45:Z45&lt;&gt;"","")</f>
        <v>Foundation in Chinese Medicine</v>
      </c>
      <c r="AC45">
        <v>5</v>
      </c>
      <c r="AD45" t="str">
        <v/>
      </c>
      <c r="AE45" t="str">
        <v/>
      </c>
      <c r="AF45" t="str" cm="1">
        <f t="array" ref="AF45">IF(AD45="","",SUMPRODUCT(IF(LEFT($AD$1:AD45,2)="JS",1,0)))</f>
        <v/>
      </c>
      <c r="AG45" t="str">
        <f t="shared" si="0"/>
        <v/>
      </c>
      <c r="AH45" t="str">
        <f t="shared" si="1"/>
        <v/>
      </c>
      <c r="AI45" t="str">
        <f>IF(AH45="","",MAX($AF$1:$AF45))</f>
        <v/>
      </c>
      <c r="AJ45" t="str">
        <f t="shared" si="2"/>
        <v/>
      </c>
      <c r="AK45" t="str">
        <f>IF(AJ45="","",MAX($AF$1:$AF45))</f>
        <v/>
      </c>
      <c r="AL45" t="str">
        <f t="shared" si="3"/>
        <v/>
      </c>
      <c r="AM45" t="str">
        <f>IF(AL45="","",MAX($AF$1:$AF45))</f>
        <v/>
      </c>
    </row>
    <row r="46" spans="1:45" ht="13.5" customHeight="1" x14ac:dyDescent="0.3">
      <c r="A46" s="8" t="s">
        <v>29</v>
      </c>
      <c r="B46" s="9"/>
      <c r="C46" s="10">
        <v>5</v>
      </c>
      <c r="D46" s="11"/>
      <c r="E46" s="2"/>
      <c r="AB46" t="str" cm="1">
        <f t="array" ref="AB46:AC46">_xlfn._xlws.FILTER(A46:Z46,A46:Z46&lt;&gt;"","")</f>
        <v>Fundamental Health Care</v>
      </c>
      <c r="AC46">
        <v>5</v>
      </c>
      <c r="AD46" t="str">
        <v/>
      </c>
      <c r="AE46" t="str">
        <v/>
      </c>
      <c r="AF46" t="str" cm="1">
        <f t="array" ref="AF46">IF(AD46="","",SUMPRODUCT(IF(LEFT($AD$1:AD46,2)="JS",1,0)))</f>
        <v/>
      </c>
      <c r="AG46" t="str">
        <f t="shared" si="0"/>
        <v/>
      </c>
      <c r="AH46" t="str">
        <f t="shared" si="1"/>
        <v/>
      </c>
      <c r="AI46" t="str">
        <f>IF(AH46="","",MAX($AF$1:$AF46))</f>
        <v/>
      </c>
      <c r="AJ46" t="str">
        <f t="shared" si="2"/>
        <v/>
      </c>
      <c r="AK46" t="str">
        <f>IF(AJ46="","",MAX($AF$1:$AF46))</f>
        <v/>
      </c>
      <c r="AL46" t="str">
        <f t="shared" si="3"/>
        <v/>
      </c>
      <c r="AM46" t="str">
        <f>IF(AL46="","",MAX($AF$1:$AF46))</f>
        <v/>
      </c>
    </row>
    <row r="47" spans="1:45" ht="13.5" customHeight="1" x14ac:dyDescent="0.3">
      <c r="A47" s="8" t="s">
        <v>30</v>
      </c>
      <c r="B47" s="9"/>
      <c r="C47" s="10">
        <v>5</v>
      </c>
      <c r="D47" s="11"/>
      <c r="E47" s="2"/>
      <c r="AB47" t="str" cm="1">
        <f t="array" ref="AB47:AC47">_xlfn._xlws.FILTER(A47:Z47,A47:Z47&lt;&gt;"","")</f>
        <v>Health and Beauty Keeping in TCM</v>
      </c>
      <c r="AC47">
        <v>5</v>
      </c>
      <c r="AD47" t="str">
        <v/>
      </c>
      <c r="AE47" t="str">
        <v/>
      </c>
      <c r="AF47" t="str" cm="1">
        <f t="array" ref="AF47">IF(AD47="","",SUMPRODUCT(IF(LEFT($AD$1:AD47,2)="JS",1,0)))</f>
        <v/>
      </c>
      <c r="AG47" t="str">
        <f t="shared" si="0"/>
        <v/>
      </c>
      <c r="AH47" t="str">
        <f t="shared" si="1"/>
        <v/>
      </c>
      <c r="AI47" t="str">
        <f>IF(AH47="","",MAX($AF$1:$AF47))</f>
        <v/>
      </c>
      <c r="AJ47" t="str">
        <f t="shared" si="2"/>
        <v/>
      </c>
      <c r="AK47" t="str">
        <f>IF(AJ47="","",MAX($AF$1:$AF47))</f>
        <v/>
      </c>
      <c r="AL47" t="str">
        <f t="shared" si="3"/>
        <v/>
      </c>
      <c r="AM47" t="str">
        <f>IF(AL47="","",MAX($AF$1:$AF47))</f>
        <v/>
      </c>
    </row>
    <row r="48" spans="1:45" ht="13.5" customHeight="1" x14ac:dyDescent="0.3">
      <c r="A48" s="8" t="s">
        <v>31</v>
      </c>
      <c r="B48" s="9"/>
      <c r="C48" s="10">
        <v>5</v>
      </c>
      <c r="D48" s="11"/>
      <c r="E48" s="2"/>
      <c r="AB48" t="str" cm="1">
        <f t="array" ref="AB48:AC48">_xlfn._xlws.FILTER(A48:Z48,A48:Z48&lt;&gt;"","")</f>
        <v>Health Care Practice</v>
      </c>
      <c r="AC48">
        <v>5</v>
      </c>
      <c r="AD48" t="str">
        <v/>
      </c>
      <c r="AE48" t="str">
        <v/>
      </c>
      <c r="AF48" t="str" cm="1">
        <f t="array" ref="AF48">IF(AD48="","",SUMPRODUCT(IF(LEFT($AD$1:AD48,2)="JS",1,0)))</f>
        <v/>
      </c>
      <c r="AG48" t="str">
        <f t="shared" si="0"/>
        <v/>
      </c>
      <c r="AH48" t="str">
        <f t="shared" si="1"/>
        <v/>
      </c>
      <c r="AI48" t="str">
        <f>IF(AH48="","",MAX($AF$1:$AF48))</f>
        <v/>
      </c>
      <c r="AJ48" t="str">
        <f t="shared" si="2"/>
        <v/>
      </c>
      <c r="AK48" t="str">
        <f>IF(AJ48="","",MAX($AF$1:$AF48))</f>
        <v/>
      </c>
      <c r="AL48" t="str">
        <f t="shared" si="3"/>
        <v/>
      </c>
      <c r="AM48" t="str">
        <f>IF(AL48="","",MAX($AF$1:$AF48))</f>
        <v/>
      </c>
    </row>
    <row r="49" spans="1:39" ht="13.5" customHeight="1" x14ac:dyDescent="0.3">
      <c r="A49" s="8" t="s">
        <v>32</v>
      </c>
      <c r="B49" s="9"/>
      <c r="C49" s="10">
        <v>7</v>
      </c>
      <c r="D49" s="11"/>
      <c r="E49" s="2"/>
      <c r="AB49" t="str" cm="1">
        <f t="array" ref="AB49:AC49">_xlfn._xlws.FILTER(A49:Z49,A49:Z49&lt;&gt;"","")</f>
        <v>Medical Laboratory Science</v>
      </c>
      <c r="AC49">
        <v>7</v>
      </c>
      <c r="AD49" t="str">
        <v/>
      </c>
      <c r="AE49" t="str">
        <v/>
      </c>
      <c r="AF49" t="str" cm="1">
        <f t="array" ref="AF49">IF(AD49="","",SUMPRODUCT(IF(LEFT($AD$1:AD49,2)="JS",1,0)))</f>
        <v/>
      </c>
      <c r="AG49" t="str">
        <f t="shared" si="0"/>
        <v/>
      </c>
      <c r="AH49" t="str">
        <f t="shared" si="1"/>
        <v/>
      </c>
      <c r="AI49" t="str">
        <f>IF(AH49="","",MAX($AF$1:$AF49))</f>
        <v/>
      </c>
      <c r="AJ49" t="str">
        <f t="shared" si="2"/>
        <v/>
      </c>
      <c r="AK49" t="str">
        <f>IF(AJ49="","",MAX($AF$1:$AF49))</f>
        <v/>
      </c>
      <c r="AL49" t="str">
        <f t="shared" si="3"/>
        <v/>
      </c>
      <c r="AM49" t="str">
        <f>IF(AL49="","",MAX($AF$1:$AF49))</f>
        <v/>
      </c>
    </row>
    <row r="50" spans="1:39" ht="13.5" customHeight="1" x14ac:dyDescent="0.3">
      <c r="A50" s="8" t="s">
        <v>33</v>
      </c>
      <c r="B50" s="9"/>
      <c r="C50" s="10">
        <v>5</v>
      </c>
      <c r="D50" s="11"/>
      <c r="E50" s="2"/>
      <c r="AB50" t="str" cm="1">
        <f t="array" ref="AB50:AC50">_xlfn._xlws.FILTER(A50:Z50,A50:Z50&lt;&gt;"","")</f>
        <v>Sports Coaching and Management</v>
      </c>
      <c r="AC50">
        <v>5</v>
      </c>
      <c r="AD50" t="str">
        <v/>
      </c>
      <c r="AE50" t="str">
        <v/>
      </c>
      <c r="AF50" t="str" cm="1">
        <f t="array" ref="AF50">IF(AD50="","",SUMPRODUCT(IF(LEFT($AD$1:AD50,2)="JS",1,0)))</f>
        <v/>
      </c>
      <c r="AG50" t="str">
        <f t="shared" si="0"/>
        <v/>
      </c>
      <c r="AH50" t="str">
        <f t="shared" si="1"/>
        <v/>
      </c>
      <c r="AI50" t="str">
        <f>IF(AH50="","",MAX($AF$1:$AF50))</f>
        <v/>
      </c>
      <c r="AJ50" t="str">
        <f t="shared" si="2"/>
        <v/>
      </c>
      <c r="AK50" t="str">
        <f>IF(AJ50="","",MAX($AF$1:$AF50))</f>
        <v/>
      </c>
      <c r="AL50" t="str">
        <f t="shared" si="3"/>
        <v/>
      </c>
      <c r="AM50" t="str">
        <f>IF(AL50="","",MAX($AF$1:$AF50))</f>
        <v/>
      </c>
    </row>
    <row r="51" spans="1:39" ht="26.25" customHeight="1" x14ac:dyDescent="0.3">
      <c r="A51" s="29" t="s">
        <v>34</v>
      </c>
      <c r="B51" s="29"/>
      <c r="C51" s="29"/>
      <c r="D51" s="29"/>
      <c r="E51" s="1"/>
      <c r="AB51" t="str" cm="1">
        <f t="array" ref="AB51">_xlfn._xlws.FILTER(A51:Z51,A51:Z51&lt;&gt;"","")</f>
        <v>Category C: Other Language Subjects</v>
      </c>
      <c r="AD51" t="str">
        <v/>
      </c>
      <c r="AE51" t="str">
        <v/>
      </c>
      <c r="AF51" t="str" cm="1">
        <f t="array" ref="AF51">IF(AD51="","",SUMPRODUCT(IF(LEFT($AD$1:AD51,2)="JS",1,0)))</f>
        <v/>
      </c>
      <c r="AG51" t="str">
        <f t="shared" si="0"/>
        <v/>
      </c>
      <c r="AH51" t="str">
        <f t="shared" si="1"/>
        <v/>
      </c>
      <c r="AI51" t="str">
        <f>IF(AH51="","",MAX($AF$1:$AF51))</f>
        <v/>
      </c>
      <c r="AJ51" t="str">
        <f t="shared" si="2"/>
        <v/>
      </c>
      <c r="AK51" t="str">
        <f>IF(AJ51="","",MAX($AF$1:$AF51))</f>
        <v/>
      </c>
      <c r="AL51" t="str">
        <f t="shared" si="3"/>
        <v/>
      </c>
      <c r="AM51" t="str">
        <f>IF(AL51="","",MAX($AF$1:$AF51))</f>
        <v/>
      </c>
    </row>
    <row r="52" spans="1:39" ht="13.5" customHeight="1" x14ac:dyDescent="0.3">
      <c r="A52" s="14" t="s">
        <v>3</v>
      </c>
      <c r="B52" s="15"/>
      <c r="C52" s="16" t="s">
        <v>4</v>
      </c>
      <c r="D52" s="17"/>
      <c r="E52" s="2"/>
      <c r="AB52" t="str" cm="1">
        <f t="array" ref="AB52:AC52">_xlfn._xlws.FILTER(A52:Z52,A52:Z52&lt;&gt;"","")</f>
        <v>Subject Name</v>
      </c>
      <c r="AC52" t="str">
        <v>Subject Weighting for 2023/24 Admission Exercise *</v>
      </c>
      <c r="AD52" t="str">
        <v/>
      </c>
      <c r="AE52" t="str">
        <v/>
      </c>
      <c r="AF52" t="str" cm="1">
        <f t="array" ref="AF52">IF(AD52="","",SUMPRODUCT(IF(LEFT($AD$1:AD52,2)="JS",1,0)))</f>
        <v/>
      </c>
      <c r="AG52" t="str">
        <f t="shared" si="0"/>
        <v/>
      </c>
      <c r="AH52" t="str">
        <f t="shared" si="1"/>
        <v/>
      </c>
      <c r="AI52" t="str">
        <f>IF(AH52="","",MAX($AF$1:$AF52))</f>
        <v/>
      </c>
      <c r="AJ52" t="str">
        <f t="shared" si="2"/>
        <v/>
      </c>
      <c r="AK52" t="str">
        <f>IF(AJ52="","",MAX($AF$1:$AF52))</f>
        <v/>
      </c>
      <c r="AL52" t="str">
        <f t="shared" si="3"/>
        <v/>
      </c>
      <c r="AM52" t="str">
        <f>IF(AL52="","",MAX($AF$1:$AF52))</f>
        <v/>
      </c>
    </row>
    <row r="53" spans="1:39" ht="13.5" customHeight="1" x14ac:dyDescent="0.3">
      <c r="A53" s="8" t="s">
        <v>35</v>
      </c>
      <c r="B53" s="9"/>
      <c r="C53" s="10">
        <v>5</v>
      </c>
      <c r="D53" s="11"/>
      <c r="E53" s="2"/>
      <c r="AB53" t="str" cm="1">
        <f t="array" ref="AB53:AC53">_xlfn._xlws.FILTER(A53:Z53,A53:Z53&lt;&gt;"","")</f>
        <v>French</v>
      </c>
      <c r="AC53">
        <v>5</v>
      </c>
      <c r="AD53" t="str">
        <v/>
      </c>
      <c r="AE53" t="str">
        <v/>
      </c>
      <c r="AF53" t="str" cm="1">
        <f t="array" ref="AF53">IF(AD53="","",SUMPRODUCT(IF(LEFT($AD$1:AD53,2)="JS",1,0)))</f>
        <v/>
      </c>
      <c r="AG53" t="str">
        <f t="shared" si="0"/>
        <v/>
      </c>
      <c r="AH53" t="str">
        <f t="shared" si="1"/>
        <v/>
      </c>
      <c r="AI53" t="str">
        <f>IF(AH53="","",MAX($AF$1:$AF53))</f>
        <v/>
      </c>
      <c r="AJ53" t="str">
        <f t="shared" si="2"/>
        <v/>
      </c>
      <c r="AK53" t="str">
        <f>IF(AJ53="","",MAX($AF$1:$AF53))</f>
        <v/>
      </c>
      <c r="AL53" t="str">
        <f t="shared" si="3"/>
        <v/>
      </c>
      <c r="AM53" t="str">
        <f>IF(AL53="","",MAX($AF$1:$AF53))</f>
        <v/>
      </c>
    </row>
    <row r="54" spans="1:39" ht="13.5" customHeight="1" x14ac:dyDescent="0.3">
      <c r="A54" s="8" t="s">
        <v>36</v>
      </c>
      <c r="B54" s="9"/>
      <c r="C54" s="10">
        <v>5</v>
      </c>
      <c r="D54" s="11"/>
      <c r="E54" s="2"/>
      <c r="AB54" t="str" cm="1">
        <f t="array" ref="AB54:AC54">_xlfn._xlws.FILTER(A54:Z54,A54:Z54&lt;&gt;"","")</f>
        <v>German</v>
      </c>
      <c r="AC54">
        <v>5</v>
      </c>
      <c r="AD54" t="str">
        <v/>
      </c>
      <c r="AE54" t="str">
        <v/>
      </c>
      <c r="AF54" t="str" cm="1">
        <f t="array" ref="AF54">IF(AD54="","",SUMPRODUCT(IF(LEFT($AD$1:AD54,2)="JS",1,0)))</f>
        <v/>
      </c>
      <c r="AG54" t="str">
        <f t="shared" si="0"/>
        <v/>
      </c>
      <c r="AH54" t="str">
        <f t="shared" si="1"/>
        <v/>
      </c>
      <c r="AI54" t="str">
        <f>IF(AH54="","",MAX($AF$1:$AF54))</f>
        <v/>
      </c>
      <c r="AJ54" t="str">
        <f t="shared" si="2"/>
        <v/>
      </c>
      <c r="AK54" t="str">
        <f>IF(AJ54="","",MAX($AF$1:$AF54))</f>
        <v/>
      </c>
      <c r="AL54" t="str">
        <f t="shared" si="3"/>
        <v/>
      </c>
      <c r="AM54" t="str">
        <f>IF(AL54="","",MAX($AF$1:$AF54))</f>
        <v/>
      </c>
    </row>
    <row r="55" spans="1:39" ht="13.5" customHeight="1" x14ac:dyDescent="0.3">
      <c r="A55" s="8" t="s">
        <v>37</v>
      </c>
      <c r="B55" s="9"/>
      <c r="C55" s="10">
        <v>5</v>
      </c>
      <c r="D55" s="11"/>
      <c r="E55" s="2"/>
      <c r="AB55" t="str" cm="1">
        <f t="array" ref="AB55:AC55">_xlfn._xlws.FILTER(A55:Z55,A55:Z55&lt;&gt;"","")</f>
        <v>Hindi</v>
      </c>
      <c r="AC55">
        <v>5</v>
      </c>
      <c r="AD55" t="str">
        <v/>
      </c>
      <c r="AE55" t="str">
        <v/>
      </c>
      <c r="AF55" t="str" cm="1">
        <f t="array" ref="AF55">IF(AD55="","",SUMPRODUCT(IF(LEFT($AD$1:AD55,2)="JS",1,0)))</f>
        <v/>
      </c>
      <c r="AG55" t="str">
        <f t="shared" si="0"/>
        <v/>
      </c>
      <c r="AH55" t="str">
        <f t="shared" si="1"/>
        <v/>
      </c>
      <c r="AI55" t="str">
        <f>IF(AH55="","",MAX($AF$1:$AF55))</f>
        <v/>
      </c>
      <c r="AJ55" t="str">
        <f t="shared" si="2"/>
        <v/>
      </c>
      <c r="AK55" t="str">
        <f>IF(AJ55="","",MAX($AF$1:$AF55))</f>
        <v/>
      </c>
      <c r="AL55" t="str">
        <f t="shared" si="3"/>
        <v/>
      </c>
      <c r="AM55" t="str">
        <f>IF(AL55="","",MAX($AF$1:$AF55))</f>
        <v/>
      </c>
    </row>
    <row r="56" spans="1:39" ht="13.5" customHeight="1" x14ac:dyDescent="0.3">
      <c r="A56" s="8" t="s">
        <v>38</v>
      </c>
      <c r="B56" s="9"/>
      <c r="C56" s="10">
        <v>5</v>
      </c>
      <c r="D56" s="11"/>
      <c r="E56" s="2"/>
      <c r="AB56" t="str" cm="1">
        <f t="array" ref="AB56:AC56">_xlfn._xlws.FILTER(A56:Z56,A56:Z56&lt;&gt;"","")</f>
        <v>Japanese</v>
      </c>
      <c r="AC56">
        <v>5</v>
      </c>
      <c r="AD56" t="str">
        <v/>
      </c>
      <c r="AE56" t="str">
        <v/>
      </c>
      <c r="AF56" t="str" cm="1">
        <f t="array" ref="AF56">IF(AD56="","",SUMPRODUCT(IF(LEFT($AD$1:AD56,2)="JS",1,0)))</f>
        <v/>
      </c>
      <c r="AG56" t="str">
        <f t="shared" si="0"/>
        <v/>
      </c>
      <c r="AH56" t="str">
        <f t="shared" si="1"/>
        <v/>
      </c>
      <c r="AI56" t="str">
        <f>IF(AH56="","",MAX($AF$1:$AF56))</f>
        <v/>
      </c>
      <c r="AJ56" t="str">
        <f t="shared" si="2"/>
        <v/>
      </c>
      <c r="AK56" t="str">
        <f>IF(AJ56="","",MAX($AF$1:$AF56))</f>
        <v/>
      </c>
      <c r="AL56" t="str">
        <f t="shared" si="3"/>
        <v/>
      </c>
      <c r="AM56" t="str">
        <f>IF(AL56="","",MAX($AF$1:$AF56))</f>
        <v/>
      </c>
    </row>
    <row r="57" spans="1:39" ht="13.5" customHeight="1" x14ac:dyDescent="0.3">
      <c r="A57" s="8" t="s">
        <v>39</v>
      </c>
      <c r="B57" s="9"/>
      <c r="C57" s="10">
        <v>5</v>
      </c>
      <c r="D57" s="11"/>
      <c r="E57" s="2"/>
      <c r="AB57" t="str" cm="1">
        <f t="array" ref="AB57:AC57">_xlfn._xlws.FILTER(A57:Z57,A57:Z57&lt;&gt;"","")</f>
        <v>Spanish</v>
      </c>
      <c r="AC57">
        <v>5</v>
      </c>
      <c r="AD57" t="str">
        <v/>
      </c>
      <c r="AE57" t="str">
        <v/>
      </c>
      <c r="AF57" t="str" cm="1">
        <f t="array" ref="AF57">IF(AD57="","",SUMPRODUCT(IF(LEFT($AD$1:AD57,2)="JS",1,0)))</f>
        <v/>
      </c>
      <c r="AG57" t="str">
        <f t="shared" si="0"/>
        <v/>
      </c>
      <c r="AH57" t="str">
        <f t="shared" si="1"/>
        <v/>
      </c>
      <c r="AI57" t="str">
        <f>IF(AH57="","",MAX($AF$1:$AF57))</f>
        <v/>
      </c>
      <c r="AJ57" t="str">
        <f t="shared" si="2"/>
        <v/>
      </c>
      <c r="AK57" t="str">
        <f>IF(AJ57="","",MAX($AF$1:$AF57))</f>
        <v/>
      </c>
      <c r="AL57" t="str">
        <f t="shared" si="3"/>
        <v/>
      </c>
      <c r="AM57" t="str">
        <f>IF(AL57="","",MAX($AF$1:$AF57))</f>
        <v/>
      </c>
    </row>
    <row r="58" spans="1:39" ht="13.5" customHeight="1" x14ac:dyDescent="0.3">
      <c r="A58" s="8" t="s">
        <v>40</v>
      </c>
      <c r="B58" s="9"/>
      <c r="C58" s="10">
        <v>5</v>
      </c>
      <c r="D58" s="11"/>
      <c r="E58" s="2"/>
      <c r="AB58" t="str" cm="1">
        <f t="array" ref="AB58:AC58">_xlfn._xlws.FILTER(A58:Z58,A58:Z58&lt;&gt;"","")</f>
        <v>Urdu</v>
      </c>
      <c r="AC58">
        <v>5</v>
      </c>
      <c r="AD58" t="str">
        <v/>
      </c>
      <c r="AE58" t="str">
        <v/>
      </c>
      <c r="AF58" t="str" cm="1">
        <f t="array" ref="AF58">IF(AD58="","",SUMPRODUCT(IF(LEFT($AD$1:AD58,2)="JS",1,0)))</f>
        <v/>
      </c>
      <c r="AG58" t="str">
        <f t="shared" si="0"/>
        <v/>
      </c>
      <c r="AH58" t="str">
        <f t="shared" si="1"/>
        <v/>
      </c>
      <c r="AI58" t="str">
        <f>IF(AH58="","",MAX($AF$1:$AF58))</f>
        <v/>
      </c>
      <c r="AJ58" t="str">
        <f t="shared" si="2"/>
        <v/>
      </c>
      <c r="AK58" t="str">
        <f>IF(AJ58="","",MAX($AF$1:$AF58))</f>
        <v/>
      </c>
      <c r="AL58" t="str">
        <f t="shared" si="3"/>
        <v/>
      </c>
      <c r="AM58" t="str">
        <f>IF(AL58="","",MAX($AF$1:$AF58))</f>
        <v/>
      </c>
    </row>
    <row r="59" spans="1:39" ht="26.25" customHeight="1" x14ac:dyDescent="0.3">
      <c r="A59" s="26" t="s">
        <v>41</v>
      </c>
      <c r="B59" s="26"/>
      <c r="C59" s="26"/>
      <c r="D59" s="26"/>
      <c r="E59" s="26"/>
      <c r="AB59" t="str" cm="1">
        <f t="array" ref="AB59">_xlfn._xlws.FILTER(A59:Z59,A59:Z59&lt;&gt;"","")</f>
        <v>* Subject Weighting may be adjusted in the next admissions exercise</v>
      </c>
      <c r="AD59" t="str">
        <v/>
      </c>
      <c r="AE59" t="str">
        <v/>
      </c>
      <c r="AF59" t="str" cm="1">
        <f t="array" ref="AF59">IF(AD59="","",SUMPRODUCT(IF(LEFT($AD$1:AD59,2)="JS",1,0)))</f>
        <v/>
      </c>
      <c r="AG59" t="str">
        <f t="shared" si="0"/>
        <v/>
      </c>
      <c r="AH59" t="str">
        <f t="shared" si="1"/>
        <v/>
      </c>
      <c r="AI59" t="str">
        <f>IF(AH59="","",MAX($AF$1:$AF59))</f>
        <v/>
      </c>
      <c r="AJ59" t="str">
        <f t="shared" si="2"/>
        <v/>
      </c>
      <c r="AK59" t="str">
        <f>IF(AJ59="","",MAX($AF$1:$AF59))</f>
        <v/>
      </c>
      <c r="AL59" t="str">
        <f t="shared" si="3"/>
        <v/>
      </c>
      <c r="AM59" t="str">
        <f>IF(AL59="","",MAX($AF$1:$AF59))</f>
        <v/>
      </c>
    </row>
    <row r="60" spans="1:39" ht="15" customHeight="1" x14ac:dyDescent="0.3">
      <c r="A60" s="18" t="s">
        <v>42</v>
      </c>
      <c r="B60" s="18"/>
      <c r="C60" s="18"/>
      <c r="D60" s="1"/>
      <c r="E60" s="1"/>
      <c r="AB60" t="str" cm="1">
        <f t="array" ref="AB60">_xlfn._xlws.FILTER(A60:Z60,A60:Z60&lt;&gt;"","")</f>
        <v>JUPAS Code: JS3020</v>
      </c>
      <c r="AD60" t="str">
        <v>JS3020</v>
      </c>
      <c r="AE60" t="str">
        <v/>
      </c>
      <c r="AF60" cm="1">
        <f t="array" ref="AF60">IF(AD60="","",SUMPRODUCT(IF(LEFT($AD$1:AD60,2)="JS",1,0)))</f>
        <v>2</v>
      </c>
      <c r="AG60" t="str">
        <f t="shared" si="0"/>
        <v/>
      </c>
      <c r="AH60" t="str">
        <f t="shared" si="1"/>
        <v/>
      </c>
      <c r="AI60" t="str">
        <f>IF(AH60="","",MAX($AF$1:$AF60))</f>
        <v/>
      </c>
      <c r="AJ60" t="str">
        <f t="shared" si="2"/>
        <v/>
      </c>
      <c r="AK60" t="str">
        <f>IF(AJ60="","",MAX($AF$1:$AF60))</f>
        <v/>
      </c>
      <c r="AL60" t="str">
        <f t="shared" si="3"/>
        <v/>
      </c>
      <c r="AM60" t="str">
        <f>IF(AL60="","",MAX($AF$1:$AF60))</f>
        <v/>
      </c>
    </row>
    <row r="61" spans="1:39" ht="24" customHeight="1" x14ac:dyDescent="0.3">
      <c r="A61" s="18" t="s">
        <v>43</v>
      </c>
      <c r="B61" s="18"/>
      <c r="C61" s="18"/>
      <c r="D61" s="1"/>
      <c r="E61" s="1"/>
      <c r="AB61" t="str" cm="1">
        <f t="array" ref="AB61">_xlfn._xlws.FILTER(A61:Z61,A61:Z61&lt;&gt;"","")</f>
        <v>Programme Title: BSc (Hons) Scheme in Data Science</v>
      </c>
      <c r="AD61" t="str">
        <v/>
      </c>
      <c r="AE61" t="str">
        <v>BSc (Hons) Scheme in Data Science</v>
      </c>
      <c r="AF61" t="str" cm="1">
        <f t="array" ref="AF61">IF(AD61="","",SUMPRODUCT(IF(LEFT($AD$1:AD61,2)="JS",1,0)))</f>
        <v/>
      </c>
      <c r="AG61" t="str">
        <f t="shared" si="0"/>
        <v/>
      </c>
      <c r="AH61" t="str">
        <f t="shared" si="1"/>
        <v/>
      </c>
      <c r="AI61" t="str">
        <f>IF(AH61="","",MAX($AF$1:$AF61))</f>
        <v/>
      </c>
      <c r="AJ61" t="str">
        <f t="shared" si="2"/>
        <v/>
      </c>
      <c r="AK61" t="str">
        <f>IF(AJ61="","",MAX($AF$1:$AF61))</f>
        <v/>
      </c>
      <c r="AL61" t="str">
        <f t="shared" si="3"/>
        <v/>
      </c>
      <c r="AM61" t="str">
        <f>IF(AL61="","",MAX($AF$1:$AF61))</f>
        <v/>
      </c>
    </row>
    <row r="62" spans="1:39" ht="13.5" customHeight="1" x14ac:dyDescent="0.3">
      <c r="A62" s="13" t="s">
        <v>2</v>
      </c>
      <c r="B62" s="13"/>
      <c r="C62" s="13"/>
      <c r="D62" s="13"/>
      <c r="E62" s="1"/>
      <c r="AB62" t="str" cm="1">
        <f t="array" ref="AB62">_xlfn._xlws.FILTER(A62:Z62,A62:Z62&lt;&gt;"","")</f>
        <v>Category A: Core and Elective Subjects</v>
      </c>
      <c r="AD62" t="str">
        <v/>
      </c>
      <c r="AE62" t="str">
        <v/>
      </c>
      <c r="AF62" t="str" cm="1">
        <f t="array" ref="AF62">IF(AD62="","",SUMPRODUCT(IF(LEFT($AD$1:AD62,2)="JS",1,0)))</f>
        <v/>
      </c>
      <c r="AG62" t="str">
        <f t="shared" si="0"/>
        <v/>
      </c>
      <c r="AH62" t="str">
        <f t="shared" si="1"/>
        <v/>
      </c>
      <c r="AI62" t="str">
        <f>IF(AH62="","",MAX($AF$1:$AF62))</f>
        <v/>
      </c>
      <c r="AJ62" t="str">
        <f t="shared" si="2"/>
        <v/>
      </c>
      <c r="AK62" t="str">
        <f>IF(AJ62="","",MAX($AF$1:$AF62))</f>
        <v/>
      </c>
      <c r="AL62" t="str">
        <f t="shared" si="3"/>
        <v/>
      </c>
      <c r="AM62" t="str">
        <f>IF(AL62="","",MAX($AF$1:$AF62))</f>
        <v/>
      </c>
    </row>
    <row r="63" spans="1:39" ht="13.5" customHeight="1" x14ac:dyDescent="0.3">
      <c r="A63" s="14" t="s">
        <v>3</v>
      </c>
      <c r="B63" s="15"/>
      <c r="C63" s="16" t="s">
        <v>4</v>
      </c>
      <c r="D63" s="17"/>
      <c r="E63" s="2"/>
      <c r="AB63" t="str" cm="1">
        <f t="array" ref="AB63:AC63">_xlfn._xlws.FILTER(A63:Z63,A63:Z63&lt;&gt;"","")</f>
        <v>Subject Name</v>
      </c>
      <c r="AC63" t="str">
        <v>Subject Weighting for 2023/24 Admission Exercise *</v>
      </c>
      <c r="AD63" t="str">
        <v/>
      </c>
      <c r="AE63" t="str">
        <v/>
      </c>
      <c r="AF63" t="str" cm="1">
        <f t="array" ref="AF63">IF(AD63="","",SUMPRODUCT(IF(LEFT($AD$1:AD63,2)="JS",1,0)))</f>
        <v/>
      </c>
      <c r="AG63" t="str">
        <f t="shared" si="0"/>
        <v/>
      </c>
      <c r="AH63" t="str">
        <f t="shared" si="1"/>
        <v/>
      </c>
      <c r="AI63" t="str">
        <f>IF(AH63="","",MAX($AF$1:$AF63))</f>
        <v/>
      </c>
      <c r="AJ63" t="str">
        <f t="shared" si="2"/>
        <v/>
      </c>
      <c r="AK63" t="str">
        <f>IF(AJ63="","",MAX($AF$1:$AF63))</f>
        <v/>
      </c>
      <c r="AL63" t="str">
        <f t="shared" si="3"/>
        <v/>
      </c>
      <c r="AM63" t="str">
        <f>IF(AL63="","",MAX($AF$1:$AF63))</f>
        <v/>
      </c>
    </row>
    <row r="64" spans="1:39" ht="13.5" customHeight="1" x14ac:dyDescent="0.3">
      <c r="A64" s="8" t="s">
        <v>211</v>
      </c>
      <c r="B64" s="9"/>
      <c r="C64" s="10">
        <v>7</v>
      </c>
      <c r="D64" s="11"/>
      <c r="E64" s="2"/>
      <c r="AB64" t="str" cm="1">
        <f t="array" ref="AB64:AC64">_xlfn._xlws.FILTER(A64:Z64,A64:Z64&lt;&gt;"","")</f>
        <v>BIO</v>
      </c>
      <c r="AC64">
        <v>7</v>
      </c>
      <c r="AD64" t="str">
        <v/>
      </c>
      <c r="AE64" t="str">
        <v/>
      </c>
      <c r="AF64" t="str" cm="1">
        <f t="array" ref="AF64">IF(AD64="","",SUMPRODUCT(IF(LEFT($AD$1:AD64,2)="JS",1,0)))</f>
        <v/>
      </c>
      <c r="AG64" t="b">
        <f t="shared" si="0"/>
        <v>1</v>
      </c>
      <c r="AH64" t="str">
        <f t="shared" si="1"/>
        <v/>
      </c>
      <c r="AI64" t="str">
        <f>IF(AH64="","",MAX($AF$1:$AF64))</f>
        <v/>
      </c>
      <c r="AJ64" t="str">
        <f t="shared" si="2"/>
        <v>BIO</v>
      </c>
      <c r="AK64">
        <f>IF(AJ64="","",MAX($AF$1:$AF64))</f>
        <v>2</v>
      </c>
      <c r="AL64" t="str">
        <f t="shared" si="3"/>
        <v/>
      </c>
      <c r="AM64" t="str">
        <f>IF(AL64="","",MAX($AF$1:$AF64))</f>
        <v/>
      </c>
    </row>
    <row r="65" spans="1:39" ht="13.5" customHeight="1" x14ac:dyDescent="0.3">
      <c r="A65" s="8" t="s">
        <v>213</v>
      </c>
      <c r="B65" s="9"/>
      <c r="C65" s="10">
        <v>7</v>
      </c>
      <c r="D65" s="11"/>
      <c r="E65" s="2"/>
      <c r="AB65" t="str" cm="1">
        <f t="array" ref="AB65:AC65">_xlfn._xlws.FILTER(A65:Z65,A65:Z65&lt;&gt;"","")</f>
        <v>BAFS</v>
      </c>
      <c r="AC65">
        <v>7</v>
      </c>
      <c r="AD65" t="str">
        <v/>
      </c>
      <c r="AE65" t="str">
        <v/>
      </c>
      <c r="AF65" t="str" cm="1">
        <f t="array" ref="AF65">IF(AD65="","",SUMPRODUCT(IF(LEFT($AD$1:AD65,2)="JS",1,0)))</f>
        <v/>
      </c>
      <c r="AG65" t="b">
        <f t="shared" ref="AG65:AG128" si="4">IF(ISNUMBER(MATCH(AB65,$AV$3:$AV$18,0)),TRUE,"")</f>
        <v>1</v>
      </c>
      <c r="AH65" t="str">
        <f t="shared" si="1"/>
        <v/>
      </c>
      <c r="AI65" t="str">
        <f>IF(AH65="","",MAX($AF$1:$AF65))</f>
        <v/>
      </c>
      <c r="AJ65" t="str">
        <f t="shared" si="2"/>
        <v>BAFS</v>
      </c>
      <c r="AK65">
        <f>IF(AJ65="","",MAX($AF$1:$AF65))</f>
        <v>2</v>
      </c>
      <c r="AL65" t="str">
        <f t="shared" si="3"/>
        <v/>
      </c>
      <c r="AM65" t="str">
        <f>IF(AL65="","",MAX($AF$1:$AF65))</f>
        <v/>
      </c>
    </row>
    <row r="66" spans="1:39" ht="13.5" customHeight="1" x14ac:dyDescent="0.3">
      <c r="A66" s="8" t="s">
        <v>5</v>
      </c>
      <c r="B66" s="9"/>
      <c r="C66" s="10">
        <v>7</v>
      </c>
      <c r="D66" s="11"/>
      <c r="E66" s="2"/>
      <c r="AB66" t="str" cm="1">
        <f t="array" ref="AB66:AC66">_xlfn._xlws.FILTER(A66:Z66,A66:Z66&lt;&gt;"","")</f>
        <v>Business, Accounting and Financial Studies (Accounting)</v>
      </c>
      <c r="AC66">
        <v>7</v>
      </c>
      <c r="AD66" t="str">
        <v/>
      </c>
      <c r="AE66" t="str">
        <v/>
      </c>
      <c r="AF66" t="str" cm="1">
        <f t="array" ref="AF66">IF(AD66="","",SUMPRODUCT(IF(LEFT($AD$1:AD66,2)="JS",1,0)))</f>
        <v/>
      </c>
      <c r="AG66" t="str">
        <f t="shared" si="4"/>
        <v/>
      </c>
      <c r="AH66" t="str">
        <f t="shared" ref="AH66:AH129" si="5">IF(AND(AC66=10,AG66=TRUE),AB66,"")</f>
        <v/>
      </c>
      <c r="AI66" t="str">
        <f>IF(AH66="","",MAX($AF$1:$AF66))</f>
        <v/>
      </c>
      <c r="AJ66" t="str">
        <f t="shared" ref="AJ66:AJ129" si="6">IF(AND(AC66=7,AG66=TRUE),AB66,"")</f>
        <v/>
      </c>
      <c r="AK66" t="str">
        <f>IF(AJ66="","",MAX($AF$1:$AF66))</f>
        <v/>
      </c>
      <c r="AL66" t="str">
        <f t="shared" ref="AL66:AL129" si="7">IF(AND(AC66=5,AG66=TRUE),AB66,"")</f>
        <v/>
      </c>
      <c r="AM66" t="str">
        <f>IF(AL66="","",MAX($AF$1:$AF66))</f>
        <v/>
      </c>
    </row>
    <row r="67" spans="1:39" ht="13.5" customHeight="1" x14ac:dyDescent="0.3">
      <c r="A67" s="8" t="s">
        <v>6</v>
      </c>
      <c r="B67" s="9"/>
      <c r="C67" s="10">
        <v>7</v>
      </c>
      <c r="D67" s="11"/>
      <c r="E67" s="2"/>
      <c r="AB67" t="str" cm="1">
        <f t="array" ref="AB67:AC67">_xlfn._xlws.FILTER(A67:Z67,A67:Z67&lt;&gt;"","")</f>
        <v>Business, Accounting and Financial Studies (Business Management)</v>
      </c>
      <c r="AC67">
        <v>7</v>
      </c>
      <c r="AD67" t="str">
        <v/>
      </c>
      <c r="AE67" t="str">
        <v/>
      </c>
      <c r="AF67" t="str" cm="1">
        <f t="array" ref="AF67">IF(AD67="","",SUMPRODUCT(IF(LEFT($AD$1:AD67,2)="JS",1,0)))</f>
        <v/>
      </c>
      <c r="AG67" t="str">
        <f t="shared" si="4"/>
        <v/>
      </c>
      <c r="AH67" t="str">
        <f t="shared" si="5"/>
        <v/>
      </c>
      <c r="AI67" t="str">
        <f>IF(AH67="","",MAX($AF$1:$AF67))</f>
        <v/>
      </c>
      <c r="AJ67" t="str">
        <f t="shared" si="6"/>
        <v/>
      </c>
      <c r="AK67" t="str">
        <f>IF(AJ67="","",MAX($AF$1:$AF67))</f>
        <v/>
      </c>
      <c r="AL67" t="str">
        <f t="shared" si="7"/>
        <v/>
      </c>
      <c r="AM67" t="str">
        <f>IF(AL67="","",MAX($AF$1:$AF67))</f>
        <v/>
      </c>
    </row>
    <row r="68" spans="1:39" ht="13.5" customHeight="1" x14ac:dyDescent="0.3">
      <c r="A68" s="8" t="s">
        <v>212</v>
      </c>
      <c r="B68" s="9"/>
      <c r="C68" s="10">
        <v>7</v>
      </c>
      <c r="D68" s="11"/>
      <c r="E68" s="2"/>
      <c r="AB68" t="str" cm="1">
        <f t="array" ref="AB68:AC68">_xlfn._xlws.FILTER(A68:Z68,A68:Z68&lt;&gt;"","")</f>
        <v>CHEM</v>
      </c>
      <c r="AC68">
        <v>7</v>
      </c>
      <c r="AD68" t="str">
        <v/>
      </c>
      <c r="AE68" t="str">
        <v/>
      </c>
      <c r="AF68" t="str" cm="1">
        <f t="array" ref="AF68">IF(AD68="","",SUMPRODUCT(IF(LEFT($AD$1:AD68,2)="JS",1,0)))</f>
        <v/>
      </c>
      <c r="AG68" t="b">
        <f t="shared" si="4"/>
        <v>1</v>
      </c>
      <c r="AH68" t="str">
        <f t="shared" si="5"/>
        <v/>
      </c>
      <c r="AI68" t="str">
        <f>IF(AH68="","",MAX($AF$1:$AF68))</f>
        <v/>
      </c>
      <c r="AJ68" t="str">
        <f t="shared" si="6"/>
        <v>CHEM</v>
      </c>
      <c r="AK68">
        <f>IF(AJ68="","",MAX($AF$1:$AF68))</f>
        <v>2</v>
      </c>
      <c r="AL68" t="str">
        <f t="shared" si="7"/>
        <v/>
      </c>
      <c r="AM68" t="str">
        <f>IF(AL68="","",MAX($AF$1:$AF68))</f>
        <v/>
      </c>
    </row>
    <row r="69" spans="1:39" ht="13.5" customHeight="1" x14ac:dyDescent="0.3">
      <c r="A69" s="8" t="s">
        <v>214</v>
      </c>
      <c r="B69" s="9"/>
      <c r="C69" s="10">
        <v>5</v>
      </c>
      <c r="D69" s="11"/>
      <c r="E69" s="2"/>
      <c r="AB69" t="str" cm="1">
        <f t="array" ref="AB69:AC69">_xlfn._xlws.FILTER(A69:Z69,A69:Z69&lt;&gt;"","")</f>
        <v>中史</v>
      </c>
      <c r="AC69">
        <v>5</v>
      </c>
      <c r="AD69" t="str">
        <v/>
      </c>
      <c r="AE69" t="str">
        <v/>
      </c>
      <c r="AF69" t="str" cm="1">
        <f t="array" ref="AF69">IF(AD69="","",SUMPRODUCT(IF(LEFT($AD$1:AD69,2)="JS",1,0)))</f>
        <v/>
      </c>
      <c r="AG69" t="b">
        <f t="shared" si="4"/>
        <v>1</v>
      </c>
      <c r="AH69" t="str">
        <f t="shared" si="5"/>
        <v/>
      </c>
      <c r="AI69" t="str">
        <f>IF(AH69="","",MAX($AF$1:$AF69))</f>
        <v/>
      </c>
      <c r="AJ69" t="str">
        <f t="shared" si="6"/>
        <v/>
      </c>
      <c r="AK69" t="str">
        <f>IF(AJ69="","",MAX($AF$1:$AF69))</f>
        <v/>
      </c>
      <c r="AL69" t="str">
        <f t="shared" si="7"/>
        <v>中史</v>
      </c>
      <c r="AM69">
        <f>IF(AL69="","",MAX($AF$1:$AF69))</f>
        <v>2</v>
      </c>
    </row>
    <row r="70" spans="1:39" ht="13.5" customHeight="1" x14ac:dyDescent="0.3">
      <c r="A70" s="8" t="s">
        <v>216</v>
      </c>
      <c r="B70" s="9"/>
      <c r="C70" s="10">
        <v>7</v>
      </c>
      <c r="D70" s="11"/>
      <c r="E70" s="2"/>
      <c r="AB70" t="str" cm="1">
        <f t="array" ref="AB70:AC70">_xlfn._xlws.FILTER(A70:Z70,A70:Z70&lt;&gt;"","")</f>
        <v>中文</v>
      </c>
      <c r="AC70">
        <v>7</v>
      </c>
      <c r="AD70" t="str">
        <v/>
      </c>
      <c r="AE70" t="str">
        <v/>
      </c>
      <c r="AF70" t="str" cm="1">
        <f t="array" ref="AF70">IF(AD70="","",SUMPRODUCT(IF(LEFT($AD$1:AD70,2)="JS",1,0)))</f>
        <v/>
      </c>
      <c r="AG70" t="b">
        <f t="shared" si="4"/>
        <v>1</v>
      </c>
      <c r="AH70" t="str">
        <f t="shared" si="5"/>
        <v/>
      </c>
      <c r="AI70" t="str">
        <f>IF(AH70="","",MAX($AF$1:$AF70))</f>
        <v/>
      </c>
      <c r="AJ70" t="str">
        <f t="shared" si="6"/>
        <v>中文</v>
      </c>
      <c r="AK70">
        <f>IF(AJ70="","",MAX($AF$1:$AF70))</f>
        <v>2</v>
      </c>
      <c r="AL70" t="str">
        <f t="shared" si="7"/>
        <v/>
      </c>
      <c r="AM70" t="str">
        <f>IF(AL70="","",MAX($AF$1:$AF70))</f>
        <v/>
      </c>
    </row>
    <row r="71" spans="1:39" ht="13.5" customHeight="1" x14ac:dyDescent="0.3">
      <c r="A71" s="8" t="s">
        <v>7</v>
      </c>
      <c r="B71" s="9"/>
      <c r="C71" s="10">
        <v>5</v>
      </c>
      <c r="D71" s="11"/>
      <c r="E71" s="2"/>
      <c r="AB71" t="str" cm="1">
        <f t="array" ref="AB71:AC71">_xlfn._xlws.FILTER(A71:Z71,A71:Z71&lt;&gt;"","")</f>
        <v>Chinese Literature</v>
      </c>
      <c r="AC71">
        <v>5</v>
      </c>
      <c r="AD71" t="str">
        <v/>
      </c>
      <c r="AE71" t="str">
        <v/>
      </c>
      <c r="AF71" t="str" cm="1">
        <f t="array" ref="AF71">IF(AD71="","",SUMPRODUCT(IF(LEFT($AD$1:AD71,2)="JS",1,0)))</f>
        <v/>
      </c>
      <c r="AG71" t="str">
        <f t="shared" si="4"/>
        <v/>
      </c>
      <c r="AH71" t="str">
        <f t="shared" si="5"/>
        <v/>
      </c>
      <c r="AI71" t="str">
        <f>IF(AH71="","",MAX($AF$1:$AF71))</f>
        <v/>
      </c>
      <c r="AJ71" t="str">
        <f t="shared" si="6"/>
        <v/>
      </c>
      <c r="AK71" t="str">
        <f>IF(AJ71="","",MAX($AF$1:$AF71))</f>
        <v/>
      </c>
      <c r="AL71" t="str">
        <f t="shared" si="7"/>
        <v/>
      </c>
      <c r="AM71" t="str">
        <f>IF(AL71="","",MAX($AF$1:$AF71))</f>
        <v/>
      </c>
    </row>
    <row r="72" spans="1:39" ht="13.5" customHeight="1" x14ac:dyDescent="0.3">
      <c r="A72" s="8" t="s">
        <v>8</v>
      </c>
      <c r="B72" s="9"/>
      <c r="C72" s="10">
        <v>7</v>
      </c>
      <c r="D72" s="11"/>
      <c r="E72" s="2"/>
      <c r="AB72" t="str" cm="1">
        <f t="array" ref="AB72:AC72">_xlfn._xlws.FILTER(A72:Z72,A72:Z72&lt;&gt;"","")</f>
        <v>Combined Science: Biology + Chemistry</v>
      </c>
      <c r="AC72">
        <v>7</v>
      </c>
      <c r="AD72" t="str">
        <v/>
      </c>
      <c r="AE72" t="str">
        <v/>
      </c>
      <c r="AF72" t="str" cm="1">
        <f t="array" ref="AF72">IF(AD72="","",SUMPRODUCT(IF(LEFT($AD$1:AD72,2)="JS",1,0)))</f>
        <v/>
      </c>
      <c r="AG72" t="str">
        <f t="shared" si="4"/>
        <v/>
      </c>
      <c r="AH72" t="str">
        <f t="shared" si="5"/>
        <v/>
      </c>
      <c r="AI72" t="str">
        <f>IF(AH72="","",MAX($AF$1:$AF72))</f>
        <v/>
      </c>
      <c r="AJ72" t="str">
        <f t="shared" si="6"/>
        <v/>
      </c>
      <c r="AK72" t="str">
        <f>IF(AJ72="","",MAX($AF$1:$AF72))</f>
        <v/>
      </c>
      <c r="AL72" t="str">
        <f t="shared" si="7"/>
        <v/>
      </c>
      <c r="AM72" t="str">
        <f>IF(AL72="","",MAX($AF$1:$AF72))</f>
        <v/>
      </c>
    </row>
    <row r="73" spans="1:39" ht="13.5" customHeight="1" x14ac:dyDescent="0.3">
      <c r="A73" s="8" t="s">
        <v>9</v>
      </c>
      <c r="B73" s="9"/>
      <c r="C73" s="10">
        <v>7</v>
      </c>
      <c r="D73" s="11"/>
      <c r="E73" s="2"/>
      <c r="AB73" t="str" cm="1">
        <f t="array" ref="AB73:AC73">_xlfn._xlws.FILTER(A73:Z73,A73:Z73&lt;&gt;"","")</f>
        <v>Combined Science: Biology + Physics</v>
      </c>
      <c r="AC73">
        <v>7</v>
      </c>
      <c r="AD73" t="str">
        <v/>
      </c>
      <c r="AE73" t="str">
        <v/>
      </c>
      <c r="AF73" t="str" cm="1">
        <f t="array" ref="AF73">IF(AD73="","",SUMPRODUCT(IF(LEFT($AD$1:AD73,2)="JS",1,0)))</f>
        <v/>
      </c>
      <c r="AG73" t="str">
        <f t="shared" si="4"/>
        <v/>
      </c>
      <c r="AH73" t="str">
        <f t="shared" si="5"/>
        <v/>
      </c>
      <c r="AI73" t="str">
        <f>IF(AH73="","",MAX($AF$1:$AF73))</f>
        <v/>
      </c>
      <c r="AJ73" t="str">
        <f t="shared" si="6"/>
        <v/>
      </c>
      <c r="AK73" t="str">
        <f>IF(AJ73="","",MAX($AF$1:$AF73))</f>
        <v/>
      </c>
      <c r="AL73" t="str">
        <f t="shared" si="7"/>
        <v/>
      </c>
      <c r="AM73" t="str">
        <f>IF(AL73="","",MAX($AF$1:$AF73))</f>
        <v/>
      </c>
    </row>
    <row r="74" spans="1:39" ht="13.5" customHeight="1" x14ac:dyDescent="0.3">
      <c r="A74" s="8" t="s">
        <v>10</v>
      </c>
      <c r="B74" s="9"/>
      <c r="C74" s="10">
        <v>7</v>
      </c>
      <c r="D74" s="11"/>
      <c r="E74" s="2"/>
      <c r="AB74" t="str" cm="1">
        <f t="array" ref="AB74:AC74">_xlfn._xlws.FILTER(A74:Z74,A74:Z74&lt;&gt;"","")</f>
        <v>Combined Science: Physics + Chemistry</v>
      </c>
      <c r="AC74">
        <v>7</v>
      </c>
      <c r="AD74" t="str">
        <v/>
      </c>
      <c r="AE74" t="str">
        <v/>
      </c>
      <c r="AF74" t="str" cm="1">
        <f t="array" ref="AF74">IF(AD74="","",SUMPRODUCT(IF(LEFT($AD$1:AD74,2)="JS",1,0)))</f>
        <v/>
      </c>
      <c r="AG74" t="str">
        <f t="shared" si="4"/>
        <v/>
      </c>
      <c r="AH74" t="str">
        <f t="shared" si="5"/>
        <v/>
      </c>
      <c r="AI74" t="str">
        <f>IF(AH74="","",MAX($AF$1:$AF74))</f>
        <v/>
      </c>
      <c r="AJ74" t="str">
        <f t="shared" si="6"/>
        <v/>
      </c>
      <c r="AK74" t="str">
        <f>IF(AJ74="","",MAX($AF$1:$AF74))</f>
        <v/>
      </c>
      <c r="AL74" t="str">
        <f t="shared" si="7"/>
        <v/>
      </c>
      <c r="AM74" t="str">
        <f>IF(AL74="","",MAX($AF$1:$AF74))</f>
        <v/>
      </c>
    </row>
    <row r="75" spans="1:39" ht="13.5" customHeight="1" x14ac:dyDescent="0.3">
      <c r="A75" s="8" t="s">
        <v>11</v>
      </c>
      <c r="B75" s="9"/>
      <c r="C75" s="10">
        <v>5</v>
      </c>
      <c r="D75" s="11"/>
      <c r="E75" s="2"/>
      <c r="AB75" t="str" cm="1">
        <f t="array" ref="AB75:AC75">_xlfn._xlws.FILTER(A75:Z75,A75:Z75&lt;&gt;"","")</f>
        <v>Design and Applied Technology</v>
      </c>
      <c r="AC75">
        <v>5</v>
      </c>
      <c r="AD75" t="str">
        <v/>
      </c>
      <c r="AE75" t="str">
        <v/>
      </c>
      <c r="AF75" t="str" cm="1">
        <f t="array" ref="AF75">IF(AD75="","",SUMPRODUCT(IF(LEFT($AD$1:AD75,2)="JS",1,0)))</f>
        <v/>
      </c>
      <c r="AG75" t="str">
        <f t="shared" si="4"/>
        <v/>
      </c>
      <c r="AH75" t="str">
        <f t="shared" si="5"/>
        <v/>
      </c>
      <c r="AI75" t="str">
        <f>IF(AH75="","",MAX($AF$1:$AF75))</f>
        <v/>
      </c>
      <c r="AJ75" t="str">
        <f t="shared" si="6"/>
        <v/>
      </c>
      <c r="AK75" t="str">
        <f>IF(AJ75="","",MAX($AF$1:$AF75))</f>
        <v/>
      </c>
      <c r="AL75" t="str">
        <f t="shared" si="7"/>
        <v/>
      </c>
      <c r="AM75" t="str">
        <f>IF(AL75="","",MAX($AF$1:$AF75))</f>
        <v/>
      </c>
    </row>
    <row r="76" spans="1:39" ht="13.5" customHeight="1" x14ac:dyDescent="0.3">
      <c r="A76" s="8" t="s">
        <v>217</v>
      </c>
      <c r="B76" s="9"/>
      <c r="C76" s="10">
        <v>7</v>
      </c>
      <c r="D76" s="11"/>
      <c r="E76" s="2"/>
      <c r="AB76" t="str" cm="1">
        <f t="array" ref="AB76:AC76">_xlfn._xlws.FILTER(A76:Z76,A76:Z76&lt;&gt;"","")</f>
        <v>ECON</v>
      </c>
      <c r="AC76">
        <v>7</v>
      </c>
      <c r="AD76" t="str">
        <v/>
      </c>
      <c r="AE76" t="str">
        <v/>
      </c>
      <c r="AF76" t="str" cm="1">
        <f t="array" ref="AF76">IF(AD76="","",SUMPRODUCT(IF(LEFT($AD$1:AD76,2)="JS",1,0)))</f>
        <v/>
      </c>
      <c r="AG76" t="b">
        <f t="shared" si="4"/>
        <v>1</v>
      </c>
      <c r="AH76" t="str">
        <f t="shared" si="5"/>
        <v/>
      </c>
      <c r="AI76" t="str">
        <f>IF(AH76="","",MAX($AF$1:$AF76))</f>
        <v/>
      </c>
      <c r="AJ76" t="str">
        <f t="shared" si="6"/>
        <v>ECON</v>
      </c>
      <c r="AK76">
        <f>IF(AJ76="","",MAX($AF$1:$AF76))</f>
        <v>2</v>
      </c>
      <c r="AL76" t="str">
        <f t="shared" si="7"/>
        <v/>
      </c>
      <c r="AM76" t="str">
        <f>IF(AL76="","",MAX($AF$1:$AF76))</f>
        <v/>
      </c>
    </row>
    <row r="77" spans="1:39" ht="13.5" customHeight="1" x14ac:dyDescent="0.3">
      <c r="A77" s="8" t="s">
        <v>218</v>
      </c>
      <c r="B77" s="9"/>
      <c r="C77" s="10">
        <v>10</v>
      </c>
      <c r="D77" s="11"/>
      <c r="E77" s="2"/>
      <c r="AB77" t="str" cm="1">
        <f t="array" ref="AB77:AC77">_xlfn._xlws.FILTER(A77:Z77,A77:Z77&lt;&gt;"","")</f>
        <v>ENG</v>
      </c>
      <c r="AC77">
        <v>10</v>
      </c>
      <c r="AD77" t="str">
        <v/>
      </c>
      <c r="AE77" t="str">
        <v/>
      </c>
      <c r="AF77" t="str" cm="1">
        <f t="array" ref="AF77">IF(AD77="","",SUMPRODUCT(IF(LEFT($AD$1:AD77,2)="JS",1,0)))</f>
        <v/>
      </c>
      <c r="AG77" t="b">
        <f t="shared" si="4"/>
        <v>1</v>
      </c>
      <c r="AH77" t="str">
        <f t="shared" si="5"/>
        <v>ENG</v>
      </c>
      <c r="AI77">
        <f>IF(AH77="","",MAX($AF$1:$AF77))</f>
        <v>2</v>
      </c>
      <c r="AJ77" t="str">
        <f t="shared" si="6"/>
        <v/>
      </c>
      <c r="AK77" t="str">
        <f>IF(AJ77="","",MAX($AF$1:$AF77))</f>
        <v/>
      </c>
      <c r="AL77" t="str">
        <f t="shared" si="7"/>
        <v/>
      </c>
      <c r="AM77" t="str">
        <f>IF(AL77="","",MAX($AF$1:$AF77))</f>
        <v/>
      </c>
    </row>
    <row r="78" spans="1:39" ht="13.5" customHeight="1" x14ac:dyDescent="0.3">
      <c r="A78" s="8" t="s">
        <v>12</v>
      </c>
      <c r="B78" s="9"/>
      <c r="C78" s="10">
        <v>5</v>
      </c>
      <c r="D78" s="11"/>
      <c r="E78" s="2"/>
      <c r="AB78" t="str" cm="1">
        <f t="array" ref="AB78:AC78">_xlfn._xlws.FILTER(A78:Z78,A78:Z78&lt;&gt;"","")</f>
        <v>Ethics and Religious Studies</v>
      </c>
      <c r="AC78">
        <v>5</v>
      </c>
      <c r="AD78" t="str">
        <v/>
      </c>
      <c r="AE78" t="str">
        <v/>
      </c>
      <c r="AF78" t="str" cm="1">
        <f t="array" ref="AF78">IF(AD78="","",SUMPRODUCT(IF(LEFT($AD$1:AD78,2)="JS",1,0)))</f>
        <v/>
      </c>
      <c r="AG78" t="str">
        <f t="shared" si="4"/>
        <v/>
      </c>
      <c r="AH78" t="str">
        <f t="shared" si="5"/>
        <v/>
      </c>
      <c r="AI78" t="str">
        <f>IF(AH78="","",MAX($AF$1:$AF78))</f>
        <v/>
      </c>
      <c r="AJ78" t="str">
        <f t="shared" si="6"/>
        <v/>
      </c>
      <c r="AK78" t="str">
        <f>IF(AJ78="","",MAX($AF$1:$AF78))</f>
        <v/>
      </c>
      <c r="AL78" t="str">
        <f t="shared" si="7"/>
        <v/>
      </c>
      <c r="AM78" t="str">
        <f>IF(AL78="","",MAX($AF$1:$AF78))</f>
        <v/>
      </c>
    </row>
    <row r="79" spans="1:39" ht="13.5" customHeight="1" x14ac:dyDescent="0.3">
      <c r="A79" s="8" t="s">
        <v>219</v>
      </c>
      <c r="B79" s="9"/>
      <c r="C79" s="10">
        <v>5</v>
      </c>
      <c r="D79" s="11"/>
      <c r="E79" s="2"/>
      <c r="AB79" t="str" cm="1">
        <f t="array" ref="AB79:AC79">_xlfn._xlws.FILTER(A79:Z79,A79:Z79&lt;&gt;"","")</f>
        <v>GEOG</v>
      </c>
      <c r="AC79">
        <v>5</v>
      </c>
      <c r="AD79" t="str">
        <v/>
      </c>
      <c r="AE79" t="str">
        <v/>
      </c>
      <c r="AF79" t="str" cm="1">
        <f t="array" ref="AF79">IF(AD79="","",SUMPRODUCT(IF(LEFT($AD$1:AD79,2)="JS",1,0)))</f>
        <v/>
      </c>
      <c r="AG79" t="b">
        <f t="shared" si="4"/>
        <v>1</v>
      </c>
      <c r="AH79" t="str">
        <f t="shared" si="5"/>
        <v/>
      </c>
      <c r="AI79" t="str">
        <f>IF(AH79="","",MAX($AF$1:$AF79))</f>
        <v/>
      </c>
      <c r="AJ79" t="str">
        <f t="shared" si="6"/>
        <v/>
      </c>
      <c r="AK79" t="str">
        <f>IF(AJ79="","",MAX($AF$1:$AF79))</f>
        <v/>
      </c>
      <c r="AL79" t="str">
        <f t="shared" si="7"/>
        <v>GEOG</v>
      </c>
      <c r="AM79">
        <f>IF(AL79="","",MAX($AF$1:$AF79))</f>
        <v>2</v>
      </c>
    </row>
    <row r="80" spans="1:39" ht="13.5" customHeight="1" x14ac:dyDescent="0.3">
      <c r="A80" s="8" t="s">
        <v>220</v>
      </c>
      <c r="B80" s="9"/>
      <c r="C80" s="10">
        <v>5</v>
      </c>
      <c r="D80" s="11"/>
      <c r="E80" s="2"/>
      <c r="AB80" t="str" cm="1">
        <f t="array" ref="AB80:AC80">_xlfn._xlws.FILTER(A80:Z80,A80:Z80&lt;&gt;"","")</f>
        <v>HMSC</v>
      </c>
      <c r="AC80">
        <v>5</v>
      </c>
      <c r="AD80" t="str">
        <v/>
      </c>
      <c r="AE80" t="str">
        <v/>
      </c>
      <c r="AF80" t="str" cm="1">
        <f t="array" ref="AF80">IF(AD80="","",SUMPRODUCT(IF(LEFT($AD$1:AD80,2)="JS",1,0)))</f>
        <v/>
      </c>
      <c r="AG80" t="b">
        <f t="shared" si="4"/>
        <v>1</v>
      </c>
      <c r="AH80" t="str">
        <f t="shared" si="5"/>
        <v/>
      </c>
      <c r="AI80" t="str">
        <f>IF(AH80="","",MAX($AF$1:$AF80))</f>
        <v/>
      </c>
      <c r="AJ80" t="str">
        <f t="shared" si="6"/>
        <v/>
      </c>
      <c r="AK80" t="str">
        <f>IF(AJ80="","",MAX($AF$1:$AF80))</f>
        <v/>
      </c>
      <c r="AL80" t="str">
        <f t="shared" si="7"/>
        <v>HMSC</v>
      </c>
      <c r="AM80">
        <f>IF(AL80="","",MAX($AF$1:$AF80))</f>
        <v>2</v>
      </c>
    </row>
    <row r="81" spans="1:39" ht="13.5" customHeight="1" x14ac:dyDescent="0.3">
      <c r="A81" s="8" t="s">
        <v>221</v>
      </c>
      <c r="B81" s="9"/>
      <c r="C81" s="10">
        <v>5</v>
      </c>
      <c r="D81" s="11"/>
      <c r="E81" s="2"/>
      <c r="AB81" t="str" cm="1">
        <f t="array" ref="AB81:AC81">_xlfn._xlws.FILTER(A81:Z81,A81:Z81&lt;&gt;"","")</f>
        <v>HIST</v>
      </c>
      <c r="AC81">
        <v>5</v>
      </c>
      <c r="AD81" t="str">
        <v/>
      </c>
      <c r="AE81" t="str">
        <v/>
      </c>
      <c r="AF81" t="str" cm="1">
        <f t="array" ref="AF81">IF(AD81="","",SUMPRODUCT(IF(LEFT($AD$1:AD81,2)="JS",1,0)))</f>
        <v/>
      </c>
      <c r="AG81" t="b">
        <f t="shared" si="4"/>
        <v>1</v>
      </c>
      <c r="AH81" t="str">
        <f t="shared" si="5"/>
        <v/>
      </c>
      <c r="AI81" t="str">
        <f>IF(AH81="","",MAX($AF$1:$AF81))</f>
        <v/>
      </c>
      <c r="AJ81" t="str">
        <f t="shared" si="6"/>
        <v/>
      </c>
      <c r="AK81" t="str">
        <f>IF(AJ81="","",MAX($AF$1:$AF81))</f>
        <v/>
      </c>
      <c r="AL81" t="str">
        <f t="shared" si="7"/>
        <v>HIST</v>
      </c>
      <c r="AM81">
        <f>IF(AL81="","",MAX($AF$1:$AF81))</f>
        <v>2</v>
      </c>
    </row>
    <row r="82" spans="1:39" ht="13.5" customHeight="1" x14ac:dyDescent="0.3">
      <c r="A82" s="8" t="s">
        <v>222</v>
      </c>
      <c r="B82" s="9"/>
      <c r="C82" s="10">
        <v>7</v>
      </c>
      <c r="D82" s="11"/>
      <c r="E82" s="2"/>
      <c r="AB82" t="str" cm="1">
        <f t="array" ref="AB82:AC82">_xlfn._xlws.FILTER(A82:Z82,A82:Z82&lt;&gt;"","")</f>
        <v>ICT</v>
      </c>
      <c r="AC82">
        <v>7</v>
      </c>
      <c r="AD82" t="str">
        <v/>
      </c>
      <c r="AE82" t="str">
        <v/>
      </c>
      <c r="AF82" t="str" cm="1">
        <f t="array" ref="AF82">IF(AD82="","",SUMPRODUCT(IF(LEFT($AD$1:AD82,2)="JS",1,0)))</f>
        <v/>
      </c>
      <c r="AG82" t="b">
        <f t="shared" si="4"/>
        <v>1</v>
      </c>
      <c r="AH82" t="str">
        <f t="shared" si="5"/>
        <v/>
      </c>
      <c r="AI82" t="str">
        <f>IF(AH82="","",MAX($AF$1:$AF82))</f>
        <v/>
      </c>
      <c r="AJ82" t="str">
        <f t="shared" si="6"/>
        <v>ICT</v>
      </c>
      <c r="AK82">
        <f>IF(AJ82="","",MAX($AF$1:$AF82))</f>
        <v>2</v>
      </c>
      <c r="AL82" t="str">
        <f t="shared" si="7"/>
        <v/>
      </c>
      <c r="AM82" t="str">
        <f>IF(AL82="","",MAX($AF$1:$AF82))</f>
        <v/>
      </c>
    </row>
    <row r="83" spans="1:39" ht="13.5" customHeight="1" x14ac:dyDescent="0.3">
      <c r="A83" s="8" t="s">
        <v>13</v>
      </c>
      <c r="B83" s="9"/>
      <c r="C83" s="10">
        <v>5</v>
      </c>
      <c r="D83" s="11"/>
      <c r="E83" s="2"/>
      <c r="AB83" t="str" cm="1">
        <f t="array" ref="AB83:AC83">_xlfn._xlws.FILTER(A83:Z83,A83:Z83&lt;&gt;"","")</f>
        <v>Integrated Science</v>
      </c>
      <c r="AC83">
        <v>5</v>
      </c>
      <c r="AD83" t="str">
        <v/>
      </c>
      <c r="AE83" t="str">
        <v/>
      </c>
      <c r="AF83" t="str" cm="1">
        <f t="array" ref="AF83">IF(AD83="","",SUMPRODUCT(IF(LEFT($AD$1:AD83,2)="JS",1,0)))</f>
        <v/>
      </c>
      <c r="AG83" t="str">
        <f t="shared" si="4"/>
        <v/>
      </c>
      <c r="AH83" t="str">
        <f t="shared" si="5"/>
        <v/>
      </c>
      <c r="AI83" t="str">
        <f>IF(AH83="","",MAX($AF$1:$AF83))</f>
        <v/>
      </c>
      <c r="AJ83" t="str">
        <f t="shared" si="6"/>
        <v/>
      </c>
      <c r="AK83" t="str">
        <f>IF(AJ83="","",MAX($AF$1:$AF83))</f>
        <v/>
      </c>
      <c r="AL83" t="str">
        <f t="shared" si="7"/>
        <v/>
      </c>
      <c r="AM83" t="str">
        <f>IF(AL83="","",MAX($AF$1:$AF83))</f>
        <v/>
      </c>
    </row>
    <row r="84" spans="1:39" ht="13.5" customHeight="1" x14ac:dyDescent="0.3">
      <c r="A84" s="8" t="s">
        <v>223</v>
      </c>
      <c r="B84" s="9"/>
      <c r="C84" s="10">
        <v>7</v>
      </c>
      <c r="D84" s="11"/>
      <c r="E84" s="2"/>
      <c r="AB84" t="str" cm="1">
        <f t="array" ref="AB84:AC84">_xlfn._xlws.FILTER(A84:Z84,A84:Z84&lt;&gt;"","")</f>
        <v>通</v>
      </c>
      <c r="AC84">
        <v>7</v>
      </c>
      <c r="AD84" t="str">
        <v/>
      </c>
      <c r="AE84" t="str">
        <v/>
      </c>
      <c r="AF84" t="str" cm="1">
        <f t="array" ref="AF84">IF(AD84="","",SUMPRODUCT(IF(LEFT($AD$1:AD84,2)="JS",1,0)))</f>
        <v/>
      </c>
      <c r="AG84" t="b">
        <f t="shared" si="4"/>
        <v>1</v>
      </c>
      <c r="AH84" t="str">
        <f t="shared" si="5"/>
        <v/>
      </c>
      <c r="AI84" t="str">
        <f>IF(AH84="","",MAX($AF$1:$AF84))</f>
        <v/>
      </c>
      <c r="AJ84" t="str">
        <f t="shared" si="6"/>
        <v>通</v>
      </c>
      <c r="AK84">
        <f>IF(AJ84="","",MAX($AF$1:$AF84))</f>
        <v>2</v>
      </c>
      <c r="AL84" t="str">
        <f t="shared" si="7"/>
        <v/>
      </c>
      <c r="AM84" t="str">
        <f>IF(AL84="","",MAX($AF$1:$AF84))</f>
        <v/>
      </c>
    </row>
    <row r="85" spans="1:39" ht="13.5" customHeight="1" x14ac:dyDescent="0.3">
      <c r="A85" s="8" t="s">
        <v>14</v>
      </c>
      <c r="B85" s="9"/>
      <c r="C85" s="10">
        <v>5</v>
      </c>
      <c r="D85" s="11"/>
      <c r="E85" s="2"/>
      <c r="AB85" t="str" cm="1">
        <f t="array" ref="AB85:AC85">_xlfn._xlws.FILTER(A85:Z85,A85:Z85&lt;&gt;"","")</f>
        <v>Literature in English</v>
      </c>
      <c r="AC85">
        <v>5</v>
      </c>
      <c r="AD85" t="str">
        <v/>
      </c>
      <c r="AE85" t="str">
        <v/>
      </c>
      <c r="AF85" t="str" cm="1">
        <f t="array" ref="AF85">IF(AD85="","",SUMPRODUCT(IF(LEFT($AD$1:AD85,2)="JS",1,0)))</f>
        <v/>
      </c>
      <c r="AG85" t="str">
        <f t="shared" si="4"/>
        <v/>
      </c>
      <c r="AH85" t="str">
        <f t="shared" si="5"/>
        <v/>
      </c>
      <c r="AI85" t="str">
        <f>IF(AH85="","",MAX($AF$1:$AF85))</f>
        <v/>
      </c>
      <c r="AJ85" t="str">
        <f t="shared" si="6"/>
        <v/>
      </c>
      <c r="AK85" t="str">
        <f>IF(AJ85="","",MAX($AF$1:$AF85))</f>
        <v/>
      </c>
      <c r="AL85" t="str">
        <f t="shared" si="7"/>
        <v/>
      </c>
      <c r="AM85" t="str">
        <f>IF(AL85="","",MAX($AF$1:$AF85))</f>
        <v/>
      </c>
    </row>
    <row r="86" spans="1:39" ht="13.5" customHeight="1" x14ac:dyDescent="0.3">
      <c r="A86" s="8" t="s">
        <v>224</v>
      </c>
      <c r="B86" s="9"/>
      <c r="C86" s="10">
        <v>10</v>
      </c>
      <c r="D86" s="11"/>
      <c r="E86" s="2"/>
      <c r="AB86" t="str" cm="1">
        <f t="array" ref="AB86:AC86">_xlfn._xlws.FILTER(A86:Z86,A86:Z86&lt;&gt;"","")</f>
        <v>MATH</v>
      </c>
      <c r="AC86">
        <v>10</v>
      </c>
      <c r="AD86" t="str">
        <v/>
      </c>
      <c r="AE86" t="str">
        <v/>
      </c>
      <c r="AF86" t="str" cm="1">
        <f t="array" ref="AF86">IF(AD86="","",SUMPRODUCT(IF(LEFT($AD$1:AD86,2)="JS",1,0)))</f>
        <v/>
      </c>
      <c r="AG86" t="b">
        <f t="shared" si="4"/>
        <v>1</v>
      </c>
      <c r="AH86" t="str">
        <f t="shared" si="5"/>
        <v>MATH</v>
      </c>
      <c r="AI86">
        <f>IF(AH86="","",MAX($AF$1:$AF86))</f>
        <v>2</v>
      </c>
      <c r="AJ86" t="str">
        <f t="shared" si="6"/>
        <v/>
      </c>
      <c r="AK86" t="str">
        <f>IF(AJ86="","",MAX($AF$1:$AF86))</f>
        <v/>
      </c>
      <c r="AL86" t="str">
        <f t="shared" si="7"/>
        <v/>
      </c>
      <c r="AM86" t="str">
        <f>IF(AL86="","",MAX($AF$1:$AF86))</f>
        <v/>
      </c>
    </row>
    <row r="87" spans="1:39" ht="13.5" customHeight="1" x14ac:dyDescent="0.3">
      <c r="A87" s="8" t="s">
        <v>225</v>
      </c>
      <c r="B87" s="9"/>
      <c r="C87" s="10">
        <v>7</v>
      </c>
      <c r="D87" s="11"/>
      <c r="E87" s="2"/>
      <c r="AB87" t="str" cm="1">
        <f t="array" ref="AB87:AC87">_xlfn._xlws.FILTER(A87:Z87,A87:Z87&lt;&gt;"","")</f>
        <v>M2</v>
      </c>
      <c r="AC87">
        <v>7</v>
      </c>
      <c r="AD87" t="str">
        <v/>
      </c>
      <c r="AE87" t="str">
        <v/>
      </c>
      <c r="AF87" t="str" cm="1">
        <f t="array" ref="AF87">IF(AD87="","",SUMPRODUCT(IF(LEFT($AD$1:AD87,2)="JS",1,0)))</f>
        <v/>
      </c>
      <c r="AG87" t="b">
        <f t="shared" si="4"/>
        <v>1</v>
      </c>
      <c r="AH87" t="str">
        <f t="shared" si="5"/>
        <v/>
      </c>
      <c r="AI87" t="str">
        <f>IF(AH87="","",MAX($AF$1:$AF87))</f>
        <v/>
      </c>
      <c r="AJ87" t="str">
        <f t="shared" si="6"/>
        <v>M2</v>
      </c>
      <c r="AK87">
        <f>IF(AJ87="","",MAX($AF$1:$AF87))</f>
        <v>2</v>
      </c>
      <c r="AL87" t="str">
        <f t="shared" si="7"/>
        <v/>
      </c>
      <c r="AM87" t="str">
        <f>IF(AL87="","",MAX($AF$1:$AF87))</f>
        <v/>
      </c>
    </row>
    <row r="88" spans="1:39" ht="13.5" customHeight="1" x14ac:dyDescent="0.3">
      <c r="A88" s="8" t="s">
        <v>15</v>
      </c>
      <c r="B88" s="9"/>
      <c r="C88" s="10">
        <v>7</v>
      </c>
      <c r="D88" s="11"/>
      <c r="E88" s="2"/>
      <c r="AB88" t="str" cm="1">
        <f t="array" ref="AB88:AC88">_xlfn._xlws.FILTER(A88:Z88,A88:Z88&lt;&gt;"","")</f>
        <v>Mathematics (Extended part - Calculus and Statistics)</v>
      </c>
      <c r="AC88">
        <v>7</v>
      </c>
      <c r="AD88" t="str">
        <v/>
      </c>
      <c r="AE88" t="str">
        <v/>
      </c>
      <c r="AF88" t="str" cm="1">
        <f t="array" ref="AF88">IF(AD88="","",SUMPRODUCT(IF(LEFT($AD$1:AD88,2)="JS",1,0)))</f>
        <v/>
      </c>
      <c r="AG88" t="str">
        <f t="shared" si="4"/>
        <v/>
      </c>
      <c r="AH88" t="str">
        <f t="shared" si="5"/>
        <v/>
      </c>
      <c r="AI88" t="str">
        <f>IF(AH88="","",MAX($AF$1:$AF88))</f>
        <v/>
      </c>
      <c r="AJ88" t="str">
        <f t="shared" si="6"/>
        <v/>
      </c>
      <c r="AK88" t="str">
        <f>IF(AJ88="","",MAX($AF$1:$AF88))</f>
        <v/>
      </c>
      <c r="AL88" t="str">
        <f t="shared" si="7"/>
        <v/>
      </c>
      <c r="AM88" t="str">
        <f>IF(AL88="","",MAX($AF$1:$AF88))</f>
        <v/>
      </c>
    </row>
    <row r="89" spans="1:39" ht="13.5" customHeight="1" x14ac:dyDescent="0.3">
      <c r="A89" s="8" t="s">
        <v>16</v>
      </c>
      <c r="B89" s="9"/>
      <c r="C89" s="10">
        <v>5</v>
      </c>
      <c r="D89" s="11"/>
      <c r="E89" s="2"/>
      <c r="AB89" t="str" cm="1">
        <f t="array" ref="AB89:AC89">_xlfn._xlws.FILTER(A89:Z89,A89:Z89&lt;&gt;"","")</f>
        <v>Music</v>
      </c>
      <c r="AC89">
        <v>5</v>
      </c>
      <c r="AD89" t="str">
        <v/>
      </c>
      <c r="AE89" t="str">
        <v/>
      </c>
      <c r="AF89" t="str" cm="1">
        <f t="array" ref="AF89">IF(AD89="","",SUMPRODUCT(IF(LEFT($AD$1:AD89,2)="JS",1,0)))</f>
        <v/>
      </c>
      <c r="AG89" t="str">
        <f t="shared" si="4"/>
        <v/>
      </c>
      <c r="AH89" t="str">
        <f t="shared" si="5"/>
        <v/>
      </c>
      <c r="AI89" t="str">
        <f>IF(AH89="","",MAX($AF$1:$AF89))</f>
        <v/>
      </c>
      <c r="AJ89" t="str">
        <f t="shared" si="6"/>
        <v/>
      </c>
      <c r="AK89" t="str">
        <f>IF(AJ89="","",MAX($AF$1:$AF89))</f>
        <v/>
      </c>
      <c r="AL89" t="str">
        <f t="shared" si="7"/>
        <v/>
      </c>
      <c r="AM89" t="str">
        <f>IF(AL89="","",MAX($AF$1:$AF89))</f>
        <v/>
      </c>
    </row>
    <row r="90" spans="1:39" ht="13.5" customHeight="1" x14ac:dyDescent="0.3">
      <c r="A90" s="8" t="s">
        <v>17</v>
      </c>
      <c r="B90" s="9"/>
      <c r="C90" s="10">
        <v>5</v>
      </c>
      <c r="D90" s="11"/>
      <c r="E90" s="2"/>
      <c r="AB90" t="str" cm="1">
        <f t="array" ref="AB90:AC90">_xlfn._xlws.FILTER(A90:Z90,A90:Z90&lt;&gt;"","")</f>
        <v>Physical Education</v>
      </c>
      <c r="AC90">
        <v>5</v>
      </c>
      <c r="AD90" t="str">
        <v/>
      </c>
      <c r="AE90" t="str">
        <v/>
      </c>
      <c r="AF90" t="str" cm="1">
        <f t="array" ref="AF90">IF(AD90="","",SUMPRODUCT(IF(LEFT($AD$1:AD90,2)="JS",1,0)))</f>
        <v/>
      </c>
      <c r="AG90" t="str">
        <f t="shared" si="4"/>
        <v/>
      </c>
      <c r="AH90" t="str">
        <f t="shared" si="5"/>
        <v/>
      </c>
      <c r="AI90" t="str">
        <f>IF(AH90="","",MAX($AF$1:$AF90))</f>
        <v/>
      </c>
      <c r="AJ90" t="str">
        <f t="shared" si="6"/>
        <v/>
      </c>
      <c r="AK90" t="str">
        <f>IF(AJ90="","",MAX($AF$1:$AF90))</f>
        <v/>
      </c>
      <c r="AL90" t="str">
        <f t="shared" si="7"/>
        <v/>
      </c>
      <c r="AM90" t="str">
        <f>IF(AL90="","",MAX($AF$1:$AF90))</f>
        <v/>
      </c>
    </row>
    <row r="91" spans="1:39" ht="13.5" customHeight="1" x14ac:dyDescent="0.3">
      <c r="A91" s="8" t="s">
        <v>226</v>
      </c>
      <c r="B91" s="9"/>
      <c r="C91" s="10">
        <v>7</v>
      </c>
      <c r="D91" s="11"/>
      <c r="E91" s="2"/>
      <c r="AB91" t="str" cm="1">
        <f t="array" ref="AB91:AC91">_xlfn._xlws.FILTER(A91:Z91,A91:Z91&lt;&gt;"","")</f>
        <v>PHY</v>
      </c>
      <c r="AC91">
        <v>7</v>
      </c>
      <c r="AD91" t="str">
        <v/>
      </c>
      <c r="AE91" t="str">
        <v/>
      </c>
      <c r="AF91" t="str" cm="1">
        <f t="array" ref="AF91">IF(AD91="","",SUMPRODUCT(IF(LEFT($AD$1:AD91,2)="JS",1,0)))</f>
        <v/>
      </c>
      <c r="AG91" t="b">
        <f t="shared" si="4"/>
        <v>1</v>
      </c>
      <c r="AH91" t="str">
        <f t="shared" si="5"/>
        <v/>
      </c>
      <c r="AI91" t="str">
        <f>IF(AH91="","",MAX($AF$1:$AF91))</f>
        <v/>
      </c>
      <c r="AJ91" t="str">
        <f t="shared" si="6"/>
        <v>PHY</v>
      </c>
      <c r="AK91">
        <f>IF(AJ91="","",MAX($AF$1:$AF91))</f>
        <v>2</v>
      </c>
      <c r="AL91" t="str">
        <f t="shared" si="7"/>
        <v/>
      </c>
      <c r="AM91" t="str">
        <f>IF(AL91="","",MAX($AF$1:$AF91))</f>
        <v/>
      </c>
    </row>
    <row r="92" spans="1:39" ht="13.5" customHeight="1" x14ac:dyDescent="0.3">
      <c r="A92" s="8" t="s">
        <v>18</v>
      </c>
      <c r="B92" s="9"/>
      <c r="C92" s="10">
        <v>5</v>
      </c>
      <c r="D92" s="11"/>
      <c r="E92" s="2"/>
      <c r="AB92" t="str" cm="1">
        <f t="array" ref="AB92:AC92">_xlfn._xlws.FILTER(A92:Z92,A92:Z92&lt;&gt;"","")</f>
        <v>Technology and Living (Fashion, Clothing and Textiles)</v>
      </c>
      <c r="AC92">
        <v>5</v>
      </c>
      <c r="AD92" t="str">
        <v/>
      </c>
      <c r="AE92" t="str">
        <v/>
      </c>
      <c r="AF92" t="str" cm="1">
        <f t="array" ref="AF92">IF(AD92="","",SUMPRODUCT(IF(LEFT($AD$1:AD92,2)="JS",1,0)))</f>
        <v/>
      </c>
      <c r="AG92" t="str">
        <f t="shared" si="4"/>
        <v/>
      </c>
      <c r="AH92" t="str">
        <f t="shared" si="5"/>
        <v/>
      </c>
      <c r="AI92" t="str">
        <f>IF(AH92="","",MAX($AF$1:$AF92))</f>
        <v/>
      </c>
      <c r="AJ92" t="str">
        <f t="shared" si="6"/>
        <v/>
      </c>
      <c r="AK92" t="str">
        <f>IF(AJ92="","",MAX($AF$1:$AF92))</f>
        <v/>
      </c>
      <c r="AL92" t="str">
        <f t="shared" si="7"/>
        <v/>
      </c>
      <c r="AM92" t="str">
        <f>IF(AL92="","",MAX($AF$1:$AF92))</f>
        <v/>
      </c>
    </row>
    <row r="93" spans="1:39" ht="13.5" customHeight="1" x14ac:dyDescent="0.3">
      <c r="A93" s="8" t="s">
        <v>19</v>
      </c>
      <c r="B93" s="9"/>
      <c r="C93" s="10">
        <v>5</v>
      </c>
      <c r="D93" s="11"/>
      <c r="E93" s="2"/>
      <c r="AB93" t="str" cm="1">
        <f t="array" ref="AB93:AC93">_xlfn._xlws.FILTER(A93:Z93,A93:Z93&lt;&gt;"","")</f>
        <v>Technology and Living (Food Science and Technology)</v>
      </c>
      <c r="AC93">
        <v>5</v>
      </c>
      <c r="AD93" t="str">
        <v/>
      </c>
      <c r="AE93" t="str">
        <v/>
      </c>
      <c r="AF93" t="str" cm="1">
        <f t="array" ref="AF93">IF(AD93="","",SUMPRODUCT(IF(LEFT($AD$1:AD93,2)="JS",1,0)))</f>
        <v/>
      </c>
      <c r="AG93" t="str">
        <f t="shared" si="4"/>
        <v/>
      </c>
      <c r="AH93" t="str">
        <f t="shared" si="5"/>
        <v/>
      </c>
      <c r="AI93" t="str">
        <f>IF(AH93="","",MAX($AF$1:$AF93))</f>
        <v/>
      </c>
      <c r="AJ93" t="str">
        <f t="shared" si="6"/>
        <v/>
      </c>
      <c r="AK93" t="str">
        <f>IF(AJ93="","",MAX($AF$1:$AF93))</f>
        <v/>
      </c>
      <c r="AL93" t="str">
        <f t="shared" si="7"/>
        <v/>
      </c>
      <c r="AM93" t="str">
        <f>IF(AL93="","",MAX($AF$1:$AF93))</f>
        <v/>
      </c>
    </row>
    <row r="94" spans="1:39" ht="13.5" customHeight="1" x14ac:dyDescent="0.3">
      <c r="A94" s="8" t="s">
        <v>20</v>
      </c>
      <c r="B94" s="9"/>
      <c r="C94" s="10">
        <v>5</v>
      </c>
      <c r="D94" s="11"/>
      <c r="E94" s="2"/>
      <c r="AB94" t="str" cm="1">
        <f t="array" ref="AB94:AC94">_xlfn._xlws.FILTER(A94:Z94,A94:Z94&lt;&gt;"","")</f>
        <v>Tourism and Hospitality Studies</v>
      </c>
      <c r="AC94">
        <v>5</v>
      </c>
      <c r="AD94" t="str">
        <v/>
      </c>
      <c r="AE94" t="str">
        <v/>
      </c>
      <c r="AF94" t="str" cm="1">
        <f t="array" ref="AF94">IF(AD94="","",SUMPRODUCT(IF(LEFT($AD$1:AD94,2)="JS",1,0)))</f>
        <v/>
      </c>
      <c r="AG94" t="str">
        <f t="shared" si="4"/>
        <v/>
      </c>
      <c r="AH94" t="str">
        <f t="shared" si="5"/>
        <v/>
      </c>
      <c r="AI94" t="str">
        <f>IF(AH94="","",MAX($AF$1:$AF94))</f>
        <v/>
      </c>
      <c r="AJ94" t="str">
        <f t="shared" si="6"/>
        <v/>
      </c>
      <c r="AK94" t="str">
        <f>IF(AJ94="","",MAX($AF$1:$AF94))</f>
        <v/>
      </c>
      <c r="AL94" t="str">
        <f t="shared" si="7"/>
        <v/>
      </c>
      <c r="AM94" t="str">
        <f>IF(AL94="","",MAX($AF$1:$AF94))</f>
        <v/>
      </c>
    </row>
    <row r="95" spans="1:39" ht="13.5" customHeight="1" x14ac:dyDescent="0.3">
      <c r="A95" s="8" t="s">
        <v>210</v>
      </c>
      <c r="B95" s="9"/>
      <c r="C95" s="10">
        <v>5</v>
      </c>
      <c r="D95" s="11"/>
      <c r="E95" s="2"/>
      <c r="AB95" t="str" cm="1">
        <f t="array" ref="AB95:AC95">_xlfn._xlws.FILTER(A95:Z95,A95:Z95&lt;&gt;"","")</f>
        <v>VA</v>
      </c>
      <c r="AC95">
        <v>5</v>
      </c>
      <c r="AD95" t="str">
        <v/>
      </c>
      <c r="AE95" t="str">
        <v/>
      </c>
      <c r="AF95" t="str" cm="1">
        <f t="array" ref="AF95">IF(AD95="","",SUMPRODUCT(IF(LEFT($AD$1:AD95,2)="JS",1,0)))</f>
        <v/>
      </c>
      <c r="AG95" t="b">
        <f t="shared" si="4"/>
        <v>1</v>
      </c>
      <c r="AH95" t="str">
        <f t="shared" si="5"/>
        <v/>
      </c>
      <c r="AI95" t="str">
        <f>IF(AH95="","",MAX($AF$1:$AF95))</f>
        <v/>
      </c>
      <c r="AJ95" t="str">
        <f t="shared" si="6"/>
        <v/>
      </c>
      <c r="AK95" t="str">
        <f>IF(AJ95="","",MAX($AF$1:$AF95))</f>
        <v/>
      </c>
      <c r="AL95" t="str">
        <f t="shared" si="7"/>
        <v>VA</v>
      </c>
      <c r="AM95">
        <f>IF(AL95="","",MAX($AF$1:$AF95))</f>
        <v>2</v>
      </c>
    </row>
    <row r="96" spans="1:39" ht="26.25" customHeight="1" x14ac:dyDescent="0.3">
      <c r="A96" s="29" t="s">
        <v>34</v>
      </c>
      <c r="B96" s="29"/>
      <c r="C96" s="29"/>
      <c r="D96" s="29"/>
      <c r="E96" s="1"/>
      <c r="AB96" t="str" cm="1">
        <f t="array" ref="AB96">_xlfn._xlws.FILTER(A96:Z96,A96:Z96&lt;&gt;"","")</f>
        <v>Category C: Other Language Subjects</v>
      </c>
      <c r="AD96" t="str">
        <v/>
      </c>
      <c r="AE96" t="str">
        <v/>
      </c>
      <c r="AF96" t="str" cm="1">
        <f t="array" ref="AF96">IF(AD96="","",SUMPRODUCT(IF(LEFT($AD$1:AD96,2)="JS",1,0)))</f>
        <v/>
      </c>
      <c r="AG96" t="str">
        <f t="shared" si="4"/>
        <v/>
      </c>
      <c r="AH96" t="str">
        <f t="shared" si="5"/>
        <v/>
      </c>
      <c r="AI96" t="str">
        <f>IF(AH96="","",MAX($AF$1:$AF96))</f>
        <v/>
      </c>
      <c r="AJ96" t="str">
        <f t="shared" si="6"/>
        <v/>
      </c>
      <c r="AK96" t="str">
        <f>IF(AJ96="","",MAX($AF$1:$AF96))</f>
        <v/>
      </c>
      <c r="AL96" t="str">
        <f t="shared" si="7"/>
        <v/>
      </c>
      <c r="AM96" t="str">
        <f>IF(AL96="","",MAX($AF$1:$AF96))</f>
        <v/>
      </c>
    </row>
    <row r="97" spans="1:39" ht="13.5" customHeight="1" x14ac:dyDescent="0.3">
      <c r="A97" s="14" t="s">
        <v>3</v>
      </c>
      <c r="B97" s="15"/>
      <c r="C97" s="16" t="s">
        <v>4</v>
      </c>
      <c r="D97" s="17"/>
      <c r="E97" s="2"/>
      <c r="AB97" t="str" cm="1">
        <f t="array" ref="AB97:AC97">_xlfn._xlws.FILTER(A97:Z97,A97:Z97&lt;&gt;"","")</f>
        <v>Subject Name</v>
      </c>
      <c r="AC97" t="str">
        <v>Subject Weighting for 2023/24 Admission Exercise *</v>
      </c>
      <c r="AD97" t="str">
        <v/>
      </c>
      <c r="AE97" t="str">
        <v/>
      </c>
      <c r="AF97" t="str" cm="1">
        <f t="array" ref="AF97">IF(AD97="","",SUMPRODUCT(IF(LEFT($AD$1:AD97,2)="JS",1,0)))</f>
        <v/>
      </c>
      <c r="AG97" t="str">
        <f t="shared" si="4"/>
        <v/>
      </c>
      <c r="AH97" t="str">
        <f t="shared" si="5"/>
        <v/>
      </c>
      <c r="AI97" t="str">
        <f>IF(AH97="","",MAX($AF$1:$AF97))</f>
        <v/>
      </c>
      <c r="AJ97" t="str">
        <f t="shared" si="6"/>
        <v/>
      </c>
      <c r="AK97" t="str">
        <f>IF(AJ97="","",MAX($AF$1:$AF97))</f>
        <v/>
      </c>
      <c r="AL97" t="str">
        <f t="shared" si="7"/>
        <v/>
      </c>
      <c r="AM97" t="str">
        <f>IF(AL97="","",MAX($AF$1:$AF97))</f>
        <v/>
      </c>
    </row>
    <row r="98" spans="1:39" ht="13.5" customHeight="1" x14ac:dyDescent="0.3">
      <c r="A98" s="8" t="s">
        <v>35</v>
      </c>
      <c r="B98" s="9"/>
      <c r="C98" s="10">
        <v>5</v>
      </c>
      <c r="D98" s="11"/>
      <c r="E98" s="2"/>
      <c r="AB98" t="str" cm="1">
        <f t="array" ref="AB98:AC98">_xlfn._xlws.FILTER(A98:Z98,A98:Z98&lt;&gt;"","")</f>
        <v>French</v>
      </c>
      <c r="AC98">
        <v>5</v>
      </c>
      <c r="AD98" t="str">
        <v/>
      </c>
      <c r="AE98" t="str">
        <v/>
      </c>
      <c r="AF98" t="str" cm="1">
        <f t="array" ref="AF98">IF(AD98="","",SUMPRODUCT(IF(LEFT($AD$1:AD98,2)="JS",1,0)))</f>
        <v/>
      </c>
      <c r="AG98" t="str">
        <f t="shared" si="4"/>
        <v/>
      </c>
      <c r="AH98" t="str">
        <f t="shared" si="5"/>
        <v/>
      </c>
      <c r="AI98" t="str">
        <f>IF(AH98="","",MAX($AF$1:$AF98))</f>
        <v/>
      </c>
      <c r="AJ98" t="str">
        <f t="shared" si="6"/>
        <v/>
      </c>
      <c r="AK98" t="str">
        <f>IF(AJ98="","",MAX($AF$1:$AF98))</f>
        <v/>
      </c>
      <c r="AL98" t="str">
        <f t="shared" si="7"/>
        <v/>
      </c>
      <c r="AM98" t="str">
        <f>IF(AL98="","",MAX($AF$1:$AF98))</f>
        <v/>
      </c>
    </row>
    <row r="99" spans="1:39" ht="13.5" customHeight="1" x14ac:dyDescent="0.3">
      <c r="A99" s="8" t="s">
        <v>36</v>
      </c>
      <c r="B99" s="9"/>
      <c r="C99" s="10">
        <v>5</v>
      </c>
      <c r="D99" s="11"/>
      <c r="E99" s="2"/>
      <c r="AB99" t="str" cm="1">
        <f t="array" ref="AB99:AC99">_xlfn._xlws.FILTER(A99:Z99,A99:Z99&lt;&gt;"","")</f>
        <v>German</v>
      </c>
      <c r="AC99">
        <v>5</v>
      </c>
      <c r="AD99" t="str">
        <v/>
      </c>
      <c r="AE99" t="str">
        <v/>
      </c>
      <c r="AF99" t="str" cm="1">
        <f t="array" ref="AF99">IF(AD99="","",SUMPRODUCT(IF(LEFT($AD$1:AD99,2)="JS",1,0)))</f>
        <v/>
      </c>
      <c r="AG99" t="str">
        <f t="shared" si="4"/>
        <v/>
      </c>
      <c r="AH99" t="str">
        <f t="shared" si="5"/>
        <v/>
      </c>
      <c r="AI99" t="str">
        <f>IF(AH99="","",MAX($AF$1:$AF99))</f>
        <v/>
      </c>
      <c r="AJ99" t="str">
        <f t="shared" si="6"/>
        <v/>
      </c>
      <c r="AK99" t="str">
        <f>IF(AJ99="","",MAX($AF$1:$AF99))</f>
        <v/>
      </c>
      <c r="AL99" t="str">
        <f t="shared" si="7"/>
        <v/>
      </c>
      <c r="AM99" t="str">
        <f>IF(AL99="","",MAX($AF$1:$AF99))</f>
        <v/>
      </c>
    </row>
    <row r="100" spans="1:39" ht="13.5" customHeight="1" x14ac:dyDescent="0.3">
      <c r="A100" s="8" t="s">
        <v>37</v>
      </c>
      <c r="B100" s="9"/>
      <c r="C100" s="10">
        <v>5</v>
      </c>
      <c r="D100" s="11"/>
      <c r="E100" s="2"/>
      <c r="AB100" t="str" cm="1">
        <f t="array" ref="AB100:AC100">_xlfn._xlws.FILTER(A100:Z100,A100:Z100&lt;&gt;"","")</f>
        <v>Hindi</v>
      </c>
      <c r="AC100">
        <v>5</v>
      </c>
      <c r="AD100" t="str">
        <v/>
      </c>
      <c r="AE100" t="str">
        <v/>
      </c>
      <c r="AF100" t="str" cm="1">
        <f t="array" ref="AF100">IF(AD100="","",SUMPRODUCT(IF(LEFT($AD$1:AD100,2)="JS",1,0)))</f>
        <v/>
      </c>
      <c r="AG100" t="str">
        <f t="shared" si="4"/>
        <v/>
      </c>
      <c r="AH100" t="str">
        <f t="shared" si="5"/>
        <v/>
      </c>
      <c r="AI100" t="str">
        <f>IF(AH100="","",MAX($AF$1:$AF100))</f>
        <v/>
      </c>
      <c r="AJ100" t="str">
        <f t="shared" si="6"/>
        <v/>
      </c>
      <c r="AK100" t="str">
        <f>IF(AJ100="","",MAX($AF$1:$AF100))</f>
        <v/>
      </c>
      <c r="AL100" t="str">
        <f t="shared" si="7"/>
        <v/>
      </c>
      <c r="AM100" t="str">
        <f>IF(AL100="","",MAX($AF$1:$AF100))</f>
        <v/>
      </c>
    </row>
    <row r="101" spans="1:39" ht="13.5" customHeight="1" x14ac:dyDescent="0.3">
      <c r="A101" s="8" t="s">
        <v>38</v>
      </c>
      <c r="B101" s="9"/>
      <c r="C101" s="10">
        <v>5</v>
      </c>
      <c r="D101" s="11"/>
      <c r="E101" s="2"/>
      <c r="AB101" t="str" cm="1">
        <f t="array" ref="AB101:AC101">_xlfn._xlws.FILTER(A101:Z101,A101:Z101&lt;&gt;"","")</f>
        <v>Japanese</v>
      </c>
      <c r="AC101">
        <v>5</v>
      </c>
      <c r="AD101" t="str">
        <v/>
      </c>
      <c r="AE101" t="str">
        <v/>
      </c>
      <c r="AF101" t="str" cm="1">
        <f t="array" ref="AF101">IF(AD101="","",SUMPRODUCT(IF(LEFT($AD$1:AD101,2)="JS",1,0)))</f>
        <v/>
      </c>
      <c r="AG101" t="str">
        <f t="shared" si="4"/>
        <v/>
      </c>
      <c r="AH101" t="str">
        <f t="shared" si="5"/>
        <v/>
      </c>
      <c r="AI101" t="str">
        <f>IF(AH101="","",MAX($AF$1:$AF101))</f>
        <v/>
      </c>
      <c r="AJ101" t="str">
        <f t="shared" si="6"/>
        <v/>
      </c>
      <c r="AK101" t="str">
        <f>IF(AJ101="","",MAX($AF$1:$AF101))</f>
        <v/>
      </c>
      <c r="AL101" t="str">
        <f t="shared" si="7"/>
        <v/>
      </c>
      <c r="AM101" t="str">
        <f>IF(AL101="","",MAX($AF$1:$AF101))</f>
        <v/>
      </c>
    </row>
    <row r="102" spans="1:39" ht="13.5" customHeight="1" x14ac:dyDescent="0.3">
      <c r="A102" s="8" t="s">
        <v>39</v>
      </c>
      <c r="B102" s="9"/>
      <c r="C102" s="10">
        <v>5</v>
      </c>
      <c r="D102" s="11"/>
      <c r="E102" s="2"/>
      <c r="AB102" t="str" cm="1">
        <f t="array" ref="AB102:AC102">_xlfn._xlws.FILTER(A102:Z102,A102:Z102&lt;&gt;"","")</f>
        <v>Spanish</v>
      </c>
      <c r="AC102">
        <v>5</v>
      </c>
      <c r="AD102" t="str">
        <v/>
      </c>
      <c r="AE102" t="str">
        <v/>
      </c>
      <c r="AF102" t="str" cm="1">
        <f t="array" ref="AF102">IF(AD102="","",SUMPRODUCT(IF(LEFT($AD$1:AD102,2)="JS",1,0)))</f>
        <v/>
      </c>
      <c r="AG102" t="str">
        <f t="shared" si="4"/>
        <v/>
      </c>
      <c r="AH102" t="str">
        <f t="shared" si="5"/>
        <v/>
      </c>
      <c r="AI102" t="str">
        <f>IF(AH102="","",MAX($AF$1:$AF102))</f>
        <v/>
      </c>
      <c r="AJ102" t="str">
        <f t="shared" si="6"/>
        <v/>
      </c>
      <c r="AK102" t="str">
        <f>IF(AJ102="","",MAX($AF$1:$AF102))</f>
        <v/>
      </c>
      <c r="AL102" t="str">
        <f t="shared" si="7"/>
        <v/>
      </c>
      <c r="AM102" t="str">
        <f>IF(AL102="","",MAX($AF$1:$AF102))</f>
        <v/>
      </c>
    </row>
    <row r="103" spans="1:39" ht="13.5" customHeight="1" x14ac:dyDescent="0.3">
      <c r="A103" s="8" t="s">
        <v>40</v>
      </c>
      <c r="B103" s="9"/>
      <c r="C103" s="10">
        <v>5</v>
      </c>
      <c r="D103" s="11"/>
      <c r="E103" s="2"/>
      <c r="AB103" t="str" cm="1">
        <f t="array" ref="AB103:AC103">_xlfn._xlws.FILTER(A103:Z103,A103:Z103&lt;&gt;"","")</f>
        <v>Urdu</v>
      </c>
      <c r="AC103">
        <v>5</v>
      </c>
      <c r="AD103" t="str">
        <v/>
      </c>
      <c r="AE103" t="str">
        <v/>
      </c>
      <c r="AF103" t="str" cm="1">
        <f t="array" ref="AF103">IF(AD103="","",SUMPRODUCT(IF(LEFT($AD$1:AD103,2)="JS",1,0)))</f>
        <v/>
      </c>
      <c r="AG103" t="str">
        <f t="shared" si="4"/>
        <v/>
      </c>
      <c r="AH103" t="str">
        <f t="shared" si="5"/>
        <v/>
      </c>
      <c r="AI103" t="str">
        <f>IF(AH103="","",MAX($AF$1:$AF103))</f>
        <v/>
      </c>
      <c r="AJ103" t="str">
        <f t="shared" si="6"/>
        <v/>
      </c>
      <c r="AK103" t="str">
        <f>IF(AJ103="","",MAX($AF$1:$AF103))</f>
        <v/>
      </c>
      <c r="AL103" t="str">
        <f t="shared" si="7"/>
        <v/>
      </c>
      <c r="AM103" t="str">
        <f>IF(AL103="","",MAX($AF$1:$AF103))</f>
        <v/>
      </c>
    </row>
    <row r="104" spans="1:39" ht="26.25" customHeight="1" x14ac:dyDescent="0.3">
      <c r="A104" s="26" t="s">
        <v>41</v>
      </c>
      <c r="B104" s="26"/>
      <c r="C104" s="26"/>
      <c r="D104" s="26"/>
      <c r="E104" s="26"/>
      <c r="AB104" t="str" cm="1">
        <f t="array" ref="AB104">_xlfn._xlws.FILTER(A104:Z104,A104:Z104&lt;&gt;"","")</f>
        <v>* Subject Weighting may be adjusted in the next admissions exercise</v>
      </c>
      <c r="AD104" t="str">
        <v/>
      </c>
      <c r="AE104" t="str">
        <v/>
      </c>
      <c r="AF104" t="str" cm="1">
        <f t="array" ref="AF104">IF(AD104="","",SUMPRODUCT(IF(LEFT($AD$1:AD104,2)="JS",1,0)))</f>
        <v/>
      </c>
      <c r="AG104" t="str">
        <f t="shared" si="4"/>
        <v/>
      </c>
      <c r="AH104" t="str">
        <f t="shared" si="5"/>
        <v/>
      </c>
      <c r="AI104" t="str">
        <f>IF(AH104="","",MAX($AF$1:$AF104))</f>
        <v/>
      </c>
      <c r="AJ104" t="str">
        <f t="shared" si="6"/>
        <v/>
      </c>
      <c r="AK104" t="str">
        <f>IF(AJ104="","",MAX($AF$1:$AF104))</f>
        <v/>
      </c>
      <c r="AL104" t="str">
        <f t="shared" si="7"/>
        <v/>
      </c>
      <c r="AM104" t="str">
        <f>IF(AL104="","",MAX($AF$1:$AF104))</f>
        <v/>
      </c>
    </row>
    <row r="105" spans="1:39" ht="15" customHeight="1" x14ac:dyDescent="0.3">
      <c r="A105" s="18" t="s">
        <v>44</v>
      </c>
      <c r="B105" s="18"/>
      <c r="C105" s="18"/>
      <c r="D105" s="1"/>
      <c r="AB105" t="str" cm="1">
        <f t="array" ref="AB105">_xlfn._xlws.FILTER(A105:Z105,A105:Z105&lt;&gt;"","")</f>
        <v>JUPAS Code: JS3050</v>
      </c>
      <c r="AD105" t="str">
        <v>JS3050</v>
      </c>
      <c r="AE105" t="str">
        <v/>
      </c>
      <c r="AF105" cm="1">
        <f t="array" ref="AF105">IF(AD105="","",SUMPRODUCT(IF(LEFT($AD$1:AD105,2)="JS",1,0)))</f>
        <v>3</v>
      </c>
      <c r="AG105" t="str">
        <f t="shared" si="4"/>
        <v/>
      </c>
      <c r="AH105" t="str">
        <f t="shared" si="5"/>
        <v/>
      </c>
      <c r="AI105" t="str">
        <f>IF(AH105="","",MAX($AF$1:$AF105))</f>
        <v/>
      </c>
      <c r="AJ105" t="str">
        <f t="shared" si="6"/>
        <v/>
      </c>
      <c r="AK105" t="str">
        <f>IF(AJ105="","",MAX($AF$1:$AF105))</f>
        <v/>
      </c>
      <c r="AL105" t="str">
        <f t="shared" si="7"/>
        <v/>
      </c>
      <c r="AM105" t="str">
        <f>IF(AL105="","",MAX($AF$1:$AF105))</f>
        <v/>
      </c>
    </row>
    <row r="106" spans="1:39" ht="13.5" customHeight="1" x14ac:dyDescent="0.3">
      <c r="A106" s="18" t="s">
        <v>45</v>
      </c>
      <c r="B106" s="18"/>
      <c r="C106" s="18"/>
      <c r="D106" s="1"/>
      <c r="AB106" t="str" cm="1">
        <f t="array" ref="AB106">_xlfn._xlws.FILTER(A106:Z106,A106:Z106&lt;&gt;"","")</f>
        <v>Programme Title: BA (Hons) Scheme in Fashion</v>
      </c>
      <c r="AD106" t="str">
        <v/>
      </c>
      <c r="AE106" t="str">
        <v>BA (Hons) Scheme in Fashion</v>
      </c>
      <c r="AF106" t="str" cm="1">
        <f t="array" ref="AF106">IF(AD106="","",SUMPRODUCT(IF(LEFT($AD$1:AD106,2)="JS",1,0)))</f>
        <v/>
      </c>
      <c r="AG106" t="str">
        <f t="shared" si="4"/>
        <v/>
      </c>
      <c r="AH106" t="str">
        <f t="shared" si="5"/>
        <v/>
      </c>
      <c r="AI106" t="str">
        <f>IF(AH106="","",MAX($AF$1:$AF106))</f>
        <v/>
      </c>
      <c r="AJ106" t="str">
        <f t="shared" si="6"/>
        <v/>
      </c>
      <c r="AK106" t="str">
        <f>IF(AJ106="","",MAX($AF$1:$AF106))</f>
        <v/>
      </c>
      <c r="AL106" t="str">
        <f t="shared" si="7"/>
        <v/>
      </c>
      <c r="AM106" t="str">
        <f>IF(AL106="","",MAX($AF$1:$AF106))</f>
        <v/>
      </c>
    </row>
    <row r="107" spans="1:39" ht="14.5" customHeight="1" x14ac:dyDescent="0.3">
      <c r="A107" s="12"/>
      <c r="B107" s="12"/>
      <c r="C107" s="2"/>
      <c r="D107" s="2"/>
      <c r="AB107" t="str" cm="1">
        <f t="array" ref="AB107">_xlfn._xlws.FILTER(A107:Z107,A107:Z107&lt;&gt;"","")</f>
        <v/>
      </c>
      <c r="AD107" t="str">
        <v/>
      </c>
      <c r="AE107" t="str">
        <v/>
      </c>
      <c r="AF107" t="str" cm="1">
        <f t="array" ref="AF107">IF(AD107="","",SUMPRODUCT(IF(LEFT($AD$1:AD107,2)="JS",1,0)))</f>
        <v/>
      </c>
      <c r="AG107" t="str">
        <f t="shared" si="4"/>
        <v/>
      </c>
      <c r="AH107" t="str">
        <f t="shared" si="5"/>
        <v/>
      </c>
      <c r="AI107" t="str">
        <f>IF(AH107="","",MAX($AF$1:$AF107))</f>
        <v/>
      </c>
      <c r="AJ107" t="str">
        <f t="shared" si="6"/>
        <v/>
      </c>
      <c r="AK107" t="str">
        <f>IF(AJ107="","",MAX($AF$1:$AF107))</f>
        <v/>
      </c>
      <c r="AL107" t="str">
        <f t="shared" si="7"/>
        <v/>
      </c>
      <c r="AM107" t="str">
        <f>IF(AL107="","",MAX($AF$1:$AF107))</f>
        <v/>
      </c>
    </row>
    <row r="108" spans="1:39" ht="13.5" customHeight="1" x14ac:dyDescent="0.3">
      <c r="A108" s="13" t="s">
        <v>2</v>
      </c>
      <c r="B108" s="13"/>
      <c r="C108" s="13"/>
      <c r="D108" s="13"/>
      <c r="AB108" t="str" cm="1">
        <f t="array" ref="AB108">_xlfn._xlws.FILTER(A108:Z108,A108:Z108&lt;&gt;"","")</f>
        <v>Category A: Core and Elective Subjects</v>
      </c>
      <c r="AD108" t="str">
        <v/>
      </c>
      <c r="AE108" t="str">
        <v/>
      </c>
      <c r="AF108" t="str" cm="1">
        <f t="array" ref="AF108">IF(AD108="","",SUMPRODUCT(IF(LEFT($AD$1:AD108,2)="JS",1,0)))</f>
        <v/>
      </c>
      <c r="AG108" t="str">
        <f t="shared" si="4"/>
        <v/>
      </c>
      <c r="AH108" t="str">
        <f t="shared" si="5"/>
        <v/>
      </c>
      <c r="AI108" t="str">
        <f>IF(AH108="","",MAX($AF$1:$AF108))</f>
        <v/>
      </c>
      <c r="AJ108" t="str">
        <f t="shared" si="6"/>
        <v/>
      </c>
      <c r="AK108" t="str">
        <f>IF(AJ108="","",MAX($AF$1:$AF108))</f>
        <v/>
      </c>
      <c r="AL108" t="str">
        <f t="shared" si="7"/>
        <v/>
      </c>
      <c r="AM108" t="str">
        <f>IF(AL108="","",MAX($AF$1:$AF108))</f>
        <v/>
      </c>
    </row>
    <row r="109" spans="1:39" ht="13.5" customHeight="1" x14ac:dyDescent="0.3">
      <c r="A109" s="14" t="s">
        <v>3</v>
      </c>
      <c r="B109" s="15"/>
      <c r="C109" s="16" t="s">
        <v>4</v>
      </c>
      <c r="D109" s="17"/>
      <c r="AB109" t="str" cm="1">
        <f t="array" ref="AB109:AC109">_xlfn._xlws.FILTER(A109:Z109,A109:Z109&lt;&gt;"","")</f>
        <v>Subject Name</v>
      </c>
      <c r="AC109" t="str">
        <v>Subject Weighting for 2023/24 Admission Exercise *</v>
      </c>
      <c r="AD109" t="str">
        <v/>
      </c>
      <c r="AE109" t="str">
        <v/>
      </c>
      <c r="AF109" t="str" cm="1">
        <f t="array" ref="AF109">IF(AD109="","",SUMPRODUCT(IF(LEFT($AD$1:AD109,2)="JS",1,0)))</f>
        <v/>
      </c>
      <c r="AG109" t="str">
        <f t="shared" si="4"/>
        <v/>
      </c>
      <c r="AH109" t="str">
        <f t="shared" si="5"/>
        <v/>
      </c>
      <c r="AI109" t="str">
        <f>IF(AH109="","",MAX($AF$1:$AF109))</f>
        <v/>
      </c>
      <c r="AJ109" t="str">
        <f t="shared" si="6"/>
        <v/>
      </c>
      <c r="AK109" t="str">
        <f>IF(AJ109="","",MAX($AF$1:$AF109))</f>
        <v/>
      </c>
      <c r="AL109" t="str">
        <f t="shared" si="7"/>
        <v/>
      </c>
      <c r="AM109" t="str">
        <f>IF(AL109="","",MAX($AF$1:$AF109))</f>
        <v/>
      </c>
    </row>
    <row r="110" spans="1:39" ht="13.5" customHeight="1" x14ac:dyDescent="0.3">
      <c r="A110" s="8" t="s">
        <v>211</v>
      </c>
      <c r="B110" s="9"/>
      <c r="C110" s="10">
        <v>5</v>
      </c>
      <c r="D110" s="11"/>
      <c r="AB110" t="str" cm="1">
        <f t="array" ref="AB110:AC110">_xlfn._xlws.FILTER(A110:Z110,A110:Z110&lt;&gt;"","")</f>
        <v>BIO</v>
      </c>
      <c r="AC110">
        <v>5</v>
      </c>
      <c r="AD110" t="str">
        <v/>
      </c>
      <c r="AE110" t="str">
        <v/>
      </c>
      <c r="AF110" t="str" cm="1">
        <f t="array" ref="AF110">IF(AD110="","",SUMPRODUCT(IF(LEFT($AD$1:AD110,2)="JS",1,0)))</f>
        <v/>
      </c>
      <c r="AG110" t="b">
        <f t="shared" si="4"/>
        <v>1</v>
      </c>
      <c r="AH110" t="str">
        <f t="shared" si="5"/>
        <v/>
      </c>
      <c r="AI110" t="str">
        <f>IF(AH110="","",MAX($AF$1:$AF110))</f>
        <v/>
      </c>
      <c r="AJ110" t="str">
        <f t="shared" si="6"/>
        <v/>
      </c>
      <c r="AK110" t="str">
        <f>IF(AJ110="","",MAX($AF$1:$AF110))</f>
        <v/>
      </c>
      <c r="AL110" t="str">
        <f t="shared" si="7"/>
        <v>BIO</v>
      </c>
      <c r="AM110">
        <f>IF(AL110="","",MAX($AF$1:$AF110))</f>
        <v>3</v>
      </c>
    </row>
    <row r="111" spans="1:39" ht="13.5" customHeight="1" x14ac:dyDescent="0.3">
      <c r="A111" s="8" t="s">
        <v>213</v>
      </c>
      <c r="B111" s="9"/>
      <c r="C111" s="10">
        <v>5</v>
      </c>
      <c r="D111" s="11"/>
      <c r="AB111" t="str" cm="1">
        <f t="array" ref="AB111:AC111">_xlfn._xlws.FILTER(A111:Z111,A111:Z111&lt;&gt;"","")</f>
        <v>BAFS</v>
      </c>
      <c r="AC111">
        <v>5</v>
      </c>
      <c r="AD111" t="str">
        <v/>
      </c>
      <c r="AE111" t="str">
        <v/>
      </c>
      <c r="AF111" t="str" cm="1">
        <f t="array" ref="AF111">IF(AD111="","",SUMPRODUCT(IF(LEFT($AD$1:AD111,2)="JS",1,0)))</f>
        <v/>
      </c>
      <c r="AG111" t="b">
        <f t="shared" si="4"/>
        <v>1</v>
      </c>
      <c r="AH111" t="str">
        <f t="shared" si="5"/>
        <v/>
      </c>
      <c r="AI111" t="str">
        <f>IF(AH111="","",MAX($AF$1:$AF111))</f>
        <v/>
      </c>
      <c r="AJ111" t="str">
        <f t="shared" si="6"/>
        <v/>
      </c>
      <c r="AK111" t="str">
        <f>IF(AJ111="","",MAX($AF$1:$AF111))</f>
        <v/>
      </c>
      <c r="AL111" t="str">
        <f t="shared" si="7"/>
        <v>BAFS</v>
      </c>
      <c r="AM111">
        <f>IF(AL111="","",MAX($AF$1:$AF111))</f>
        <v>3</v>
      </c>
    </row>
    <row r="112" spans="1:39" ht="13.5" customHeight="1" x14ac:dyDescent="0.3">
      <c r="A112" s="8" t="s">
        <v>5</v>
      </c>
      <c r="B112" s="9"/>
      <c r="C112" s="10">
        <v>5</v>
      </c>
      <c r="D112" s="11"/>
      <c r="AB112" t="str" cm="1">
        <f t="array" ref="AB112:AC112">_xlfn._xlws.FILTER(A112:Z112,A112:Z112&lt;&gt;"","")</f>
        <v>Business, Accounting and Financial Studies (Accounting)</v>
      </c>
      <c r="AC112">
        <v>5</v>
      </c>
      <c r="AD112" t="str">
        <v/>
      </c>
      <c r="AE112" t="str">
        <v/>
      </c>
      <c r="AF112" t="str" cm="1">
        <f t="array" ref="AF112">IF(AD112="","",SUMPRODUCT(IF(LEFT($AD$1:AD112,2)="JS",1,0)))</f>
        <v/>
      </c>
      <c r="AG112" t="str">
        <f t="shared" si="4"/>
        <v/>
      </c>
      <c r="AH112" t="str">
        <f t="shared" si="5"/>
        <v/>
      </c>
      <c r="AI112" t="str">
        <f>IF(AH112="","",MAX($AF$1:$AF112))</f>
        <v/>
      </c>
      <c r="AJ112" t="str">
        <f t="shared" si="6"/>
        <v/>
      </c>
      <c r="AK112" t="str">
        <f>IF(AJ112="","",MAX($AF$1:$AF112))</f>
        <v/>
      </c>
      <c r="AL112" t="str">
        <f t="shared" si="7"/>
        <v/>
      </c>
      <c r="AM112" t="str">
        <f>IF(AL112="","",MAX($AF$1:$AF112))</f>
        <v/>
      </c>
    </row>
    <row r="113" spans="1:39" ht="13.5" customHeight="1" x14ac:dyDescent="0.3">
      <c r="A113" s="8" t="s">
        <v>6</v>
      </c>
      <c r="B113" s="9"/>
      <c r="C113" s="10">
        <v>5</v>
      </c>
      <c r="D113" s="11"/>
      <c r="AB113" t="str" cm="1">
        <f t="array" ref="AB113:AC113">_xlfn._xlws.FILTER(A113:Z113,A113:Z113&lt;&gt;"","")</f>
        <v>Business, Accounting and Financial Studies (Business Management)</v>
      </c>
      <c r="AC113">
        <v>5</v>
      </c>
      <c r="AD113" t="str">
        <v/>
      </c>
      <c r="AE113" t="str">
        <v/>
      </c>
      <c r="AF113" t="str" cm="1">
        <f t="array" ref="AF113">IF(AD113="","",SUMPRODUCT(IF(LEFT($AD$1:AD113,2)="JS",1,0)))</f>
        <v/>
      </c>
      <c r="AG113" t="str">
        <f t="shared" si="4"/>
        <v/>
      </c>
      <c r="AH113" t="str">
        <f t="shared" si="5"/>
        <v/>
      </c>
      <c r="AI113" t="str">
        <f>IF(AH113="","",MAX($AF$1:$AF113))</f>
        <v/>
      </c>
      <c r="AJ113" t="str">
        <f t="shared" si="6"/>
        <v/>
      </c>
      <c r="AK113" t="str">
        <f>IF(AJ113="","",MAX($AF$1:$AF113))</f>
        <v/>
      </c>
      <c r="AL113" t="str">
        <f t="shared" si="7"/>
        <v/>
      </c>
      <c r="AM113" t="str">
        <f>IF(AL113="","",MAX($AF$1:$AF113))</f>
        <v/>
      </c>
    </row>
    <row r="114" spans="1:39" ht="13.5" customHeight="1" x14ac:dyDescent="0.3">
      <c r="A114" s="8" t="s">
        <v>212</v>
      </c>
      <c r="B114" s="9"/>
      <c r="C114" s="10">
        <v>5</v>
      </c>
      <c r="D114" s="11"/>
      <c r="AB114" t="str" cm="1">
        <f t="array" ref="AB114:AC114">_xlfn._xlws.FILTER(A114:Z114,A114:Z114&lt;&gt;"","")</f>
        <v>CHEM</v>
      </c>
      <c r="AC114">
        <v>5</v>
      </c>
      <c r="AD114" t="str">
        <v/>
      </c>
      <c r="AE114" t="str">
        <v/>
      </c>
      <c r="AF114" t="str" cm="1">
        <f t="array" ref="AF114">IF(AD114="","",SUMPRODUCT(IF(LEFT($AD$1:AD114,2)="JS",1,0)))</f>
        <v/>
      </c>
      <c r="AG114" t="b">
        <f t="shared" si="4"/>
        <v>1</v>
      </c>
      <c r="AH114" t="str">
        <f t="shared" si="5"/>
        <v/>
      </c>
      <c r="AI114" t="str">
        <f>IF(AH114="","",MAX($AF$1:$AF114))</f>
        <v/>
      </c>
      <c r="AJ114" t="str">
        <f t="shared" si="6"/>
        <v/>
      </c>
      <c r="AK114" t="str">
        <f>IF(AJ114="","",MAX($AF$1:$AF114))</f>
        <v/>
      </c>
      <c r="AL114" t="str">
        <f t="shared" si="7"/>
        <v>CHEM</v>
      </c>
      <c r="AM114">
        <f>IF(AL114="","",MAX($AF$1:$AF114))</f>
        <v>3</v>
      </c>
    </row>
    <row r="115" spans="1:39" ht="13.5" customHeight="1" x14ac:dyDescent="0.3">
      <c r="A115" s="8" t="s">
        <v>214</v>
      </c>
      <c r="B115" s="9"/>
      <c r="C115" s="10">
        <v>5</v>
      </c>
      <c r="D115" s="11"/>
      <c r="AB115" t="str" cm="1">
        <f t="array" ref="AB115:AC115">_xlfn._xlws.FILTER(A115:Z115,A115:Z115&lt;&gt;"","")</f>
        <v>中史</v>
      </c>
      <c r="AC115">
        <v>5</v>
      </c>
      <c r="AD115" t="str">
        <v/>
      </c>
      <c r="AE115" t="str">
        <v/>
      </c>
      <c r="AF115" t="str" cm="1">
        <f t="array" ref="AF115">IF(AD115="","",SUMPRODUCT(IF(LEFT($AD$1:AD115,2)="JS",1,0)))</f>
        <v/>
      </c>
      <c r="AG115" t="b">
        <f t="shared" si="4"/>
        <v>1</v>
      </c>
      <c r="AH115" t="str">
        <f t="shared" si="5"/>
        <v/>
      </c>
      <c r="AI115" t="str">
        <f>IF(AH115="","",MAX($AF$1:$AF115))</f>
        <v/>
      </c>
      <c r="AJ115" t="str">
        <f t="shared" si="6"/>
        <v/>
      </c>
      <c r="AK115" t="str">
        <f>IF(AJ115="","",MAX($AF$1:$AF115))</f>
        <v/>
      </c>
      <c r="AL115" t="str">
        <f t="shared" si="7"/>
        <v>中史</v>
      </c>
      <c r="AM115">
        <f>IF(AL115="","",MAX($AF$1:$AF115))</f>
        <v>3</v>
      </c>
    </row>
    <row r="116" spans="1:39" ht="13.5" customHeight="1" x14ac:dyDescent="0.3">
      <c r="A116" s="8" t="s">
        <v>216</v>
      </c>
      <c r="B116" s="9"/>
      <c r="C116" s="10">
        <v>7</v>
      </c>
      <c r="D116" s="11"/>
      <c r="AB116" t="str" cm="1">
        <f t="array" ref="AB116:AC116">_xlfn._xlws.FILTER(A116:Z116,A116:Z116&lt;&gt;"","")</f>
        <v>中文</v>
      </c>
      <c r="AC116">
        <v>7</v>
      </c>
      <c r="AD116" t="str">
        <v/>
      </c>
      <c r="AE116" t="str">
        <v/>
      </c>
      <c r="AF116" t="str" cm="1">
        <f t="array" ref="AF116">IF(AD116="","",SUMPRODUCT(IF(LEFT($AD$1:AD116,2)="JS",1,0)))</f>
        <v/>
      </c>
      <c r="AG116" t="b">
        <f t="shared" si="4"/>
        <v>1</v>
      </c>
      <c r="AH116" t="str">
        <f t="shared" si="5"/>
        <v/>
      </c>
      <c r="AI116" t="str">
        <f>IF(AH116="","",MAX($AF$1:$AF116))</f>
        <v/>
      </c>
      <c r="AJ116" t="str">
        <f t="shared" si="6"/>
        <v>中文</v>
      </c>
      <c r="AK116">
        <f>IF(AJ116="","",MAX($AF$1:$AF116))</f>
        <v>3</v>
      </c>
      <c r="AL116" t="str">
        <f t="shared" si="7"/>
        <v/>
      </c>
      <c r="AM116" t="str">
        <f>IF(AL116="","",MAX($AF$1:$AF116))</f>
        <v/>
      </c>
    </row>
    <row r="117" spans="1:39" ht="13.5" customHeight="1" x14ac:dyDescent="0.3">
      <c r="A117" s="8" t="s">
        <v>7</v>
      </c>
      <c r="B117" s="9"/>
      <c r="C117" s="10">
        <v>5</v>
      </c>
      <c r="D117" s="11"/>
      <c r="AB117" t="str" cm="1">
        <f t="array" ref="AB117:AC117">_xlfn._xlws.FILTER(A117:Z117,A117:Z117&lt;&gt;"","")</f>
        <v>Chinese Literature</v>
      </c>
      <c r="AC117">
        <v>5</v>
      </c>
      <c r="AD117" t="str">
        <v/>
      </c>
      <c r="AE117" t="str">
        <v/>
      </c>
      <c r="AF117" t="str" cm="1">
        <f t="array" ref="AF117">IF(AD117="","",SUMPRODUCT(IF(LEFT($AD$1:AD117,2)="JS",1,0)))</f>
        <v/>
      </c>
      <c r="AG117" t="str">
        <f t="shared" si="4"/>
        <v/>
      </c>
      <c r="AH117" t="str">
        <f t="shared" si="5"/>
        <v/>
      </c>
      <c r="AI117" t="str">
        <f>IF(AH117="","",MAX($AF$1:$AF117))</f>
        <v/>
      </c>
      <c r="AJ117" t="str">
        <f t="shared" si="6"/>
        <v/>
      </c>
      <c r="AK117" t="str">
        <f>IF(AJ117="","",MAX($AF$1:$AF117))</f>
        <v/>
      </c>
      <c r="AL117" t="str">
        <f t="shared" si="7"/>
        <v/>
      </c>
      <c r="AM117" t="str">
        <f>IF(AL117="","",MAX($AF$1:$AF117))</f>
        <v/>
      </c>
    </row>
    <row r="118" spans="1:39" ht="13.5" customHeight="1" x14ac:dyDescent="0.3">
      <c r="A118" s="8" t="s">
        <v>8</v>
      </c>
      <c r="B118" s="9"/>
      <c r="C118" s="10">
        <v>5</v>
      </c>
      <c r="D118" s="11"/>
      <c r="AB118" t="str" cm="1">
        <f t="array" ref="AB118:AC118">_xlfn._xlws.FILTER(A118:Z118,A118:Z118&lt;&gt;"","")</f>
        <v>Combined Science: Biology + Chemistry</v>
      </c>
      <c r="AC118">
        <v>5</v>
      </c>
      <c r="AD118" t="str">
        <v/>
      </c>
      <c r="AE118" t="str">
        <v/>
      </c>
      <c r="AF118" t="str" cm="1">
        <f t="array" ref="AF118">IF(AD118="","",SUMPRODUCT(IF(LEFT($AD$1:AD118,2)="JS",1,0)))</f>
        <v/>
      </c>
      <c r="AG118" t="str">
        <f t="shared" si="4"/>
        <v/>
      </c>
      <c r="AH118" t="str">
        <f t="shared" si="5"/>
        <v/>
      </c>
      <c r="AI118" t="str">
        <f>IF(AH118="","",MAX($AF$1:$AF118))</f>
        <v/>
      </c>
      <c r="AJ118" t="str">
        <f t="shared" si="6"/>
        <v/>
      </c>
      <c r="AK118" t="str">
        <f>IF(AJ118="","",MAX($AF$1:$AF118))</f>
        <v/>
      </c>
      <c r="AL118" t="str">
        <f t="shared" si="7"/>
        <v/>
      </c>
      <c r="AM118" t="str">
        <f>IF(AL118="","",MAX($AF$1:$AF118))</f>
        <v/>
      </c>
    </row>
    <row r="119" spans="1:39" ht="13.5" customHeight="1" x14ac:dyDescent="0.3">
      <c r="A119" s="8" t="s">
        <v>9</v>
      </c>
      <c r="B119" s="9"/>
      <c r="C119" s="10">
        <v>5</v>
      </c>
      <c r="D119" s="11"/>
      <c r="AB119" t="str" cm="1">
        <f t="array" ref="AB119:AC119">_xlfn._xlws.FILTER(A119:Z119,A119:Z119&lt;&gt;"","")</f>
        <v>Combined Science: Biology + Physics</v>
      </c>
      <c r="AC119">
        <v>5</v>
      </c>
      <c r="AD119" t="str">
        <v/>
      </c>
      <c r="AE119" t="str">
        <v/>
      </c>
      <c r="AF119" t="str" cm="1">
        <f t="array" ref="AF119">IF(AD119="","",SUMPRODUCT(IF(LEFT($AD$1:AD119,2)="JS",1,0)))</f>
        <v/>
      </c>
      <c r="AG119" t="str">
        <f t="shared" si="4"/>
        <v/>
      </c>
      <c r="AH119" t="str">
        <f t="shared" si="5"/>
        <v/>
      </c>
      <c r="AI119" t="str">
        <f>IF(AH119="","",MAX($AF$1:$AF119))</f>
        <v/>
      </c>
      <c r="AJ119" t="str">
        <f t="shared" si="6"/>
        <v/>
      </c>
      <c r="AK119" t="str">
        <f>IF(AJ119="","",MAX($AF$1:$AF119))</f>
        <v/>
      </c>
      <c r="AL119" t="str">
        <f t="shared" si="7"/>
        <v/>
      </c>
      <c r="AM119" t="str">
        <f>IF(AL119="","",MAX($AF$1:$AF119))</f>
        <v/>
      </c>
    </row>
    <row r="120" spans="1:39" ht="13.5" customHeight="1" x14ac:dyDescent="0.3">
      <c r="A120" s="8" t="s">
        <v>10</v>
      </c>
      <c r="B120" s="9"/>
      <c r="C120" s="10">
        <v>5</v>
      </c>
      <c r="D120" s="11"/>
      <c r="AB120" t="str" cm="1">
        <f t="array" ref="AB120:AC120">_xlfn._xlws.FILTER(A120:Z120,A120:Z120&lt;&gt;"","")</f>
        <v>Combined Science: Physics + Chemistry</v>
      </c>
      <c r="AC120">
        <v>5</v>
      </c>
      <c r="AD120" t="str">
        <v/>
      </c>
      <c r="AE120" t="str">
        <v/>
      </c>
      <c r="AF120" t="str" cm="1">
        <f t="array" ref="AF120">IF(AD120="","",SUMPRODUCT(IF(LEFT($AD$1:AD120,2)="JS",1,0)))</f>
        <v/>
      </c>
      <c r="AG120" t="str">
        <f t="shared" si="4"/>
        <v/>
      </c>
      <c r="AH120" t="str">
        <f t="shared" si="5"/>
        <v/>
      </c>
      <c r="AI120" t="str">
        <f>IF(AH120="","",MAX($AF$1:$AF120))</f>
        <v/>
      </c>
      <c r="AJ120" t="str">
        <f t="shared" si="6"/>
        <v/>
      </c>
      <c r="AK120" t="str">
        <f>IF(AJ120="","",MAX($AF$1:$AF120))</f>
        <v/>
      </c>
      <c r="AL120" t="str">
        <f t="shared" si="7"/>
        <v/>
      </c>
      <c r="AM120" t="str">
        <f>IF(AL120="","",MAX($AF$1:$AF120))</f>
        <v/>
      </c>
    </row>
    <row r="121" spans="1:39" ht="13.5" customHeight="1" x14ac:dyDescent="0.3">
      <c r="A121" s="8" t="s">
        <v>11</v>
      </c>
      <c r="B121" s="9"/>
      <c r="C121" s="10">
        <v>5</v>
      </c>
      <c r="D121" s="11"/>
      <c r="AB121" t="str" cm="1">
        <f t="array" ref="AB121:AC121">_xlfn._xlws.FILTER(A121:Z121,A121:Z121&lt;&gt;"","")</f>
        <v>Design and Applied Technology</v>
      </c>
      <c r="AC121">
        <v>5</v>
      </c>
      <c r="AD121" t="str">
        <v/>
      </c>
      <c r="AE121" t="str">
        <v/>
      </c>
      <c r="AF121" t="str" cm="1">
        <f t="array" ref="AF121">IF(AD121="","",SUMPRODUCT(IF(LEFT($AD$1:AD121,2)="JS",1,0)))</f>
        <v/>
      </c>
      <c r="AG121" t="str">
        <f t="shared" si="4"/>
        <v/>
      </c>
      <c r="AH121" t="str">
        <f t="shared" si="5"/>
        <v/>
      </c>
      <c r="AI121" t="str">
        <f>IF(AH121="","",MAX($AF$1:$AF121))</f>
        <v/>
      </c>
      <c r="AJ121" t="str">
        <f t="shared" si="6"/>
        <v/>
      </c>
      <c r="AK121" t="str">
        <f>IF(AJ121="","",MAX($AF$1:$AF121))</f>
        <v/>
      </c>
      <c r="AL121" t="str">
        <f t="shared" si="7"/>
        <v/>
      </c>
      <c r="AM121" t="str">
        <f>IF(AL121="","",MAX($AF$1:$AF121))</f>
        <v/>
      </c>
    </row>
    <row r="122" spans="1:39" ht="13.5" customHeight="1" x14ac:dyDescent="0.3">
      <c r="A122" s="8" t="s">
        <v>217</v>
      </c>
      <c r="B122" s="9"/>
      <c r="C122" s="10">
        <v>10</v>
      </c>
      <c r="D122" s="11"/>
      <c r="AB122" t="str" cm="1">
        <f t="array" ref="AB122:AC122">_xlfn._xlws.FILTER(A122:Z122,A122:Z122&lt;&gt;"","")</f>
        <v>ECON</v>
      </c>
      <c r="AC122">
        <v>10</v>
      </c>
      <c r="AD122" t="str">
        <v/>
      </c>
      <c r="AE122" t="str">
        <v/>
      </c>
      <c r="AF122" t="str" cm="1">
        <f t="array" ref="AF122">IF(AD122="","",SUMPRODUCT(IF(LEFT($AD$1:AD122,2)="JS",1,0)))</f>
        <v/>
      </c>
      <c r="AG122" t="b">
        <f t="shared" si="4"/>
        <v>1</v>
      </c>
      <c r="AH122" t="str">
        <f t="shared" si="5"/>
        <v>ECON</v>
      </c>
      <c r="AI122">
        <f>IF(AH122="","",MAX($AF$1:$AF122))</f>
        <v>3</v>
      </c>
      <c r="AJ122" t="str">
        <f t="shared" si="6"/>
        <v/>
      </c>
      <c r="AK122" t="str">
        <f>IF(AJ122="","",MAX($AF$1:$AF122))</f>
        <v/>
      </c>
      <c r="AL122" t="str">
        <f t="shared" si="7"/>
        <v/>
      </c>
      <c r="AM122" t="str">
        <f>IF(AL122="","",MAX($AF$1:$AF122))</f>
        <v/>
      </c>
    </row>
    <row r="123" spans="1:39" ht="13.5" customHeight="1" x14ac:dyDescent="0.3">
      <c r="A123" s="8" t="s">
        <v>218</v>
      </c>
      <c r="B123" s="9"/>
      <c r="C123" s="10">
        <v>7</v>
      </c>
      <c r="D123" s="11"/>
      <c r="AB123" t="str" cm="1">
        <f t="array" ref="AB123:AC123">_xlfn._xlws.FILTER(A123:Z123,A123:Z123&lt;&gt;"","")</f>
        <v>ENG</v>
      </c>
      <c r="AC123">
        <v>7</v>
      </c>
      <c r="AD123" t="str">
        <v/>
      </c>
      <c r="AE123" t="str">
        <v/>
      </c>
      <c r="AF123" t="str" cm="1">
        <f t="array" ref="AF123">IF(AD123="","",SUMPRODUCT(IF(LEFT($AD$1:AD123,2)="JS",1,0)))</f>
        <v/>
      </c>
      <c r="AG123" t="b">
        <f t="shared" si="4"/>
        <v>1</v>
      </c>
      <c r="AH123" t="str">
        <f t="shared" si="5"/>
        <v/>
      </c>
      <c r="AI123" t="str">
        <f>IF(AH123="","",MAX($AF$1:$AF123))</f>
        <v/>
      </c>
      <c r="AJ123" t="str">
        <f t="shared" si="6"/>
        <v>ENG</v>
      </c>
      <c r="AK123">
        <f>IF(AJ123="","",MAX($AF$1:$AF123))</f>
        <v>3</v>
      </c>
      <c r="AL123" t="str">
        <f t="shared" si="7"/>
        <v/>
      </c>
      <c r="AM123" t="str">
        <f>IF(AL123="","",MAX($AF$1:$AF123))</f>
        <v/>
      </c>
    </row>
    <row r="124" spans="1:39" ht="13.5" customHeight="1" x14ac:dyDescent="0.3">
      <c r="A124" s="8" t="s">
        <v>12</v>
      </c>
      <c r="B124" s="9"/>
      <c r="C124" s="10">
        <v>5</v>
      </c>
      <c r="D124" s="11"/>
      <c r="AB124" t="str" cm="1">
        <f t="array" ref="AB124:AC124">_xlfn._xlws.FILTER(A124:Z124,A124:Z124&lt;&gt;"","")</f>
        <v>Ethics and Religious Studies</v>
      </c>
      <c r="AC124">
        <v>5</v>
      </c>
      <c r="AD124" t="str">
        <v/>
      </c>
      <c r="AE124" t="str">
        <v/>
      </c>
      <c r="AF124" t="str" cm="1">
        <f t="array" ref="AF124">IF(AD124="","",SUMPRODUCT(IF(LEFT($AD$1:AD124,2)="JS",1,0)))</f>
        <v/>
      </c>
      <c r="AG124" t="str">
        <f t="shared" si="4"/>
        <v/>
      </c>
      <c r="AH124" t="str">
        <f t="shared" si="5"/>
        <v/>
      </c>
      <c r="AI124" t="str">
        <f>IF(AH124="","",MAX($AF$1:$AF124))</f>
        <v/>
      </c>
      <c r="AJ124" t="str">
        <f t="shared" si="6"/>
        <v/>
      </c>
      <c r="AK124" t="str">
        <f>IF(AJ124="","",MAX($AF$1:$AF124))</f>
        <v/>
      </c>
      <c r="AL124" t="str">
        <f t="shared" si="7"/>
        <v/>
      </c>
      <c r="AM124" t="str">
        <f>IF(AL124="","",MAX($AF$1:$AF124))</f>
        <v/>
      </c>
    </row>
    <row r="125" spans="1:39" ht="13.5" customHeight="1" x14ac:dyDescent="0.3">
      <c r="A125" s="8" t="s">
        <v>219</v>
      </c>
      <c r="B125" s="9"/>
      <c r="C125" s="10">
        <v>5</v>
      </c>
      <c r="D125" s="11"/>
      <c r="AB125" t="str" cm="1">
        <f t="array" ref="AB125:AC125">_xlfn._xlws.FILTER(A125:Z125,A125:Z125&lt;&gt;"","")</f>
        <v>GEOG</v>
      </c>
      <c r="AC125">
        <v>5</v>
      </c>
      <c r="AD125" t="str">
        <v/>
      </c>
      <c r="AE125" t="str">
        <v/>
      </c>
      <c r="AF125" t="str" cm="1">
        <f t="array" ref="AF125">IF(AD125="","",SUMPRODUCT(IF(LEFT($AD$1:AD125,2)="JS",1,0)))</f>
        <v/>
      </c>
      <c r="AG125" t="b">
        <f t="shared" si="4"/>
        <v>1</v>
      </c>
      <c r="AH125" t="str">
        <f t="shared" si="5"/>
        <v/>
      </c>
      <c r="AI125" t="str">
        <f>IF(AH125="","",MAX($AF$1:$AF125))</f>
        <v/>
      </c>
      <c r="AJ125" t="str">
        <f t="shared" si="6"/>
        <v/>
      </c>
      <c r="AK125" t="str">
        <f>IF(AJ125="","",MAX($AF$1:$AF125))</f>
        <v/>
      </c>
      <c r="AL125" t="str">
        <f t="shared" si="7"/>
        <v>GEOG</v>
      </c>
      <c r="AM125">
        <f>IF(AL125="","",MAX($AF$1:$AF125))</f>
        <v>3</v>
      </c>
    </row>
    <row r="126" spans="1:39" ht="13.5" customHeight="1" x14ac:dyDescent="0.3">
      <c r="A126" s="8" t="s">
        <v>220</v>
      </c>
      <c r="B126" s="9"/>
      <c r="C126" s="10">
        <v>5</v>
      </c>
      <c r="D126" s="11"/>
      <c r="AB126" t="str" cm="1">
        <f t="array" ref="AB126:AC126">_xlfn._xlws.FILTER(A126:Z126,A126:Z126&lt;&gt;"","")</f>
        <v>HMSC</v>
      </c>
      <c r="AC126">
        <v>5</v>
      </c>
      <c r="AD126" t="str">
        <v/>
      </c>
      <c r="AE126" t="str">
        <v/>
      </c>
      <c r="AF126" t="str" cm="1">
        <f t="array" ref="AF126">IF(AD126="","",SUMPRODUCT(IF(LEFT($AD$1:AD126,2)="JS",1,0)))</f>
        <v/>
      </c>
      <c r="AG126" t="b">
        <f t="shared" si="4"/>
        <v>1</v>
      </c>
      <c r="AH126" t="str">
        <f t="shared" si="5"/>
        <v/>
      </c>
      <c r="AI126" t="str">
        <f>IF(AH126="","",MAX($AF$1:$AF126))</f>
        <v/>
      </c>
      <c r="AJ126" t="str">
        <f t="shared" si="6"/>
        <v/>
      </c>
      <c r="AK126" t="str">
        <f>IF(AJ126="","",MAX($AF$1:$AF126))</f>
        <v/>
      </c>
      <c r="AL126" t="str">
        <f t="shared" si="7"/>
        <v>HMSC</v>
      </c>
      <c r="AM126">
        <f>IF(AL126="","",MAX($AF$1:$AF126))</f>
        <v>3</v>
      </c>
    </row>
    <row r="127" spans="1:39" ht="13.5" customHeight="1" x14ac:dyDescent="0.3">
      <c r="A127" s="8" t="s">
        <v>221</v>
      </c>
      <c r="B127" s="9"/>
      <c r="C127" s="10">
        <v>5</v>
      </c>
      <c r="D127" s="11"/>
      <c r="AB127" t="str" cm="1">
        <f t="array" ref="AB127:AC127">_xlfn._xlws.FILTER(A127:Z127,A127:Z127&lt;&gt;"","")</f>
        <v>HIST</v>
      </c>
      <c r="AC127">
        <v>5</v>
      </c>
      <c r="AD127" t="str">
        <v/>
      </c>
      <c r="AE127" t="str">
        <v/>
      </c>
      <c r="AF127" t="str" cm="1">
        <f t="array" ref="AF127">IF(AD127="","",SUMPRODUCT(IF(LEFT($AD$1:AD127,2)="JS",1,0)))</f>
        <v/>
      </c>
      <c r="AG127" t="b">
        <f t="shared" si="4"/>
        <v>1</v>
      </c>
      <c r="AH127" t="str">
        <f t="shared" si="5"/>
        <v/>
      </c>
      <c r="AI127" t="str">
        <f>IF(AH127="","",MAX($AF$1:$AF127))</f>
        <v/>
      </c>
      <c r="AJ127" t="str">
        <f t="shared" si="6"/>
        <v/>
      </c>
      <c r="AK127" t="str">
        <f>IF(AJ127="","",MAX($AF$1:$AF127))</f>
        <v/>
      </c>
      <c r="AL127" t="str">
        <f t="shared" si="7"/>
        <v>HIST</v>
      </c>
      <c r="AM127">
        <f>IF(AL127="","",MAX($AF$1:$AF127))</f>
        <v>3</v>
      </c>
    </row>
    <row r="128" spans="1:39" ht="13.5" customHeight="1" x14ac:dyDescent="0.3">
      <c r="A128" s="8" t="s">
        <v>222</v>
      </c>
      <c r="B128" s="9"/>
      <c r="C128" s="10">
        <v>5</v>
      </c>
      <c r="D128" s="11"/>
      <c r="AB128" t="str" cm="1">
        <f t="array" ref="AB128:AC128">_xlfn._xlws.FILTER(A128:Z128,A128:Z128&lt;&gt;"","")</f>
        <v>ICT</v>
      </c>
      <c r="AC128">
        <v>5</v>
      </c>
      <c r="AD128" t="str">
        <v/>
      </c>
      <c r="AE128" t="str">
        <v/>
      </c>
      <c r="AF128" t="str" cm="1">
        <f t="array" ref="AF128">IF(AD128="","",SUMPRODUCT(IF(LEFT($AD$1:AD128,2)="JS",1,0)))</f>
        <v/>
      </c>
      <c r="AG128" t="b">
        <f t="shared" si="4"/>
        <v>1</v>
      </c>
      <c r="AH128" t="str">
        <f t="shared" si="5"/>
        <v/>
      </c>
      <c r="AI128" t="str">
        <f>IF(AH128="","",MAX($AF$1:$AF128))</f>
        <v/>
      </c>
      <c r="AJ128" t="str">
        <f t="shared" si="6"/>
        <v/>
      </c>
      <c r="AK128" t="str">
        <f>IF(AJ128="","",MAX($AF$1:$AF128))</f>
        <v/>
      </c>
      <c r="AL128" t="str">
        <f t="shared" si="7"/>
        <v>ICT</v>
      </c>
      <c r="AM128">
        <f>IF(AL128="","",MAX($AF$1:$AF128))</f>
        <v>3</v>
      </c>
    </row>
    <row r="129" spans="1:39" ht="13.5" customHeight="1" x14ac:dyDescent="0.3">
      <c r="A129" s="8" t="s">
        <v>13</v>
      </c>
      <c r="B129" s="9"/>
      <c r="C129" s="10">
        <v>5</v>
      </c>
      <c r="D129" s="11"/>
      <c r="AB129" t="str" cm="1">
        <f t="array" ref="AB129:AC129">_xlfn._xlws.FILTER(A129:Z129,A129:Z129&lt;&gt;"","")</f>
        <v>Integrated Science</v>
      </c>
      <c r="AC129">
        <v>5</v>
      </c>
      <c r="AD129" t="str">
        <v/>
      </c>
      <c r="AE129" t="str">
        <v/>
      </c>
      <c r="AF129" t="str" cm="1">
        <f t="array" ref="AF129">IF(AD129="","",SUMPRODUCT(IF(LEFT($AD$1:AD129,2)="JS",1,0)))</f>
        <v/>
      </c>
      <c r="AG129" t="str">
        <f t="shared" ref="AG129:AG192" si="8">IF(ISNUMBER(MATCH(AB129,$AV$3:$AV$18,0)),TRUE,"")</f>
        <v/>
      </c>
      <c r="AH129" t="str">
        <f t="shared" si="5"/>
        <v/>
      </c>
      <c r="AI129" t="str">
        <f>IF(AH129="","",MAX($AF$1:$AF129))</f>
        <v/>
      </c>
      <c r="AJ129" t="str">
        <f t="shared" si="6"/>
        <v/>
      </c>
      <c r="AK129" t="str">
        <f>IF(AJ129="","",MAX($AF$1:$AF129))</f>
        <v/>
      </c>
      <c r="AL129" t="str">
        <f t="shared" si="7"/>
        <v/>
      </c>
      <c r="AM129" t="str">
        <f>IF(AL129="","",MAX($AF$1:$AF129))</f>
        <v/>
      </c>
    </row>
    <row r="130" spans="1:39" ht="13.5" customHeight="1" x14ac:dyDescent="0.3">
      <c r="A130" s="8" t="s">
        <v>223</v>
      </c>
      <c r="B130" s="9"/>
      <c r="C130" s="10">
        <v>7</v>
      </c>
      <c r="D130" s="11"/>
      <c r="AB130" t="str" cm="1">
        <f t="array" ref="AB130:AC130">_xlfn._xlws.FILTER(A130:Z130,A130:Z130&lt;&gt;"","")</f>
        <v>通</v>
      </c>
      <c r="AC130">
        <v>7</v>
      </c>
      <c r="AD130" t="str">
        <v/>
      </c>
      <c r="AE130" t="str">
        <v/>
      </c>
      <c r="AF130" t="str" cm="1">
        <f t="array" ref="AF130">IF(AD130="","",SUMPRODUCT(IF(LEFT($AD$1:AD130,2)="JS",1,0)))</f>
        <v/>
      </c>
      <c r="AG130" t="b">
        <f t="shared" si="8"/>
        <v>1</v>
      </c>
      <c r="AH130" t="str">
        <f t="shared" ref="AH130:AH193" si="9">IF(AND(AC130=10,AG130=TRUE),AB130,"")</f>
        <v/>
      </c>
      <c r="AI130" t="str">
        <f>IF(AH130="","",MAX($AF$1:$AF130))</f>
        <v/>
      </c>
      <c r="AJ130" t="str">
        <f t="shared" ref="AJ130:AJ193" si="10">IF(AND(AC130=7,AG130=TRUE),AB130,"")</f>
        <v>通</v>
      </c>
      <c r="AK130">
        <f>IF(AJ130="","",MAX($AF$1:$AF130))</f>
        <v>3</v>
      </c>
      <c r="AL130" t="str">
        <f t="shared" ref="AL130:AL193" si="11">IF(AND(AC130=5,AG130=TRUE),AB130,"")</f>
        <v/>
      </c>
      <c r="AM130" t="str">
        <f>IF(AL130="","",MAX($AF$1:$AF130))</f>
        <v/>
      </c>
    </row>
    <row r="131" spans="1:39" ht="13.5" customHeight="1" x14ac:dyDescent="0.3">
      <c r="A131" s="8" t="s">
        <v>14</v>
      </c>
      <c r="B131" s="9"/>
      <c r="C131" s="10">
        <v>5</v>
      </c>
      <c r="D131" s="11"/>
      <c r="AB131" t="str" cm="1">
        <f t="array" ref="AB131:AC131">_xlfn._xlws.FILTER(A131:Z131,A131:Z131&lt;&gt;"","")</f>
        <v>Literature in English</v>
      </c>
      <c r="AC131">
        <v>5</v>
      </c>
      <c r="AD131" t="str">
        <v/>
      </c>
      <c r="AE131" t="str">
        <v/>
      </c>
      <c r="AF131" t="str" cm="1">
        <f t="array" ref="AF131">IF(AD131="","",SUMPRODUCT(IF(LEFT($AD$1:AD131,2)="JS",1,0)))</f>
        <v/>
      </c>
      <c r="AG131" t="str">
        <f t="shared" si="8"/>
        <v/>
      </c>
      <c r="AH131" t="str">
        <f t="shared" si="9"/>
        <v/>
      </c>
      <c r="AI131" t="str">
        <f>IF(AH131="","",MAX($AF$1:$AF131))</f>
        <v/>
      </c>
      <c r="AJ131" t="str">
        <f t="shared" si="10"/>
        <v/>
      </c>
      <c r="AK131" t="str">
        <f>IF(AJ131="","",MAX($AF$1:$AF131))</f>
        <v/>
      </c>
      <c r="AL131" t="str">
        <f t="shared" si="11"/>
        <v/>
      </c>
      <c r="AM131" t="str">
        <f>IF(AL131="","",MAX($AF$1:$AF131))</f>
        <v/>
      </c>
    </row>
    <row r="132" spans="1:39" ht="13.5" customHeight="1" x14ac:dyDescent="0.3">
      <c r="A132" s="8" t="s">
        <v>224</v>
      </c>
      <c r="B132" s="9"/>
      <c r="C132" s="10">
        <v>7</v>
      </c>
      <c r="D132" s="11"/>
      <c r="AB132" t="str" cm="1">
        <f t="array" ref="AB132:AC132">_xlfn._xlws.FILTER(A132:Z132,A132:Z132&lt;&gt;"","")</f>
        <v>MATH</v>
      </c>
      <c r="AC132">
        <v>7</v>
      </c>
      <c r="AD132" t="str">
        <v/>
      </c>
      <c r="AE132" t="str">
        <v/>
      </c>
      <c r="AF132" t="str" cm="1">
        <f t="array" ref="AF132">IF(AD132="","",SUMPRODUCT(IF(LEFT($AD$1:AD132,2)="JS",1,0)))</f>
        <v/>
      </c>
      <c r="AG132" t="b">
        <f t="shared" si="8"/>
        <v>1</v>
      </c>
      <c r="AH132" t="str">
        <f t="shared" si="9"/>
        <v/>
      </c>
      <c r="AI132" t="str">
        <f>IF(AH132="","",MAX($AF$1:$AF132))</f>
        <v/>
      </c>
      <c r="AJ132" t="str">
        <f t="shared" si="10"/>
        <v>MATH</v>
      </c>
      <c r="AK132">
        <f>IF(AJ132="","",MAX($AF$1:$AF132))</f>
        <v>3</v>
      </c>
      <c r="AL132" t="str">
        <f t="shared" si="11"/>
        <v/>
      </c>
      <c r="AM132" t="str">
        <f>IF(AL132="","",MAX($AF$1:$AF132))</f>
        <v/>
      </c>
    </row>
    <row r="133" spans="1:39" ht="13.5" customHeight="1" x14ac:dyDescent="0.3">
      <c r="A133" s="8" t="s">
        <v>225</v>
      </c>
      <c r="B133" s="9"/>
      <c r="C133" s="10">
        <v>7</v>
      </c>
      <c r="D133" s="11"/>
      <c r="AB133" t="str" cm="1">
        <f t="array" ref="AB133:AC133">_xlfn._xlws.FILTER(A133:Z133,A133:Z133&lt;&gt;"","")</f>
        <v>M2</v>
      </c>
      <c r="AC133">
        <v>7</v>
      </c>
      <c r="AD133" t="str">
        <v/>
      </c>
      <c r="AE133" t="str">
        <v/>
      </c>
      <c r="AF133" t="str" cm="1">
        <f t="array" ref="AF133">IF(AD133="","",SUMPRODUCT(IF(LEFT($AD$1:AD133,2)="JS",1,0)))</f>
        <v/>
      </c>
      <c r="AG133" t="b">
        <f t="shared" si="8"/>
        <v>1</v>
      </c>
      <c r="AH133" t="str">
        <f t="shared" si="9"/>
        <v/>
      </c>
      <c r="AI133" t="str">
        <f>IF(AH133="","",MAX($AF$1:$AF133))</f>
        <v/>
      </c>
      <c r="AJ133" t="str">
        <f t="shared" si="10"/>
        <v>M2</v>
      </c>
      <c r="AK133">
        <f>IF(AJ133="","",MAX($AF$1:$AF133))</f>
        <v>3</v>
      </c>
      <c r="AL133" t="str">
        <f t="shared" si="11"/>
        <v/>
      </c>
      <c r="AM133" t="str">
        <f>IF(AL133="","",MAX($AF$1:$AF133))</f>
        <v/>
      </c>
    </row>
    <row r="134" spans="1:39" ht="13.5" customHeight="1" x14ac:dyDescent="0.3">
      <c r="A134" s="8" t="s">
        <v>15</v>
      </c>
      <c r="B134" s="9"/>
      <c r="C134" s="10">
        <v>7</v>
      </c>
      <c r="D134" s="11"/>
      <c r="AB134" t="str" cm="1">
        <f t="array" ref="AB134:AC134">_xlfn._xlws.FILTER(A134:Z134,A134:Z134&lt;&gt;"","")</f>
        <v>Mathematics (Extended part - Calculus and Statistics)</v>
      </c>
      <c r="AC134">
        <v>7</v>
      </c>
      <c r="AD134" t="str">
        <v/>
      </c>
      <c r="AE134" t="str">
        <v/>
      </c>
      <c r="AF134" t="str" cm="1">
        <f t="array" ref="AF134">IF(AD134="","",SUMPRODUCT(IF(LEFT($AD$1:AD134,2)="JS",1,0)))</f>
        <v/>
      </c>
      <c r="AG134" t="str">
        <f t="shared" si="8"/>
        <v/>
      </c>
      <c r="AH134" t="str">
        <f t="shared" si="9"/>
        <v/>
      </c>
      <c r="AI134" t="str">
        <f>IF(AH134="","",MAX($AF$1:$AF134))</f>
        <v/>
      </c>
      <c r="AJ134" t="str">
        <f t="shared" si="10"/>
        <v/>
      </c>
      <c r="AK134" t="str">
        <f>IF(AJ134="","",MAX($AF$1:$AF134))</f>
        <v/>
      </c>
      <c r="AL134" t="str">
        <f t="shared" si="11"/>
        <v/>
      </c>
      <c r="AM134" t="str">
        <f>IF(AL134="","",MAX($AF$1:$AF134))</f>
        <v/>
      </c>
    </row>
    <row r="135" spans="1:39" ht="13.5" customHeight="1" x14ac:dyDescent="0.3">
      <c r="A135" s="8" t="s">
        <v>16</v>
      </c>
      <c r="B135" s="9"/>
      <c r="C135" s="10">
        <v>5</v>
      </c>
      <c r="D135" s="11"/>
      <c r="AB135" t="str" cm="1">
        <f t="array" ref="AB135:AC135">_xlfn._xlws.FILTER(A135:Z135,A135:Z135&lt;&gt;"","")</f>
        <v>Music</v>
      </c>
      <c r="AC135">
        <v>5</v>
      </c>
      <c r="AD135" t="str">
        <v/>
      </c>
      <c r="AE135" t="str">
        <v/>
      </c>
      <c r="AF135" t="str" cm="1">
        <f t="array" ref="AF135">IF(AD135="","",SUMPRODUCT(IF(LEFT($AD$1:AD135,2)="JS",1,0)))</f>
        <v/>
      </c>
      <c r="AG135" t="str">
        <f t="shared" si="8"/>
        <v/>
      </c>
      <c r="AH135" t="str">
        <f t="shared" si="9"/>
        <v/>
      </c>
      <c r="AI135" t="str">
        <f>IF(AH135="","",MAX($AF$1:$AF135))</f>
        <v/>
      </c>
      <c r="AJ135" t="str">
        <f t="shared" si="10"/>
        <v/>
      </c>
      <c r="AK135" t="str">
        <f>IF(AJ135="","",MAX($AF$1:$AF135))</f>
        <v/>
      </c>
      <c r="AL135" t="str">
        <f t="shared" si="11"/>
        <v/>
      </c>
      <c r="AM135" t="str">
        <f>IF(AL135="","",MAX($AF$1:$AF135))</f>
        <v/>
      </c>
    </row>
    <row r="136" spans="1:39" ht="13.5" customHeight="1" x14ac:dyDescent="0.3">
      <c r="A136" s="8" t="s">
        <v>17</v>
      </c>
      <c r="B136" s="9"/>
      <c r="C136" s="10">
        <v>5</v>
      </c>
      <c r="D136" s="11"/>
      <c r="AB136" t="str" cm="1">
        <f t="array" ref="AB136:AC136">_xlfn._xlws.FILTER(A136:Z136,A136:Z136&lt;&gt;"","")</f>
        <v>Physical Education</v>
      </c>
      <c r="AC136">
        <v>5</v>
      </c>
      <c r="AD136" t="str">
        <v/>
      </c>
      <c r="AE136" t="str">
        <v/>
      </c>
      <c r="AF136" t="str" cm="1">
        <f t="array" ref="AF136">IF(AD136="","",SUMPRODUCT(IF(LEFT($AD$1:AD136,2)="JS",1,0)))</f>
        <v/>
      </c>
      <c r="AG136" t="str">
        <f t="shared" si="8"/>
        <v/>
      </c>
      <c r="AH136" t="str">
        <f t="shared" si="9"/>
        <v/>
      </c>
      <c r="AI136" t="str">
        <f>IF(AH136="","",MAX($AF$1:$AF136))</f>
        <v/>
      </c>
      <c r="AJ136" t="str">
        <f t="shared" si="10"/>
        <v/>
      </c>
      <c r="AK136" t="str">
        <f>IF(AJ136="","",MAX($AF$1:$AF136))</f>
        <v/>
      </c>
      <c r="AL136" t="str">
        <f t="shared" si="11"/>
        <v/>
      </c>
      <c r="AM136" t="str">
        <f>IF(AL136="","",MAX($AF$1:$AF136))</f>
        <v/>
      </c>
    </row>
    <row r="137" spans="1:39" ht="13.5" customHeight="1" x14ac:dyDescent="0.3">
      <c r="A137" s="8" t="s">
        <v>226</v>
      </c>
      <c r="B137" s="9"/>
      <c r="C137" s="10">
        <v>5</v>
      </c>
      <c r="D137" s="11"/>
      <c r="AB137" t="str" cm="1">
        <f t="array" ref="AB137:AC137">_xlfn._xlws.FILTER(A137:Z137,A137:Z137&lt;&gt;"","")</f>
        <v>PHY</v>
      </c>
      <c r="AC137">
        <v>5</v>
      </c>
      <c r="AD137" t="str">
        <v/>
      </c>
      <c r="AE137" t="str">
        <v/>
      </c>
      <c r="AF137" t="str" cm="1">
        <f t="array" ref="AF137">IF(AD137="","",SUMPRODUCT(IF(LEFT($AD$1:AD137,2)="JS",1,0)))</f>
        <v/>
      </c>
      <c r="AG137" t="b">
        <f t="shared" si="8"/>
        <v>1</v>
      </c>
      <c r="AH137" t="str">
        <f t="shared" si="9"/>
        <v/>
      </c>
      <c r="AI137" t="str">
        <f>IF(AH137="","",MAX($AF$1:$AF137))</f>
        <v/>
      </c>
      <c r="AJ137" t="str">
        <f t="shared" si="10"/>
        <v/>
      </c>
      <c r="AK137" t="str">
        <f>IF(AJ137="","",MAX($AF$1:$AF137))</f>
        <v/>
      </c>
      <c r="AL137" t="str">
        <f t="shared" si="11"/>
        <v>PHY</v>
      </c>
      <c r="AM137">
        <f>IF(AL137="","",MAX($AF$1:$AF137))</f>
        <v>3</v>
      </c>
    </row>
    <row r="138" spans="1:39" ht="13.5" customHeight="1" x14ac:dyDescent="0.3">
      <c r="A138" s="8" t="s">
        <v>18</v>
      </c>
      <c r="B138" s="9"/>
      <c r="C138" s="10">
        <v>7</v>
      </c>
      <c r="D138" s="11"/>
      <c r="AB138" t="str" cm="1">
        <f t="array" ref="AB138:AC138">_xlfn._xlws.FILTER(A138:Z138,A138:Z138&lt;&gt;"","")</f>
        <v>Technology and Living (Fashion, Clothing and Textiles)</v>
      </c>
      <c r="AC138">
        <v>7</v>
      </c>
      <c r="AD138" t="str">
        <v/>
      </c>
      <c r="AE138" t="str">
        <v/>
      </c>
      <c r="AF138" t="str" cm="1">
        <f t="array" ref="AF138">IF(AD138="","",SUMPRODUCT(IF(LEFT($AD$1:AD138,2)="JS",1,0)))</f>
        <v/>
      </c>
      <c r="AG138" t="str">
        <f t="shared" si="8"/>
        <v/>
      </c>
      <c r="AH138" t="str">
        <f t="shared" si="9"/>
        <v/>
      </c>
      <c r="AI138" t="str">
        <f>IF(AH138="","",MAX($AF$1:$AF138))</f>
        <v/>
      </c>
      <c r="AJ138" t="str">
        <f t="shared" si="10"/>
        <v/>
      </c>
      <c r="AK138" t="str">
        <f>IF(AJ138="","",MAX($AF$1:$AF138))</f>
        <v/>
      </c>
      <c r="AL138" t="str">
        <f t="shared" si="11"/>
        <v/>
      </c>
      <c r="AM138" t="str">
        <f>IF(AL138="","",MAX($AF$1:$AF138))</f>
        <v/>
      </c>
    </row>
    <row r="139" spans="1:39" ht="13.5" customHeight="1" x14ac:dyDescent="0.3">
      <c r="A139" s="8" t="s">
        <v>19</v>
      </c>
      <c r="B139" s="9"/>
      <c r="C139" s="10">
        <v>7</v>
      </c>
      <c r="D139" s="11"/>
      <c r="AB139" t="str" cm="1">
        <f t="array" ref="AB139:AC139">_xlfn._xlws.FILTER(A139:Z139,A139:Z139&lt;&gt;"","")</f>
        <v>Technology and Living (Food Science and Technology)</v>
      </c>
      <c r="AC139">
        <v>7</v>
      </c>
      <c r="AD139" t="str">
        <v/>
      </c>
      <c r="AE139" t="str">
        <v/>
      </c>
      <c r="AF139" t="str" cm="1">
        <f t="array" ref="AF139">IF(AD139="","",SUMPRODUCT(IF(LEFT($AD$1:AD139,2)="JS",1,0)))</f>
        <v/>
      </c>
      <c r="AG139" t="str">
        <f t="shared" si="8"/>
        <v/>
      </c>
      <c r="AH139" t="str">
        <f t="shared" si="9"/>
        <v/>
      </c>
      <c r="AI139" t="str">
        <f>IF(AH139="","",MAX($AF$1:$AF139))</f>
        <v/>
      </c>
      <c r="AJ139" t="str">
        <f t="shared" si="10"/>
        <v/>
      </c>
      <c r="AK139" t="str">
        <f>IF(AJ139="","",MAX($AF$1:$AF139))</f>
        <v/>
      </c>
      <c r="AL139" t="str">
        <f t="shared" si="11"/>
        <v/>
      </c>
      <c r="AM139" t="str">
        <f>IF(AL139="","",MAX($AF$1:$AF139))</f>
        <v/>
      </c>
    </row>
    <row r="140" spans="1:39" ht="13.5" customHeight="1" x14ac:dyDescent="0.3">
      <c r="A140" s="8" t="s">
        <v>20</v>
      </c>
      <c r="B140" s="9"/>
      <c r="C140" s="10">
        <v>5</v>
      </c>
      <c r="D140" s="11"/>
      <c r="AB140" t="str" cm="1">
        <f t="array" ref="AB140:AC140">_xlfn._xlws.FILTER(A140:Z140,A140:Z140&lt;&gt;"","")</f>
        <v>Tourism and Hospitality Studies</v>
      </c>
      <c r="AC140">
        <v>5</v>
      </c>
      <c r="AD140" t="str">
        <v/>
      </c>
      <c r="AE140" t="str">
        <v/>
      </c>
      <c r="AF140" t="str" cm="1">
        <f t="array" ref="AF140">IF(AD140="","",SUMPRODUCT(IF(LEFT($AD$1:AD140,2)="JS",1,0)))</f>
        <v/>
      </c>
      <c r="AG140" t="str">
        <f t="shared" si="8"/>
        <v/>
      </c>
      <c r="AH140" t="str">
        <f t="shared" si="9"/>
        <v/>
      </c>
      <c r="AI140" t="str">
        <f>IF(AH140="","",MAX($AF$1:$AF140))</f>
        <v/>
      </c>
      <c r="AJ140" t="str">
        <f t="shared" si="10"/>
        <v/>
      </c>
      <c r="AK140" t="str">
        <f>IF(AJ140="","",MAX($AF$1:$AF140))</f>
        <v/>
      </c>
      <c r="AL140" t="str">
        <f t="shared" si="11"/>
        <v/>
      </c>
      <c r="AM140" t="str">
        <f>IF(AL140="","",MAX($AF$1:$AF140))</f>
        <v/>
      </c>
    </row>
    <row r="141" spans="1:39" ht="13.5" customHeight="1" x14ac:dyDescent="0.3">
      <c r="A141" s="8" t="s">
        <v>210</v>
      </c>
      <c r="B141" s="9"/>
      <c r="C141" s="10">
        <v>10</v>
      </c>
      <c r="D141" s="11"/>
      <c r="AB141" t="str" cm="1">
        <f t="array" ref="AB141:AC141">_xlfn._xlws.FILTER(A141:Z141,A141:Z141&lt;&gt;"","")</f>
        <v>VA</v>
      </c>
      <c r="AC141">
        <v>10</v>
      </c>
      <c r="AD141" t="str">
        <v/>
      </c>
      <c r="AE141" t="str">
        <v/>
      </c>
      <c r="AF141" t="str" cm="1">
        <f t="array" ref="AF141">IF(AD141="","",SUMPRODUCT(IF(LEFT($AD$1:AD141,2)="JS",1,0)))</f>
        <v/>
      </c>
      <c r="AG141" t="b">
        <f t="shared" si="8"/>
        <v>1</v>
      </c>
      <c r="AH141" t="str">
        <f t="shared" si="9"/>
        <v>VA</v>
      </c>
      <c r="AI141">
        <f>IF(AH141="","",MAX($AF$1:$AF141))</f>
        <v>3</v>
      </c>
      <c r="AJ141" t="str">
        <f t="shared" si="10"/>
        <v/>
      </c>
      <c r="AK141" t="str">
        <f>IF(AJ141="","",MAX($AF$1:$AF141))</f>
        <v/>
      </c>
      <c r="AL141" t="str">
        <f t="shared" si="11"/>
        <v/>
      </c>
      <c r="AM141" t="str">
        <f>IF(AL141="","",MAX($AF$1:$AF141))</f>
        <v/>
      </c>
    </row>
    <row r="142" spans="1:39" ht="14.5" customHeight="1" x14ac:dyDescent="0.3">
      <c r="A142" s="12"/>
      <c r="B142" s="12"/>
      <c r="C142" s="2"/>
      <c r="D142" s="2"/>
      <c r="AB142" t="str" cm="1">
        <f t="array" ref="AB142">_xlfn._xlws.FILTER(A142:Z142,A142:Z142&lt;&gt;"","")</f>
        <v/>
      </c>
      <c r="AD142" t="str">
        <v/>
      </c>
      <c r="AE142" t="str">
        <v/>
      </c>
      <c r="AF142" t="str" cm="1">
        <f t="array" ref="AF142">IF(AD142="","",SUMPRODUCT(IF(LEFT($AD$1:AD142,2)="JS",1,0)))</f>
        <v/>
      </c>
      <c r="AG142" t="str">
        <f t="shared" si="8"/>
        <v/>
      </c>
      <c r="AH142" t="str">
        <f t="shared" si="9"/>
        <v/>
      </c>
      <c r="AI142" t="str">
        <f>IF(AH142="","",MAX($AF$1:$AF142))</f>
        <v/>
      </c>
      <c r="AJ142" t="str">
        <f t="shared" si="10"/>
        <v/>
      </c>
      <c r="AK142" t="str">
        <f>IF(AJ142="","",MAX($AF$1:$AF142))</f>
        <v/>
      </c>
      <c r="AL142" t="str">
        <f t="shared" si="11"/>
        <v/>
      </c>
      <c r="AM142" t="str">
        <f>IF(AL142="","",MAX($AF$1:$AF142))</f>
        <v/>
      </c>
    </row>
    <row r="143" spans="1:39" ht="13.5" customHeight="1" x14ac:dyDescent="0.3">
      <c r="A143" s="13" t="s">
        <v>21</v>
      </c>
      <c r="B143" s="13"/>
      <c r="C143" s="13"/>
      <c r="D143" s="13"/>
      <c r="AB143" t="str" cm="1">
        <f t="array" ref="AB143">_xlfn._xlws.FILTER(A143:Z143,A143:Z143&lt;&gt;"","")</f>
        <v>Category B: Applied Learning Subjects</v>
      </c>
      <c r="AD143" t="str">
        <v/>
      </c>
      <c r="AE143" t="str">
        <v/>
      </c>
      <c r="AF143" t="str" cm="1">
        <f t="array" ref="AF143">IF(AD143="","",SUMPRODUCT(IF(LEFT($AD$1:AD143,2)="JS",1,0)))</f>
        <v/>
      </c>
      <c r="AG143" t="str">
        <f t="shared" si="8"/>
        <v/>
      </c>
      <c r="AH143" t="str">
        <f t="shared" si="9"/>
        <v/>
      </c>
      <c r="AI143" t="str">
        <f>IF(AH143="","",MAX($AF$1:$AF143))</f>
        <v/>
      </c>
      <c r="AJ143" t="str">
        <f t="shared" si="10"/>
        <v/>
      </c>
      <c r="AK143" t="str">
        <f>IF(AJ143="","",MAX($AF$1:$AF143))</f>
        <v/>
      </c>
      <c r="AL143" t="str">
        <f t="shared" si="11"/>
        <v/>
      </c>
      <c r="AM143" t="str">
        <f>IF(AL143="","",MAX($AF$1:$AF143))</f>
        <v/>
      </c>
    </row>
    <row r="144" spans="1:39" ht="13.5" customHeight="1" x14ac:dyDescent="0.3">
      <c r="A144" s="14" t="s">
        <v>3</v>
      </c>
      <c r="B144" s="15"/>
      <c r="C144" s="16" t="s">
        <v>4</v>
      </c>
      <c r="D144" s="17"/>
      <c r="AB144" t="str" cm="1">
        <f t="array" ref="AB144:AC144">_xlfn._xlws.FILTER(A144:Z144,A144:Z144&lt;&gt;"","")</f>
        <v>Subject Name</v>
      </c>
      <c r="AC144" t="str">
        <v>Subject Weighting for 2023/24 Admission Exercise *</v>
      </c>
      <c r="AD144" t="str">
        <v/>
      </c>
      <c r="AE144" t="str">
        <v/>
      </c>
      <c r="AF144" t="str" cm="1">
        <f t="array" ref="AF144">IF(AD144="","",SUMPRODUCT(IF(LEFT($AD$1:AD144,2)="JS",1,0)))</f>
        <v/>
      </c>
      <c r="AG144" t="str">
        <f t="shared" si="8"/>
        <v/>
      </c>
      <c r="AH144" t="str">
        <f t="shared" si="9"/>
        <v/>
      </c>
      <c r="AI144" t="str">
        <f>IF(AH144="","",MAX($AF$1:$AF144))</f>
        <v/>
      </c>
      <c r="AJ144" t="str">
        <f t="shared" si="10"/>
        <v/>
      </c>
      <c r="AK144" t="str">
        <f>IF(AJ144="","",MAX($AF$1:$AF144))</f>
        <v/>
      </c>
      <c r="AL144" t="str">
        <f t="shared" si="11"/>
        <v/>
      </c>
      <c r="AM144" t="str">
        <f>IF(AL144="","",MAX($AF$1:$AF144))</f>
        <v/>
      </c>
    </row>
    <row r="145" spans="1:39" ht="13.5" customHeight="1" x14ac:dyDescent="0.3">
      <c r="A145" s="8" t="s">
        <v>46</v>
      </c>
      <c r="B145" s="9"/>
      <c r="C145" s="10">
        <v>5</v>
      </c>
      <c r="D145" s="11"/>
      <c r="AB145" t="str" cm="1">
        <f t="array" ref="AB145:AC145">_xlfn._xlws.FILTER(A145:Z145,A145:Z145&lt;&gt;"","")</f>
        <v>Accounting for E-business</v>
      </c>
      <c r="AC145">
        <v>5</v>
      </c>
      <c r="AD145" t="str">
        <v/>
      </c>
      <c r="AE145" t="str">
        <v/>
      </c>
      <c r="AF145" t="str" cm="1">
        <f t="array" ref="AF145">IF(AD145="","",SUMPRODUCT(IF(LEFT($AD$1:AD145,2)="JS",1,0)))</f>
        <v/>
      </c>
      <c r="AG145" t="str">
        <f t="shared" si="8"/>
        <v/>
      </c>
      <c r="AH145" t="str">
        <f t="shared" si="9"/>
        <v/>
      </c>
      <c r="AI145" t="str">
        <f>IF(AH145="","",MAX($AF$1:$AF145))</f>
        <v/>
      </c>
      <c r="AJ145" t="str">
        <f t="shared" si="10"/>
        <v/>
      </c>
      <c r="AK145" t="str">
        <f>IF(AJ145="","",MAX($AF$1:$AF145))</f>
        <v/>
      </c>
      <c r="AL145" t="str">
        <f t="shared" si="11"/>
        <v/>
      </c>
      <c r="AM145" t="str">
        <f>IF(AL145="","",MAX($AF$1:$AF145))</f>
        <v/>
      </c>
    </row>
    <row r="146" spans="1:39" ht="13.5" customHeight="1" x14ac:dyDescent="0.3">
      <c r="A146" s="8" t="s">
        <v>47</v>
      </c>
      <c r="B146" s="9"/>
      <c r="C146" s="10">
        <v>5</v>
      </c>
      <c r="D146" s="11"/>
      <c r="AB146" t="str" cm="1">
        <f t="array" ref="AB146:AC146">_xlfn._xlws.FILTER(A146:Z146,A146:Z146&lt;&gt;"","")</f>
        <v>Accounting in Practice</v>
      </c>
      <c r="AC146">
        <v>5</v>
      </c>
      <c r="AD146" t="str">
        <v/>
      </c>
      <c r="AE146" t="str">
        <v/>
      </c>
      <c r="AF146" t="str" cm="1">
        <f t="array" ref="AF146">IF(AD146="","",SUMPRODUCT(IF(LEFT($AD$1:AD146,2)="JS",1,0)))</f>
        <v/>
      </c>
      <c r="AG146" t="str">
        <f t="shared" si="8"/>
        <v/>
      </c>
      <c r="AH146" t="str">
        <f t="shared" si="9"/>
        <v/>
      </c>
      <c r="AI146" t="str">
        <f>IF(AH146="","",MAX($AF$1:$AF146))</f>
        <v/>
      </c>
      <c r="AJ146" t="str">
        <f t="shared" si="10"/>
        <v/>
      </c>
      <c r="AK146" t="str">
        <f>IF(AJ146="","",MAX($AF$1:$AF146))</f>
        <v/>
      </c>
      <c r="AL146" t="str">
        <f t="shared" si="11"/>
        <v/>
      </c>
      <c r="AM146" t="str">
        <f>IF(AL146="","",MAX($AF$1:$AF146))</f>
        <v/>
      </c>
    </row>
    <row r="147" spans="1:39" ht="13.5" customHeight="1" x14ac:dyDescent="0.3">
      <c r="A147" s="8" t="s">
        <v>48</v>
      </c>
      <c r="B147" s="9"/>
      <c r="C147" s="10">
        <v>5</v>
      </c>
      <c r="D147" s="11"/>
      <c r="AB147" t="str" cm="1">
        <f t="array" ref="AB147:AC147">_xlfn._xlws.FILTER(A147:Z147,A147:Z147&lt;&gt;"","")</f>
        <v>Applied Business Research</v>
      </c>
      <c r="AC147">
        <v>5</v>
      </c>
      <c r="AD147" t="str">
        <v/>
      </c>
      <c r="AE147" t="str">
        <v/>
      </c>
      <c r="AF147" t="str" cm="1">
        <f t="array" ref="AF147">IF(AD147="","",SUMPRODUCT(IF(LEFT($AD$1:AD147,2)="JS",1,0)))</f>
        <v/>
      </c>
      <c r="AG147" t="str">
        <f t="shared" si="8"/>
        <v/>
      </c>
      <c r="AH147" t="str">
        <f t="shared" si="9"/>
        <v/>
      </c>
      <c r="AI147" t="str">
        <f>IF(AH147="","",MAX($AF$1:$AF147))</f>
        <v/>
      </c>
      <c r="AJ147" t="str">
        <f t="shared" si="10"/>
        <v/>
      </c>
      <c r="AK147" t="str">
        <f>IF(AJ147="","",MAX($AF$1:$AF147))</f>
        <v/>
      </c>
      <c r="AL147" t="str">
        <f t="shared" si="11"/>
        <v/>
      </c>
      <c r="AM147" t="str">
        <f>IF(AL147="","",MAX($AF$1:$AF147))</f>
        <v/>
      </c>
    </row>
    <row r="148" spans="1:39" ht="13.5" customHeight="1" x14ac:dyDescent="0.3">
      <c r="A148" s="8" t="s">
        <v>49</v>
      </c>
      <c r="B148" s="9"/>
      <c r="C148" s="10">
        <v>5</v>
      </c>
      <c r="D148" s="11"/>
      <c r="AB148" t="str" cm="1">
        <f t="array" ref="AB148:AC148">_xlfn._xlws.FILTER(A148:Z148,A148:Z148&lt;&gt;"","")</f>
        <v>Applied Psychology</v>
      </c>
      <c r="AC148">
        <v>5</v>
      </c>
      <c r="AD148" t="str">
        <v/>
      </c>
      <c r="AE148" t="str">
        <v/>
      </c>
      <c r="AF148" t="str" cm="1">
        <f t="array" ref="AF148">IF(AD148="","",SUMPRODUCT(IF(LEFT($AD$1:AD148,2)="JS",1,0)))</f>
        <v/>
      </c>
      <c r="AG148" t="str">
        <f t="shared" si="8"/>
        <v/>
      </c>
      <c r="AH148" t="str">
        <f t="shared" si="9"/>
        <v/>
      </c>
      <c r="AI148" t="str">
        <f>IF(AH148="","",MAX($AF$1:$AF148))</f>
        <v/>
      </c>
      <c r="AJ148" t="str">
        <f t="shared" si="10"/>
        <v/>
      </c>
      <c r="AK148" t="str">
        <f>IF(AJ148="","",MAX($AF$1:$AF148))</f>
        <v/>
      </c>
      <c r="AL148" t="str">
        <f t="shared" si="11"/>
        <v/>
      </c>
      <c r="AM148" t="str">
        <f>IF(AL148="","",MAX($AF$1:$AF148))</f>
        <v/>
      </c>
    </row>
    <row r="149" spans="1:39" ht="13.5" customHeight="1" x14ac:dyDescent="0.3">
      <c r="A149" s="8" t="s">
        <v>50</v>
      </c>
      <c r="B149" s="9"/>
      <c r="C149" s="10">
        <v>5</v>
      </c>
      <c r="D149" s="11"/>
      <c r="AB149" t="str" cm="1">
        <f t="array" ref="AB149:AC149">_xlfn._xlws.FILTER(A149:Z149,A149:Z149&lt;&gt;"","")</f>
        <v>Computer Game and Animation Design</v>
      </c>
      <c r="AC149">
        <v>5</v>
      </c>
      <c r="AD149" t="str">
        <v/>
      </c>
      <c r="AE149" t="str">
        <v/>
      </c>
      <c r="AF149" t="str" cm="1">
        <f t="array" ref="AF149">IF(AD149="","",SUMPRODUCT(IF(LEFT($AD$1:AD149,2)="JS",1,0)))</f>
        <v/>
      </c>
      <c r="AG149" t="str">
        <f t="shared" si="8"/>
        <v/>
      </c>
      <c r="AH149" t="str">
        <f t="shared" si="9"/>
        <v/>
      </c>
      <c r="AI149" t="str">
        <f>IF(AH149="","",MAX($AF$1:$AF149))</f>
        <v/>
      </c>
      <c r="AJ149" t="str">
        <f t="shared" si="10"/>
        <v/>
      </c>
      <c r="AK149" t="str">
        <f>IF(AJ149="","",MAX($AF$1:$AF149))</f>
        <v/>
      </c>
      <c r="AL149" t="str">
        <f t="shared" si="11"/>
        <v/>
      </c>
      <c r="AM149" t="str">
        <f>IF(AL149="","",MAX($AF$1:$AF149))</f>
        <v/>
      </c>
    </row>
    <row r="150" spans="1:39" ht="13.5" customHeight="1" x14ac:dyDescent="0.3">
      <c r="A150" s="8" t="s">
        <v>51</v>
      </c>
      <c r="B150" s="9"/>
      <c r="C150" s="10">
        <v>5</v>
      </c>
      <c r="D150" s="11"/>
      <c r="AB150" t="str" cm="1">
        <f t="array" ref="AB150:AC150">_xlfn._xlws.FILTER(A150:Z150,A150:Z150&lt;&gt;"","")</f>
        <v>Creative Advertising</v>
      </c>
      <c r="AC150">
        <v>5</v>
      </c>
      <c r="AD150" t="str">
        <v/>
      </c>
      <c r="AE150" t="str">
        <v/>
      </c>
      <c r="AF150" t="str" cm="1">
        <f t="array" ref="AF150">IF(AD150="","",SUMPRODUCT(IF(LEFT($AD$1:AD150,2)="JS",1,0)))</f>
        <v/>
      </c>
      <c r="AG150" t="str">
        <f t="shared" si="8"/>
        <v/>
      </c>
      <c r="AH150" t="str">
        <f t="shared" si="9"/>
        <v/>
      </c>
      <c r="AI150" t="str">
        <f>IF(AH150="","",MAX($AF$1:$AF150))</f>
        <v/>
      </c>
      <c r="AJ150" t="str">
        <f t="shared" si="10"/>
        <v/>
      </c>
      <c r="AK150" t="str">
        <f>IF(AJ150="","",MAX($AF$1:$AF150))</f>
        <v/>
      </c>
      <c r="AL150" t="str">
        <f t="shared" si="11"/>
        <v/>
      </c>
      <c r="AM150" t="str">
        <f>IF(AL150="","",MAX($AF$1:$AF150))</f>
        <v/>
      </c>
    </row>
    <row r="151" spans="1:39" ht="13.5" customHeight="1" x14ac:dyDescent="0.3">
      <c r="A151" s="8" t="s">
        <v>52</v>
      </c>
      <c r="B151" s="9"/>
      <c r="C151" s="10">
        <v>5</v>
      </c>
      <c r="D151" s="11"/>
      <c r="AB151" t="str" cm="1">
        <f t="array" ref="AB151:AC151">_xlfn._xlws.FILTER(A151:Z151,A151:Z151&lt;&gt;"","")</f>
        <v>Data Application for Business</v>
      </c>
      <c r="AC151">
        <v>5</v>
      </c>
      <c r="AD151" t="str">
        <v/>
      </c>
      <c r="AE151" t="str">
        <v/>
      </c>
      <c r="AF151" t="str" cm="1">
        <f t="array" ref="AF151">IF(AD151="","",SUMPRODUCT(IF(LEFT($AD$1:AD151,2)="JS",1,0)))</f>
        <v/>
      </c>
      <c r="AG151" t="str">
        <f t="shared" si="8"/>
        <v/>
      </c>
      <c r="AH151" t="str">
        <f t="shared" si="9"/>
        <v/>
      </c>
      <c r="AI151" t="str">
        <f>IF(AH151="","",MAX($AF$1:$AF151))</f>
        <v/>
      </c>
      <c r="AJ151" t="str">
        <f t="shared" si="10"/>
        <v/>
      </c>
      <c r="AK151" t="str">
        <f>IF(AJ151="","",MAX($AF$1:$AF151))</f>
        <v/>
      </c>
      <c r="AL151" t="str">
        <f t="shared" si="11"/>
        <v/>
      </c>
      <c r="AM151" t="str">
        <f>IF(AL151="","",MAX($AF$1:$AF151))</f>
        <v/>
      </c>
    </row>
    <row r="152" spans="1:39" ht="13.5" customHeight="1" x14ac:dyDescent="0.3">
      <c r="A152" s="8" t="s">
        <v>53</v>
      </c>
      <c r="B152" s="9"/>
      <c r="C152" s="10">
        <v>5</v>
      </c>
      <c r="D152" s="11"/>
      <c r="AB152" t="str" cm="1">
        <f t="array" ref="AB152:AC152">_xlfn._xlws.FILTER(A152:Z152,A152:Z152&lt;&gt;"","")</f>
        <v>Digital Comic Design And Production</v>
      </c>
      <c r="AC152">
        <v>5</v>
      </c>
      <c r="AD152" t="str">
        <v/>
      </c>
      <c r="AE152" t="str">
        <v/>
      </c>
      <c r="AF152" t="str" cm="1">
        <f t="array" ref="AF152">IF(AD152="","",SUMPRODUCT(IF(LEFT($AD$1:AD152,2)="JS",1,0)))</f>
        <v/>
      </c>
      <c r="AG152" t="str">
        <f t="shared" si="8"/>
        <v/>
      </c>
      <c r="AH152" t="str">
        <f t="shared" si="9"/>
        <v/>
      </c>
      <c r="AI152" t="str">
        <f>IF(AH152="","",MAX($AF$1:$AF152))</f>
        <v/>
      </c>
      <c r="AJ152" t="str">
        <f t="shared" si="10"/>
        <v/>
      </c>
      <c r="AK152" t="str">
        <f>IF(AJ152="","",MAX($AF$1:$AF152))</f>
        <v/>
      </c>
      <c r="AL152" t="str">
        <f t="shared" si="11"/>
        <v/>
      </c>
      <c r="AM152" t="str">
        <f>IF(AL152="","",MAX($AF$1:$AF152))</f>
        <v/>
      </c>
    </row>
    <row r="153" spans="1:39" ht="13.5" customHeight="1" x14ac:dyDescent="0.3">
      <c r="A153" s="8" t="s">
        <v>54</v>
      </c>
      <c r="B153" s="9"/>
      <c r="C153" s="10">
        <v>5</v>
      </c>
      <c r="D153" s="11"/>
      <c r="AB153" t="str" cm="1">
        <f t="array" ref="AB153:AC153">_xlfn._xlws.FILTER(A153:Z153,A153:Z153&lt;&gt;"","")</f>
        <v>Display and Jewellery Design</v>
      </c>
      <c r="AC153">
        <v>5</v>
      </c>
      <c r="AD153" t="str">
        <v/>
      </c>
      <c r="AE153" t="str">
        <v/>
      </c>
      <c r="AF153" t="str" cm="1">
        <f t="array" ref="AF153">IF(AD153="","",SUMPRODUCT(IF(LEFT($AD$1:AD153,2)="JS",1,0)))</f>
        <v/>
      </c>
      <c r="AG153" t="str">
        <f t="shared" si="8"/>
        <v/>
      </c>
      <c r="AH153" t="str">
        <f t="shared" si="9"/>
        <v/>
      </c>
      <c r="AI153" t="str">
        <f>IF(AH153="","",MAX($AF$1:$AF153))</f>
        <v/>
      </c>
      <c r="AJ153" t="str">
        <f t="shared" si="10"/>
        <v/>
      </c>
      <c r="AK153" t="str">
        <f>IF(AJ153="","",MAX($AF$1:$AF153))</f>
        <v/>
      </c>
      <c r="AL153" t="str">
        <f t="shared" si="11"/>
        <v/>
      </c>
      <c r="AM153" t="str">
        <f>IF(AL153="","",MAX($AF$1:$AF153))</f>
        <v/>
      </c>
    </row>
    <row r="154" spans="1:39" ht="13.5" customHeight="1" x14ac:dyDescent="0.3">
      <c r="A154" s="8" t="s">
        <v>55</v>
      </c>
      <c r="B154" s="9"/>
      <c r="C154" s="10">
        <v>5</v>
      </c>
      <c r="D154" s="11"/>
      <c r="AB154" t="str" cm="1">
        <f t="array" ref="AB154:AC154">_xlfn._xlws.FILTER(A154:Z154,A154:Z154&lt;&gt;"","")</f>
        <v>Entrepreneurship for SME</v>
      </c>
      <c r="AC154">
        <v>5</v>
      </c>
      <c r="AD154" t="str">
        <v/>
      </c>
      <c r="AE154" t="str">
        <v/>
      </c>
      <c r="AF154" t="str" cm="1">
        <f t="array" ref="AF154">IF(AD154="","",SUMPRODUCT(IF(LEFT($AD$1:AD154,2)="JS",1,0)))</f>
        <v/>
      </c>
      <c r="AG154" t="str">
        <f t="shared" si="8"/>
        <v/>
      </c>
      <c r="AH154" t="str">
        <f t="shared" si="9"/>
        <v/>
      </c>
      <c r="AI154" t="str">
        <f>IF(AH154="","",MAX($AF$1:$AF154))</f>
        <v/>
      </c>
      <c r="AJ154" t="str">
        <f t="shared" si="10"/>
        <v/>
      </c>
      <c r="AK154" t="str">
        <f>IF(AJ154="","",MAX($AF$1:$AF154))</f>
        <v/>
      </c>
      <c r="AL154" t="str">
        <f t="shared" si="11"/>
        <v/>
      </c>
      <c r="AM154" t="str">
        <f>IF(AL154="","",MAX($AF$1:$AF154))</f>
        <v/>
      </c>
    </row>
    <row r="155" spans="1:39" ht="13.5" customHeight="1" x14ac:dyDescent="0.3">
      <c r="A155" s="8" t="s">
        <v>24</v>
      </c>
      <c r="B155" s="9"/>
      <c r="C155" s="10">
        <v>5</v>
      </c>
      <c r="D155" s="11"/>
      <c r="AB155" t="str" cm="1">
        <f t="array" ref="AB155:AC155">_xlfn._xlws.FILTER(A155:Z155,A155:Z155&lt;&gt;"","")</f>
        <v>Environmental Engineering</v>
      </c>
      <c r="AC155">
        <v>5</v>
      </c>
      <c r="AD155" t="str">
        <v/>
      </c>
      <c r="AE155" t="str">
        <v/>
      </c>
      <c r="AF155" t="str" cm="1">
        <f t="array" ref="AF155">IF(AD155="","",SUMPRODUCT(IF(LEFT($AD$1:AD155,2)="JS",1,0)))</f>
        <v/>
      </c>
      <c r="AG155" t="str">
        <f t="shared" si="8"/>
        <v/>
      </c>
      <c r="AH155" t="str">
        <f t="shared" si="9"/>
        <v/>
      </c>
      <c r="AI155" t="str">
        <f>IF(AH155="","",MAX($AF$1:$AF155))</f>
        <v/>
      </c>
      <c r="AJ155" t="str">
        <f t="shared" si="10"/>
        <v/>
      </c>
      <c r="AK155" t="str">
        <f>IF(AJ155="","",MAX($AF$1:$AF155))</f>
        <v/>
      </c>
      <c r="AL155" t="str">
        <f t="shared" si="11"/>
        <v/>
      </c>
      <c r="AM155" t="str">
        <f>IF(AL155="","",MAX($AF$1:$AF155))</f>
        <v/>
      </c>
    </row>
    <row r="156" spans="1:39" ht="13.5" customHeight="1" x14ac:dyDescent="0.3">
      <c r="A156" s="8" t="s">
        <v>56</v>
      </c>
      <c r="B156" s="9"/>
      <c r="C156" s="10">
        <v>5</v>
      </c>
      <c r="D156" s="11"/>
      <c r="AB156" t="str" cm="1">
        <f t="array" ref="AB156:AC156">_xlfn._xlws.FILTER(A156:Z156,A156:Z156&lt;&gt;"","")</f>
        <v>Exercise and Fitness Coaching</v>
      </c>
      <c r="AC156">
        <v>5</v>
      </c>
      <c r="AD156" t="str">
        <v/>
      </c>
      <c r="AE156" t="str">
        <v/>
      </c>
      <c r="AF156" t="str" cm="1">
        <f t="array" ref="AF156">IF(AD156="","",SUMPRODUCT(IF(LEFT($AD$1:AD156,2)="JS",1,0)))</f>
        <v/>
      </c>
      <c r="AG156" t="str">
        <f t="shared" si="8"/>
        <v/>
      </c>
      <c r="AH156" t="str">
        <f t="shared" si="9"/>
        <v/>
      </c>
      <c r="AI156" t="str">
        <f>IF(AH156="","",MAX($AF$1:$AF156))</f>
        <v/>
      </c>
      <c r="AJ156" t="str">
        <f t="shared" si="10"/>
        <v/>
      </c>
      <c r="AK156" t="str">
        <f>IF(AJ156="","",MAX($AF$1:$AF156))</f>
        <v/>
      </c>
      <c r="AL156" t="str">
        <f t="shared" si="11"/>
        <v/>
      </c>
      <c r="AM156" t="str">
        <f>IF(AL156="","",MAX($AF$1:$AF156))</f>
        <v/>
      </c>
    </row>
    <row r="157" spans="1:39" ht="13.5" customHeight="1" x14ac:dyDescent="0.3">
      <c r="A157" s="8" t="s">
        <v>26</v>
      </c>
      <c r="B157" s="9"/>
      <c r="C157" s="10">
        <v>5</v>
      </c>
      <c r="D157" s="11"/>
      <c r="AB157" t="str" cm="1">
        <f t="array" ref="AB157:AC157">_xlfn._xlws.FILTER(A157:Z157,A157:Z157&lt;&gt;"","")</f>
        <v>Exercise Science and Health Fitness</v>
      </c>
      <c r="AC157">
        <v>5</v>
      </c>
      <c r="AD157" t="str">
        <v/>
      </c>
      <c r="AE157" t="str">
        <v/>
      </c>
      <c r="AF157" t="str" cm="1">
        <f t="array" ref="AF157">IF(AD157="","",SUMPRODUCT(IF(LEFT($AD$1:AD157,2)="JS",1,0)))</f>
        <v/>
      </c>
      <c r="AG157" t="str">
        <f t="shared" si="8"/>
        <v/>
      </c>
      <c r="AH157" t="str">
        <f t="shared" si="9"/>
        <v/>
      </c>
      <c r="AI157" t="str">
        <f>IF(AH157="","",MAX($AF$1:$AF157))</f>
        <v/>
      </c>
      <c r="AJ157" t="str">
        <f t="shared" si="10"/>
        <v/>
      </c>
      <c r="AK157" t="str">
        <f>IF(AJ157="","",MAX($AF$1:$AF157))</f>
        <v/>
      </c>
      <c r="AL157" t="str">
        <f t="shared" si="11"/>
        <v/>
      </c>
      <c r="AM157" t="str">
        <f>IF(AL157="","",MAX($AF$1:$AF157))</f>
        <v/>
      </c>
    </row>
    <row r="158" spans="1:39" ht="13.5" customHeight="1" x14ac:dyDescent="0.3">
      <c r="A158" s="8" t="s">
        <v>57</v>
      </c>
      <c r="B158" s="9"/>
      <c r="C158" s="10">
        <v>5</v>
      </c>
      <c r="D158" s="11"/>
      <c r="AB158" t="str" cm="1">
        <f t="array" ref="AB158:AC158">_xlfn._xlws.FILTER(A158:Z158,A158:Z158&lt;&gt;"","")</f>
        <v>Exploring Psychology</v>
      </c>
      <c r="AC158">
        <v>5</v>
      </c>
      <c r="AD158" t="str">
        <v/>
      </c>
      <c r="AE158" t="str">
        <v/>
      </c>
      <c r="AF158" t="str" cm="1">
        <f t="array" ref="AF158">IF(AD158="","",SUMPRODUCT(IF(LEFT($AD$1:AD158,2)="JS",1,0)))</f>
        <v/>
      </c>
      <c r="AG158" t="str">
        <f t="shared" si="8"/>
        <v/>
      </c>
      <c r="AH158" t="str">
        <f t="shared" si="9"/>
        <v/>
      </c>
      <c r="AI158" t="str">
        <f>IF(AH158="","",MAX($AF$1:$AF158))</f>
        <v/>
      </c>
      <c r="AJ158" t="str">
        <f t="shared" si="10"/>
        <v/>
      </c>
      <c r="AK158" t="str">
        <f>IF(AJ158="","",MAX($AF$1:$AF158))</f>
        <v/>
      </c>
      <c r="AL158" t="str">
        <f t="shared" si="11"/>
        <v/>
      </c>
      <c r="AM158" t="str">
        <f>IF(AL158="","",MAX($AF$1:$AF158))</f>
        <v/>
      </c>
    </row>
    <row r="159" spans="1:39" ht="13.5" customHeight="1" x14ac:dyDescent="0.3">
      <c r="A159" s="8" t="s">
        <v>58</v>
      </c>
      <c r="B159" s="9"/>
      <c r="C159" s="10">
        <v>7</v>
      </c>
      <c r="D159" s="11"/>
      <c r="AB159" t="str" cm="1">
        <f t="array" ref="AB159:AC159">_xlfn._xlws.FILTER(A159:Z159,A159:Z159&lt;&gt;"","")</f>
        <v>Fashion Image Design</v>
      </c>
      <c r="AC159">
        <v>7</v>
      </c>
      <c r="AD159" t="str">
        <v/>
      </c>
      <c r="AE159" t="str">
        <v/>
      </c>
      <c r="AF159" t="str" cm="1">
        <f t="array" ref="AF159">IF(AD159="","",SUMPRODUCT(IF(LEFT($AD$1:AD159,2)="JS",1,0)))</f>
        <v/>
      </c>
      <c r="AG159" t="str">
        <f t="shared" si="8"/>
        <v/>
      </c>
      <c r="AH159" t="str">
        <f t="shared" si="9"/>
        <v/>
      </c>
      <c r="AI159" t="str">
        <f>IF(AH159="","",MAX($AF$1:$AF159))</f>
        <v/>
      </c>
      <c r="AJ159" t="str">
        <f t="shared" si="10"/>
        <v/>
      </c>
      <c r="AK159" t="str">
        <f>IF(AJ159="","",MAX($AF$1:$AF159))</f>
        <v/>
      </c>
      <c r="AL159" t="str">
        <f t="shared" si="11"/>
        <v/>
      </c>
      <c r="AM159" t="str">
        <f>IF(AL159="","",MAX($AF$1:$AF159))</f>
        <v/>
      </c>
    </row>
    <row r="160" spans="1:39" ht="13.5" customHeight="1" x14ac:dyDescent="0.3">
      <c r="A160" s="8" t="s">
        <v>59</v>
      </c>
      <c r="B160" s="9"/>
      <c r="C160" s="10">
        <v>5</v>
      </c>
      <c r="D160" s="11"/>
      <c r="AB160" t="str" cm="1">
        <f t="array" ref="AB160:AC160">_xlfn._xlws.FILTER(A160:Z160,A160:Z160&lt;&gt;"","")</f>
        <v>Film and Transmedia</v>
      </c>
      <c r="AC160">
        <v>5</v>
      </c>
      <c r="AD160" t="str">
        <v/>
      </c>
      <c r="AE160" t="str">
        <v/>
      </c>
      <c r="AF160" t="str" cm="1">
        <f t="array" ref="AF160">IF(AD160="","",SUMPRODUCT(IF(LEFT($AD$1:AD160,2)="JS",1,0)))</f>
        <v/>
      </c>
      <c r="AG160" t="str">
        <f t="shared" si="8"/>
        <v/>
      </c>
      <c r="AH160" t="str">
        <f t="shared" si="9"/>
        <v/>
      </c>
      <c r="AI160" t="str">
        <f>IF(AH160="","",MAX($AF$1:$AF160))</f>
        <v/>
      </c>
      <c r="AJ160" t="str">
        <f t="shared" si="10"/>
        <v/>
      </c>
      <c r="AK160" t="str">
        <f>IF(AJ160="","",MAX($AF$1:$AF160))</f>
        <v/>
      </c>
      <c r="AL160" t="str">
        <f t="shared" si="11"/>
        <v/>
      </c>
      <c r="AM160" t="str">
        <f>IF(AL160="","",MAX($AF$1:$AF160))</f>
        <v/>
      </c>
    </row>
    <row r="161" spans="1:39" ht="13.5" customHeight="1" x14ac:dyDescent="0.3">
      <c r="A161" s="8" t="s">
        <v>60</v>
      </c>
      <c r="B161" s="9"/>
      <c r="C161" s="10">
        <v>5</v>
      </c>
      <c r="D161" s="11"/>
      <c r="AB161" t="str" cm="1">
        <f t="array" ref="AB161:AC161">_xlfn._xlws.FILTER(A161:Z161,A161:Z161&lt;&gt;"","")</f>
        <v>Film and Video</v>
      </c>
      <c r="AC161">
        <v>5</v>
      </c>
      <c r="AD161" t="str">
        <v/>
      </c>
      <c r="AE161" t="str">
        <v/>
      </c>
      <c r="AF161" t="str" cm="1">
        <f t="array" ref="AF161">IF(AD161="","",SUMPRODUCT(IF(LEFT($AD$1:AD161,2)="JS",1,0)))</f>
        <v/>
      </c>
      <c r="AG161" t="str">
        <f t="shared" si="8"/>
        <v/>
      </c>
      <c r="AH161" t="str">
        <f t="shared" si="9"/>
        <v/>
      </c>
      <c r="AI161" t="str">
        <f>IF(AH161="","",MAX($AF$1:$AF161))</f>
        <v/>
      </c>
      <c r="AJ161" t="str">
        <f t="shared" si="10"/>
        <v/>
      </c>
      <c r="AK161" t="str">
        <f>IF(AJ161="","",MAX($AF$1:$AF161))</f>
        <v/>
      </c>
      <c r="AL161" t="str">
        <f t="shared" si="11"/>
        <v/>
      </c>
      <c r="AM161" t="str">
        <f>IF(AL161="","",MAX($AF$1:$AF161))</f>
        <v/>
      </c>
    </row>
    <row r="162" spans="1:39" ht="13.5" customHeight="1" x14ac:dyDescent="0.3">
      <c r="A162" s="8" t="s">
        <v>61</v>
      </c>
      <c r="B162" s="9"/>
      <c r="C162" s="10">
        <v>5</v>
      </c>
      <c r="D162" s="11"/>
      <c r="AB162" t="str" cm="1">
        <f t="array" ref="AB162:AC162">_xlfn._xlws.FILTER(A162:Z162,A162:Z162&lt;&gt;"","")</f>
        <v>Fundamental Cosmetology</v>
      </c>
      <c r="AC162">
        <v>5</v>
      </c>
      <c r="AD162" t="str">
        <v/>
      </c>
      <c r="AE162" t="str">
        <v/>
      </c>
      <c r="AF162" t="str" cm="1">
        <f t="array" ref="AF162">IF(AD162="","",SUMPRODUCT(IF(LEFT($AD$1:AD162,2)="JS",1,0)))</f>
        <v/>
      </c>
      <c r="AG162" t="str">
        <f t="shared" si="8"/>
        <v/>
      </c>
      <c r="AH162" t="str">
        <f t="shared" si="9"/>
        <v/>
      </c>
      <c r="AI162" t="str">
        <f>IF(AH162="","",MAX($AF$1:$AF162))</f>
        <v/>
      </c>
      <c r="AJ162" t="str">
        <f t="shared" si="10"/>
        <v/>
      </c>
      <c r="AK162" t="str">
        <f>IF(AJ162="","",MAX($AF$1:$AF162))</f>
        <v/>
      </c>
      <c r="AL162" t="str">
        <f t="shared" si="11"/>
        <v/>
      </c>
      <c r="AM162" t="str">
        <f>IF(AL162="","",MAX($AF$1:$AF162))</f>
        <v/>
      </c>
    </row>
    <row r="163" spans="1:39" ht="13.5" customHeight="1" x14ac:dyDescent="0.3">
      <c r="A163" s="8" t="s">
        <v>29</v>
      </c>
      <c r="B163" s="9"/>
      <c r="C163" s="10">
        <v>5</v>
      </c>
      <c r="D163" s="11"/>
      <c r="AB163" t="str" cm="1">
        <f t="array" ref="AB163:AC163">_xlfn._xlws.FILTER(A163:Z163,A163:Z163&lt;&gt;"","")</f>
        <v>Fundamental Health Care</v>
      </c>
      <c r="AC163">
        <v>5</v>
      </c>
      <c r="AD163" t="str">
        <v/>
      </c>
      <c r="AE163" t="str">
        <v/>
      </c>
      <c r="AF163" t="str" cm="1">
        <f t="array" ref="AF163">IF(AD163="","",SUMPRODUCT(IF(LEFT($AD$1:AD163,2)="JS",1,0)))</f>
        <v/>
      </c>
      <c r="AG163" t="str">
        <f t="shared" si="8"/>
        <v/>
      </c>
      <c r="AH163" t="str">
        <f t="shared" si="9"/>
        <v/>
      </c>
      <c r="AI163" t="str">
        <f>IF(AH163="","",MAX($AF$1:$AF163))</f>
        <v/>
      </c>
      <c r="AJ163" t="str">
        <f t="shared" si="10"/>
        <v/>
      </c>
      <c r="AK163" t="str">
        <f>IF(AJ163="","",MAX($AF$1:$AF163))</f>
        <v/>
      </c>
      <c r="AL163" t="str">
        <f t="shared" si="11"/>
        <v/>
      </c>
      <c r="AM163" t="str">
        <f>IF(AL163="","",MAX($AF$1:$AF163))</f>
        <v/>
      </c>
    </row>
    <row r="164" spans="1:39" ht="13.5" customHeight="1" x14ac:dyDescent="0.3">
      <c r="A164" s="8" t="s">
        <v>30</v>
      </c>
      <c r="B164" s="9"/>
      <c r="C164" s="10">
        <v>5</v>
      </c>
      <c r="D164" s="11"/>
      <c r="AB164" t="str" cm="1">
        <f t="array" ref="AB164:AC164">_xlfn._xlws.FILTER(A164:Z164,A164:Z164&lt;&gt;"","")</f>
        <v>Health and Beauty Keeping in TCM</v>
      </c>
      <c r="AC164">
        <v>5</v>
      </c>
      <c r="AD164" t="str">
        <v/>
      </c>
      <c r="AE164" t="str">
        <v/>
      </c>
      <c r="AF164" t="str" cm="1">
        <f t="array" ref="AF164">IF(AD164="","",SUMPRODUCT(IF(LEFT($AD$1:AD164,2)="JS",1,0)))</f>
        <v/>
      </c>
      <c r="AG164" t="str">
        <f t="shared" si="8"/>
        <v/>
      </c>
      <c r="AH164" t="str">
        <f t="shared" si="9"/>
        <v/>
      </c>
      <c r="AI164" t="str">
        <f>IF(AH164="","",MAX($AF$1:$AF164))</f>
        <v/>
      </c>
      <c r="AJ164" t="str">
        <f t="shared" si="10"/>
        <v/>
      </c>
      <c r="AK164" t="str">
        <f>IF(AJ164="","",MAX($AF$1:$AF164))</f>
        <v/>
      </c>
      <c r="AL164" t="str">
        <f t="shared" si="11"/>
        <v/>
      </c>
      <c r="AM164" t="str">
        <f>IF(AL164="","",MAX($AF$1:$AF164))</f>
        <v/>
      </c>
    </row>
    <row r="165" spans="1:39" ht="13.5" customHeight="1" x14ac:dyDescent="0.3">
      <c r="A165" s="8" t="s">
        <v>31</v>
      </c>
      <c r="B165" s="9"/>
      <c r="C165" s="10">
        <v>5</v>
      </c>
      <c r="D165" s="11"/>
      <c r="AB165" t="str" cm="1">
        <f t="array" ref="AB165:AC165">_xlfn._xlws.FILTER(A165:Z165,A165:Z165&lt;&gt;"","")</f>
        <v>Health Care Practice</v>
      </c>
      <c r="AC165">
        <v>5</v>
      </c>
      <c r="AD165" t="str">
        <v/>
      </c>
      <c r="AE165" t="str">
        <v/>
      </c>
      <c r="AF165" t="str" cm="1">
        <f t="array" ref="AF165">IF(AD165="","",SUMPRODUCT(IF(LEFT($AD$1:AD165,2)="JS",1,0)))</f>
        <v/>
      </c>
      <c r="AG165" t="str">
        <f t="shared" si="8"/>
        <v/>
      </c>
      <c r="AH165" t="str">
        <f t="shared" si="9"/>
        <v/>
      </c>
      <c r="AI165" t="str">
        <f>IF(AH165="","",MAX($AF$1:$AF165))</f>
        <v/>
      </c>
      <c r="AJ165" t="str">
        <f t="shared" si="10"/>
        <v/>
      </c>
      <c r="AK165" t="str">
        <f>IF(AJ165="","",MAX($AF$1:$AF165))</f>
        <v/>
      </c>
      <c r="AL165" t="str">
        <f t="shared" si="11"/>
        <v/>
      </c>
      <c r="AM165" t="str">
        <f>IF(AL165="","",MAX($AF$1:$AF165))</f>
        <v/>
      </c>
    </row>
    <row r="166" spans="1:39" ht="13.5" customHeight="1" x14ac:dyDescent="0.3">
      <c r="A166" s="8" t="s">
        <v>62</v>
      </c>
      <c r="B166" s="9"/>
      <c r="C166" s="10">
        <v>5</v>
      </c>
      <c r="D166" s="11"/>
      <c r="AB166" t="str" cm="1">
        <f t="array" ref="AB166:AC166">_xlfn._xlws.FILTER(A166:Z166,A166:Z166&lt;&gt;"","")</f>
        <v>Image Design</v>
      </c>
      <c r="AC166">
        <v>5</v>
      </c>
      <c r="AD166" t="str">
        <v/>
      </c>
      <c r="AE166" t="str">
        <v/>
      </c>
      <c r="AF166" t="str" cm="1">
        <f t="array" ref="AF166">IF(AD166="","",SUMPRODUCT(IF(LEFT($AD$1:AD166,2)="JS",1,0)))</f>
        <v/>
      </c>
      <c r="AG166" t="str">
        <f t="shared" si="8"/>
        <v/>
      </c>
      <c r="AH166" t="str">
        <f t="shared" si="9"/>
        <v/>
      </c>
      <c r="AI166" t="str">
        <f>IF(AH166="","",MAX($AF$1:$AF166))</f>
        <v/>
      </c>
      <c r="AJ166" t="str">
        <f t="shared" si="10"/>
        <v/>
      </c>
      <c r="AK166" t="str">
        <f>IF(AJ166="","",MAX($AF$1:$AF166))</f>
        <v/>
      </c>
      <c r="AL166" t="str">
        <f t="shared" si="11"/>
        <v/>
      </c>
      <c r="AM166" t="str">
        <f>IF(AL166="","",MAX($AF$1:$AF166))</f>
        <v/>
      </c>
    </row>
    <row r="167" spans="1:39" ht="13.5" customHeight="1" x14ac:dyDescent="0.3">
      <c r="A167" s="8" t="s">
        <v>63</v>
      </c>
      <c r="B167" s="9"/>
      <c r="C167" s="10">
        <v>5</v>
      </c>
      <c r="D167" s="11"/>
      <c r="AB167" t="str" cm="1">
        <f t="array" ref="AB167:AC167">_xlfn._xlws.FILTER(A167:Z167,A167:Z167&lt;&gt;"","")</f>
        <v>Innovative Product Design</v>
      </c>
      <c r="AC167">
        <v>5</v>
      </c>
      <c r="AD167" t="str">
        <v/>
      </c>
      <c r="AE167" t="str">
        <v/>
      </c>
      <c r="AF167" t="str" cm="1">
        <f t="array" ref="AF167">IF(AD167="","",SUMPRODUCT(IF(LEFT($AD$1:AD167,2)="JS",1,0)))</f>
        <v/>
      </c>
      <c r="AG167" t="str">
        <f t="shared" si="8"/>
        <v/>
      </c>
      <c r="AH167" t="str">
        <f t="shared" si="9"/>
        <v/>
      </c>
      <c r="AI167" t="str">
        <f>IF(AH167="","",MAX($AF$1:$AF167))</f>
        <v/>
      </c>
      <c r="AJ167" t="str">
        <f t="shared" si="10"/>
        <v/>
      </c>
      <c r="AK167" t="str">
        <f>IF(AJ167="","",MAX($AF$1:$AF167))</f>
        <v/>
      </c>
      <c r="AL167" t="str">
        <f t="shared" si="11"/>
        <v/>
      </c>
      <c r="AM167" t="str">
        <f>IF(AL167="","",MAX($AF$1:$AF167))</f>
        <v/>
      </c>
    </row>
    <row r="168" spans="1:39" ht="13.5" customHeight="1" x14ac:dyDescent="0.3">
      <c r="A168" s="8" t="s">
        <v>64</v>
      </c>
      <c r="B168" s="9"/>
      <c r="C168" s="10">
        <v>5</v>
      </c>
      <c r="D168" s="11"/>
      <c r="AB168" t="str" cm="1">
        <f t="array" ref="AB168:AC168">_xlfn._xlws.FILTER(A168:Z168,A168:Z168&lt;&gt;"","")</f>
        <v>Interior Design</v>
      </c>
      <c r="AC168">
        <v>5</v>
      </c>
      <c r="AD168" t="str">
        <v/>
      </c>
      <c r="AE168" t="str">
        <v/>
      </c>
      <c r="AF168" t="str" cm="1">
        <f t="array" ref="AF168">IF(AD168="","",SUMPRODUCT(IF(LEFT($AD$1:AD168,2)="JS",1,0)))</f>
        <v/>
      </c>
      <c r="AG168" t="str">
        <f t="shared" si="8"/>
        <v/>
      </c>
      <c r="AH168" t="str">
        <f t="shared" si="9"/>
        <v/>
      </c>
      <c r="AI168" t="str">
        <f>IF(AH168="","",MAX($AF$1:$AF168))</f>
        <v/>
      </c>
      <c r="AJ168" t="str">
        <f t="shared" si="10"/>
        <v/>
      </c>
      <c r="AK168" t="str">
        <f>IF(AJ168="","",MAX($AF$1:$AF168))</f>
        <v/>
      </c>
      <c r="AL168" t="str">
        <f t="shared" si="11"/>
        <v/>
      </c>
      <c r="AM168" t="str">
        <f>IF(AL168="","",MAX($AF$1:$AF168))</f>
        <v/>
      </c>
    </row>
    <row r="169" spans="1:39" ht="13.5" customHeight="1" x14ac:dyDescent="0.3">
      <c r="A169" s="8" t="s">
        <v>65</v>
      </c>
      <c r="B169" s="9"/>
      <c r="C169" s="10">
        <v>5</v>
      </c>
      <c r="D169" s="11"/>
      <c r="AB169" t="str" cm="1">
        <f t="array" ref="AB169:AC169">_xlfn._xlws.FILTER(A169:Z169,A169:Z169&lt;&gt;"","")</f>
        <v>Internet of Everything Application</v>
      </c>
      <c r="AC169">
        <v>5</v>
      </c>
      <c r="AD169" t="str">
        <v/>
      </c>
      <c r="AE169" t="str">
        <v/>
      </c>
      <c r="AF169" t="str" cm="1">
        <f t="array" ref="AF169">IF(AD169="","",SUMPRODUCT(IF(LEFT($AD$1:AD169,2)="JS",1,0)))</f>
        <v/>
      </c>
      <c r="AG169" t="str">
        <f t="shared" si="8"/>
        <v/>
      </c>
      <c r="AH169" t="str">
        <f t="shared" si="9"/>
        <v/>
      </c>
      <c r="AI169" t="str">
        <f>IF(AH169="","",MAX($AF$1:$AF169))</f>
        <v/>
      </c>
      <c r="AJ169" t="str">
        <f t="shared" si="10"/>
        <v/>
      </c>
      <c r="AK169" t="str">
        <f>IF(AJ169="","",MAX($AF$1:$AF169))</f>
        <v/>
      </c>
      <c r="AL169" t="str">
        <f t="shared" si="11"/>
        <v/>
      </c>
      <c r="AM169" t="str">
        <f>IF(AL169="","",MAX($AF$1:$AF169))</f>
        <v/>
      </c>
    </row>
    <row r="170" spans="1:39" ht="13.5" customHeight="1" x14ac:dyDescent="0.3">
      <c r="A170" s="8" t="s">
        <v>66</v>
      </c>
      <c r="B170" s="9"/>
      <c r="C170" s="10">
        <v>5</v>
      </c>
      <c r="D170" s="11"/>
      <c r="AB170" t="str" cm="1">
        <f t="array" ref="AB170:AC170">_xlfn._xlws.FILTER(A170:Z170,A170:Z170&lt;&gt;"","")</f>
        <v>Jewellery and Accessories Design</v>
      </c>
      <c r="AC170">
        <v>5</v>
      </c>
      <c r="AD170" t="str">
        <v/>
      </c>
      <c r="AE170" t="str">
        <v/>
      </c>
      <c r="AF170" t="str" cm="1">
        <f t="array" ref="AF170">IF(AD170="","",SUMPRODUCT(IF(LEFT($AD$1:AD170,2)="JS",1,0)))</f>
        <v/>
      </c>
      <c r="AG170" t="str">
        <f t="shared" si="8"/>
        <v/>
      </c>
      <c r="AH170" t="str">
        <f t="shared" si="9"/>
        <v/>
      </c>
      <c r="AI170" t="str">
        <f>IF(AH170="","",MAX($AF$1:$AF170))</f>
        <v/>
      </c>
      <c r="AJ170" t="str">
        <f t="shared" si="10"/>
        <v/>
      </c>
      <c r="AK170" t="str">
        <f>IF(AJ170="","",MAX($AF$1:$AF170))</f>
        <v/>
      </c>
      <c r="AL170" t="str">
        <f t="shared" si="11"/>
        <v/>
      </c>
      <c r="AM170" t="str">
        <f>IF(AL170="","",MAX($AF$1:$AF170))</f>
        <v/>
      </c>
    </row>
    <row r="171" spans="1:39" ht="13.5" customHeight="1" x14ac:dyDescent="0.3">
      <c r="A171" s="8" t="s">
        <v>67</v>
      </c>
      <c r="B171" s="9"/>
      <c r="C171" s="10">
        <v>5</v>
      </c>
      <c r="D171" s="11"/>
      <c r="E171" s="1"/>
      <c r="AB171" t="str" cm="1">
        <f t="array" ref="AB171:AC171">_xlfn._xlws.FILTER(A171:Z171,A171:Z171&lt;&gt;"","")</f>
        <v>Jewellery Arts and Design</v>
      </c>
      <c r="AC171">
        <v>5</v>
      </c>
      <c r="AD171" t="str">
        <v/>
      </c>
      <c r="AE171" t="str">
        <v/>
      </c>
      <c r="AF171" t="str" cm="1">
        <f t="array" ref="AF171">IF(AD171="","",SUMPRODUCT(IF(LEFT($AD$1:AD171,2)="JS",1,0)))</f>
        <v/>
      </c>
      <c r="AG171" t="str">
        <f t="shared" si="8"/>
        <v/>
      </c>
      <c r="AH171" t="str">
        <f t="shared" si="9"/>
        <v/>
      </c>
      <c r="AI171" t="str">
        <f>IF(AH171="","",MAX($AF$1:$AF171))</f>
        <v/>
      </c>
      <c r="AJ171" t="str">
        <f t="shared" si="10"/>
        <v/>
      </c>
      <c r="AK171" t="str">
        <f>IF(AJ171="","",MAX($AF$1:$AF171))</f>
        <v/>
      </c>
      <c r="AL171" t="str">
        <f t="shared" si="11"/>
        <v/>
      </c>
      <c r="AM171" t="str">
        <f>IF(AL171="","",MAX($AF$1:$AF171))</f>
        <v/>
      </c>
    </row>
    <row r="172" spans="1:39" ht="13.5" customHeight="1" x14ac:dyDescent="0.3">
      <c r="A172" s="8" t="s">
        <v>68</v>
      </c>
      <c r="B172" s="9"/>
      <c r="C172" s="10">
        <v>5</v>
      </c>
      <c r="D172" s="11"/>
      <c r="E172" s="2"/>
      <c r="AB172" t="str" cm="1">
        <f t="array" ref="AB172:AC172">_xlfn._xlws.FILTER(A172:Z172,A172:Z172&lt;&gt;"","")</f>
        <v>Magazine Editing and Production</v>
      </c>
      <c r="AC172">
        <v>5</v>
      </c>
      <c r="AD172" t="str">
        <v/>
      </c>
      <c r="AE172" t="str">
        <v/>
      </c>
      <c r="AF172" t="str" cm="1">
        <f t="array" ref="AF172">IF(AD172="","",SUMPRODUCT(IF(LEFT($AD$1:AD172,2)="JS",1,0)))</f>
        <v/>
      </c>
      <c r="AG172" t="str">
        <f t="shared" si="8"/>
        <v/>
      </c>
      <c r="AH172" t="str">
        <f t="shared" si="9"/>
        <v/>
      </c>
      <c r="AI172" t="str">
        <f>IF(AH172="","",MAX($AF$1:$AF172))</f>
        <v/>
      </c>
      <c r="AJ172" t="str">
        <f t="shared" si="10"/>
        <v/>
      </c>
      <c r="AK172" t="str">
        <f>IF(AJ172="","",MAX($AF$1:$AF172))</f>
        <v/>
      </c>
      <c r="AL172" t="str">
        <f t="shared" si="11"/>
        <v/>
      </c>
      <c r="AM172" t="str">
        <f>IF(AL172="","",MAX($AF$1:$AF172))</f>
        <v/>
      </c>
    </row>
    <row r="173" spans="1:39" ht="13.5" customHeight="1" x14ac:dyDescent="0.3">
      <c r="A173" s="8" t="s">
        <v>69</v>
      </c>
      <c r="B173" s="9"/>
      <c r="C173" s="10">
        <v>5</v>
      </c>
      <c r="D173" s="11"/>
      <c r="E173" s="2"/>
      <c r="AB173" t="str" cm="1">
        <f t="array" ref="AB173:AC173">_xlfn._xlws.FILTER(A173:Z173,A173:Z173&lt;&gt;"","")</f>
        <v>Marketing and Online Promotion</v>
      </c>
      <c r="AC173">
        <v>5</v>
      </c>
      <c r="AD173" t="str">
        <v/>
      </c>
      <c r="AE173" t="str">
        <v/>
      </c>
      <c r="AF173" t="str" cm="1">
        <f t="array" ref="AF173">IF(AD173="","",SUMPRODUCT(IF(LEFT($AD$1:AD173,2)="JS",1,0)))</f>
        <v/>
      </c>
      <c r="AG173" t="str">
        <f t="shared" si="8"/>
        <v/>
      </c>
      <c r="AH173" t="str">
        <f t="shared" si="9"/>
        <v/>
      </c>
      <c r="AI173" t="str">
        <f>IF(AH173="","",MAX($AF$1:$AF173))</f>
        <v/>
      </c>
      <c r="AJ173" t="str">
        <f t="shared" si="10"/>
        <v/>
      </c>
      <c r="AK173" t="str">
        <f>IF(AJ173="","",MAX($AF$1:$AF173))</f>
        <v/>
      </c>
      <c r="AL173" t="str">
        <f t="shared" si="11"/>
        <v/>
      </c>
      <c r="AM173" t="str">
        <f>IF(AL173="","",MAX($AF$1:$AF173))</f>
        <v/>
      </c>
    </row>
    <row r="174" spans="1:39" ht="13.5" customHeight="1" x14ac:dyDescent="0.3">
      <c r="A174" s="8" t="s">
        <v>70</v>
      </c>
      <c r="B174" s="9"/>
      <c r="C174" s="10">
        <v>5</v>
      </c>
      <c r="D174" s="11"/>
      <c r="E174" s="2"/>
      <c r="AB174" t="str" cm="1">
        <f t="array" ref="AB174:AC174">_xlfn._xlws.FILTER(A174:Z174,A174:Z174&lt;&gt;"","")</f>
        <v>Marketing in Global Trade</v>
      </c>
      <c r="AC174">
        <v>5</v>
      </c>
      <c r="AD174" t="str">
        <v/>
      </c>
      <c r="AE174" t="str">
        <v/>
      </c>
      <c r="AF174" t="str" cm="1">
        <f t="array" ref="AF174">IF(AD174="","",SUMPRODUCT(IF(LEFT($AD$1:AD174,2)="JS",1,0)))</f>
        <v/>
      </c>
      <c r="AG174" t="str">
        <f t="shared" si="8"/>
        <v/>
      </c>
      <c r="AH174" t="str">
        <f t="shared" si="9"/>
        <v/>
      </c>
      <c r="AI174" t="str">
        <f>IF(AH174="","",MAX($AF$1:$AF174))</f>
        <v/>
      </c>
      <c r="AJ174" t="str">
        <f t="shared" si="10"/>
        <v/>
      </c>
      <c r="AK174" t="str">
        <f>IF(AJ174="","",MAX($AF$1:$AF174))</f>
        <v/>
      </c>
      <c r="AL174" t="str">
        <f t="shared" si="11"/>
        <v/>
      </c>
      <c r="AM174" t="str">
        <f>IF(AL174="","",MAX($AF$1:$AF174))</f>
        <v/>
      </c>
    </row>
    <row r="175" spans="1:39" ht="13.5" customHeight="1" x14ac:dyDescent="0.3">
      <c r="A175" s="8" t="s">
        <v>32</v>
      </c>
      <c r="B175" s="9"/>
      <c r="C175" s="10">
        <v>5</v>
      </c>
      <c r="D175" s="11"/>
      <c r="E175" s="2"/>
      <c r="AB175" t="str" cm="1">
        <f t="array" ref="AB175:AC175">_xlfn._xlws.FILTER(A175:Z175,A175:Z175&lt;&gt;"","")</f>
        <v>Medical Laboratory Science</v>
      </c>
      <c r="AC175">
        <v>5</v>
      </c>
      <c r="AD175" t="str">
        <v/>
      </c>
      <c r="AE175" t="str">
        <v/>
      </c>
      <c r="AF175" t="str" cm="1">
        <f t="array" ref="AF175">IF(AD175="","",SUMPRODUCT(IF(LEFT($AD$1:AD175,2)="JS",1,0)))</f>
        <v/>
      </c>
      <c r="AG175" t="str">
        <f t="shared" si="8"/>
        <v/>
      </c>
      <c r="AH175" t="str">
        <f t="shared" si="9"/>
        <v/>
      </c>
      <c r="AI175" t="str">
        <f>IF(AH175="","",MAX($AF$1:$AF175))</f>
        <v/>
      </c>
      <c r="AJ175" t="str">
        <f t="shared" si="10"/>
        <v/>
      </c>
      <c r="AK175" t="str">
        <f>IF(AJ175="","",MAX($AF$1:$AF175))</f>
        <v/>
      </c>
      <c r="AL175" t="str">
        <f t="shared" si="11"/>
        <v/>
      </c>
      <c r="AM175" t="str">
        <f>IF(AL175="","",MAX($AF$1:$AF175))</f>
        <v/>
      </c>
    </row>
    <row r="176" spans="1:39" ht="13.5" customHeight="1" x14ac:dyDescent="0.3">
      <c r="A176" s="8" t="s">
        <v>71</v>
      </c>
      <c r="B176" s="9"/>
      <c r="C176" s="10">
        <v>5</v>
      </c>
      <c r="D176" s="11"/>
      <c r="E176" s="2"/>
      <c r="AB176" t="str" cm="1">
        <f t="array" ref="AB176:AC176">_xlfn._xlws.FILTER(A176:Z176,A176:Z176&lt;&gt;"","")</f>
        <v>Mobile and Online Apps Development</v>
      </c>
      <c r="AC176">
        <v>5</v>
      </c>
      <c r="AD176" t="str">
        <v/>
      </c>
      <c r="AE176" t="str">
        <v/>
      </c>
      <c r="AF176" t="str" cm="1">
        <f t="array" ref="AF176">IF(AD176="","",SUMPRODUCT(IF(LEFT($AD$1:AD176,2)="JS",1,0)))</f>
        <v/>
      </c>
      <c r="AG176" t="str">
        <f t="shared" si="8"/>
        <v/>
      </c>
      <c r="AH176" t="str">
        <f t="shared" si="9"/>
        <v/>
      </c>
      <c r="AI176" t="str">
        <f>IF(AH176="","",MAX($AF$1:$AF176))</f>
        <v/>
      </c>
      <c r="AJ176" t="str">
        <f t="shared" si="10"/>
        <v/>
      </c>
      <c r="AK176" t="str">
        <f>IF(AJ176="","",MAX($AF$1:$AF176))</f>
        <v/>
      </c>
      <c r="AL176" t="str">
        <f t="shared" si="11"/>
        <v/>
      </c>
      <c r="AM176" t="str">
        <f>IF(AL176="","",MAX($AF$1:$AF176))</f>
        <v/>
      </c>
    </row>
    <row r="177" spans="1:39" ht="13.5" customHeight="1" x14ac:dyDescent="0.3">
      <c r="A177" s="8" t="s">
        <v>72</v>
      </c>
      <c r="B177" s="9"/>
      <c r="C177" s="10">
        <v>5</v>
      </c>
      <c r="D177" s="11"/>
      <c r="E177" s="2"/>
      <c r="AB177" t="str" cm="1">
        <f t="array" ref="AB177:AC177">_xlfn._xlws.FILTER(A177:Z177,A177:Z177&lt;&gt;"","")</f>
        <v>Multimedia Entertainment Studies</v>
      </c>
      <c r="AC177">
        <v>5</v>
      </c>
      <c r="AD177" t="str">
        <v/>
      </c>
      <c r="AE177" t="str">
        <v/>
      </c>
      <c r="AF177" t="str" cm="1">
        <f t="array" ref="AF177">IF(AD177="","",SUMPRODUCT(IF(LEFT($AD$1:AD177,2)="JS",1,0)))</f>
        <v/>
      </c>
      <c r="AG177" t="str">
        <f t="shared" si="8"/>
        <v/>
      </c>
      <c r="AH177" t="str">
        <f t="shared" si="9"/>
        <v/>
      </c>
      <c r="AI177" t="str">
        <f>IF(AH177="","",MAX($AF$1:$AF177))</f>
        <v/>
      </c>
      <c r="AJ177" t="str">
        <f t="shared" si="10"/>
        <v/>
      </c>
      <c r="AK177" t="str">
        <f>IF(AJ177="","",MAX($AF$1:$AF177))</f>
        <v/>
      </c>
      <c r="AL177" t="str">
        <f t="shared" si="11"/>
        <v/>
      </c>
      <c r="AM177" t="str">
        <f>IF(AL177="","",MAX($AF$1:$AF177))</f>
        <v/>
      </c>
    </row>
    <row r="178" spans="1:39" ht="13.5" customHeight="1" x14ac:dyDescent="0.3">
      <c r="A178" s="8" t="s">
        <v>73</v>
      </c>
      <c r="B178" s="9"/>
      <c r="C178" s="10">
        <v>5</v>
      </c>
      <c r="D178" s="11"/>
      <c r="E178" s="2"/>
      <c r="AB178" t="str" cm="1">
        <f t="array" ref="AB178:AC178">_xlfn._xlws.FILTER(A178:Z178,A178:Z178&lt;&gt;"","")</f>
        <v>New Media Communication Strategies</v>
      </c>
      <c r="AC178">
        <v>5</v>
      </c>
      <c r="AD178" t="str">
        <v/>
      </c>
      <c r="AE178" t="str">
        <v/>
      </c>
      <c r="AF178" t="str" cm="1">
        <f t="array" ref="AF178">IF(AD178="","",SUMPRODUCT(IF(LEFT($AD$1:AD178,2)="JS",1,0)))</f>
        <v/>
      </c>
      <c r="AG178" t="str">
        <f t="shared" si="8"/>
        <v/>
      </c>
      <c r="AH178" t="str">
        <f t="shared" si="9"/>
        <v/>
      </c>
      <c r="AI178" t="str">
        <f>IF(AH178="","",MAX($AF$1:$AF178))</f>
        <v/>
      </c>
      <c r="AJ178" t="str">
        <f t="shared" si="10"/>
        <v/>
      </c>
      <c r="AK178" t="str">
        <f>IF(AJ178="","",MAX($AF$1:$AF178))</f>
        <v/>
      </c>
      <c r="AL178" t="str">
        <f t="shared" si="11"/>
        <v/>
      </c>
      <c r="AM178" t="str">
        <f>IF(AL178="","",MAX($AF$1:$AF178))</f>
        <v/>
      </c>
    </row>
    <row r="179" spans="1:39" ht="13.5" customHeight="1" x14ac:dyDescent="0.3">
      <c r="A179" s="8" t="s">
        <v>74</v>
      </c>
      <c r="B179" s="9"/>
      <c r="C179" s="10">
        <v>5</v>
      </c>
      <c r="D179" s="11"/>
      <c r="E179" s="2"/>
      <c r="AB179" t="str" cm="1">
        <f t="array" ref="AB179:AC179">_xlfn._xlws.FILTER(A179:Z179,A179:Z179&lt;&gt;"","")</f>
        <v>PR And Multimedia Communication</v>
      </c>
      <c r="AC179">
        <v>5</v>
      </c>
      <c r="AD179" t="str">
        <v/>
      </c>
      <c r="AE179" t="str">
        <v/>
      </c>
      <c r="AF179" t="str" cm="1">
        <f t="array" ref="AF179">IF(AD179="","",SUMPRODUCT(IF(LEFT($AD$1:AD179,2)="JS",1,0)))</f>
        <v/>
      </c>
      <c r="AG179" t="str">
        <f t="shared" si="8"/>
        <v/>
      </c>
      <c r="AH179" t="str">
        <f t="shared" si="9"/>
        <v/>
      </c>
      <c r="AI179" t="str">
        <f>IF(AH179="","",MAX($AF$1:$AF179))</f>
        <v/>
      </c>
      <c r="AJ179" t="str">
        <f t="shared" si="10"/>
        <v/>
      </c>
      <c r="AK179" t="str">
        <f>IF(AJ179="","",MAX($AF$1:$AF179))</f>
        <v/>
      </c>
      <c r="AL179" t="str">
        <f t="shared" si="11"/>
        <v/>
      </c>
      <c r="AM179" t="str">
        <f>IF(AL179="","",MAX($AF$1:$AF179))</f>
        <v/>
      </c>
    </row>
    <row r="180" spans="1:39" ht="13.5" customHeight="1" x14ac:dyDescent="0.3">
      <c r="A180" s="8" t="s">
        <v>75</v>
      </c>
      <c r="B180" s="9"/>
      <c r="C180" s="10">
        <v>5</v>
      </c>
      <c r="D180" s="11"/>
      <c r="E180" s="2"/>
      <c r="AB180" t="str" cm="1">
        <f t="array" ref="AB180:AC180">_xlfn._xlws.FILTER(A180:Z180,A180:Z180&lt;&gt;"","")</f>
        <v>Practical Accounting for SMEs</v>
      </c>
      <c r="AC180">
        <v>5</v>
      </c>
      <c r="AD180" t="str">
        <v/>
      </c>
      <c r="AE180" t="str">
        <v/>
      </c>
      <c r="AF180" t="str" cm="1">
        <f t="array" ref="AF180">IF(AD180="","",SUMPRODUCT(IF(LEFT($AD$1:AD180,2)="JS",1,0)))</f>
        <v/>
      </c>
      <c r="AG180" t="str">
        <f t="shared" si="8"/>
        <v/>
      </c>
      <c r="AH180" t="str">
        <f t="shared" si="9"/>
        <v/>
      </c>
      <c r="AI180" t="str">
        <f>IF(AH180="","",MAX($AF$1:$AF180))</f>
        <v/>
      </c>
      <c r="AJ180" t="str">
        <f t="shared" si="10"/>
        <v/>
      </c>
      <c r="AK180" t="str">
        <f>IF(AJ180="","",MAX($AF$1:$AF180))</f>
        <v/>
      </c>
      <c r="AL180" t="str">
        <f t="shared" si="11"/>
        <v/>
      </c>
      <c r="AM180" t="str">
        <f>IF(AL180="","",MAX($AF$1:$AF180))</f>
        <v/>
      </c>
    </row>
    <row r="181" spans="1:39" ht="13.5" customHeight="1" x14ac:dyDescent="0.3">
      <c r="A181" s="8" t="s">
        <v>76</v>
      </c>
      <c r="B181" s="9"/>
      <c r="C181" s="10">
        <v>5</v>
      </c>
      <c r="D181" s="11"/>
      <c r="E181" s="2"/>
      <c r="AB181" t="str" cm="1">
        <f t="array" ref="AB181:AC181">_xlfn._xlws.FILTER(A181:Z181,A181:Z181&lt;&gt;"","")</f>
        <v>Practical Psychology</v>
      </c>
      <c r="AC181">
        <v>5</v>
      </c>
      <c r="AD181" t="str">
        <v/>
      </c>
      <c r="AE181" t="str">
        <v/>
      </c>
      <c r="AF181" t="str" cm="1">
        <f t="array" ref="AF181">IF(AD181="","",SUMPRODUCT(IF(LEFT($AD$1:AD181,2)="JS",1,0)))</f>
        <v/>
      </c>
      <c r="AG181" t="str">
        <f t="shared" si="8"/>
        <v/>
      </c>
      <c r="AH181" t="str">
        <f t="shared" si="9"/>
        <v/>
      </c>
      <c r="AI181" t="str">
        <f>IF(AH181="","",MAX($AF$1:$AF181))</f>
        <v/>
      </c>
      <c r="AJ181" t="str">
        <f t="shared" si="10"/>
        <v/>
      </c>
      <c r="AK181" t="str">
        <f>IF(AJ181="","",MAX($AF$1:$AF181))</f>
        <v/>
      </c>
      <c r="AL181" t="str">
        <f t="shared" si="11"/>
        <v/>
      </c>
      <c r="AM181" t="str">
        <f>IF(AL181="","",MAX($AF$1:$AF181))</f>
        <v/>
      </c>
    </row>
    <row r="182" spans="1:39" ht="13.5" customHeight="1" x14ac:dyDescent="0.3">
      <c r="A182" s="8" t="s">
        <v>77</v>
      </c>
      <c r="B182" s="9"/>
      <c r="C182" s="10">
        <v>5</v>
      </c>
      <c r="D182" s="11"/>
      <c r="E182" s="2"/>
      <c r="AB182" t="str" cm="1">
        <f t="array" ref="AB182:AC182">_xlfn._xlws.FILTER(A182:Z182,A182:Z182&lt;&gt;"","")</f>
        <v>Public Relations and Advertising</v>
      </c>
      <c r="AC182">
        <v>5</v>
      </c>
      <c r="AD182" t="str">
        <v/>
      </c>
      <c r="AE182" t="str">
        <v/>
      </c>
      <c r="AF182" t="str" cm="1">
        <f t="array" ref="AF182">IF(AD182="","",SUMPRODUCT(IF(LEFT($AD$1:AD182,2)="JS",1,0)))</f>
        <v/>
      </c>
      <c r="AG182" t="str">
        <f t="shared" si="8"/>
        <v/>
      </c>
      <c r="AH182" t="str">
        <f t="shared" si="9"/>
        <v/>
      </c>
      <c r="AI182" t="str">
        <f>IF(AH182="","",MAX($AF$1:$AF182))</f>
        <v/>
      </c>
      <c r="AJ182" t="str">
        <f t="shared" si="10"/>
        <v/>
      </c>
      <c r="AK182" t="str">
        <f>IF(AJ182="","",MAX($AF$1:$AF182))</f>
        <v/>
      </c>
      <c r="AL182" t="str">
        <f t="shared" si="11"/>
        <v/>
      </c>
      <c r="AM182" t="str">
        <f>IF(AL182="","",MAX($AF$1:$AF182))</f>
        <v/>
      </c>
    </row>
    <row r="183" spans="1:39" ht="13.5" customHeight="1" x14ac:dyDescent="0.3">
      <c r="A183" s="8" t="s">
        <v>78</v>
      </c>
      <c r="B183" s="9"/>
      <c r="C183" s="10">
        <v>5</v>
      </c>
      <c r="D183" s="11"/>
      <c r="E183" s="2"/>
      <c r="AB183" t="str" cm="1">
        <f t="array" ref="AB183:AC183">_xlfn._xlws.FILTER(A183:Z183,A183:Z183&lt;&gt;"","")</f>
        <v>Public Relations and Communication</v>
      </c>
      <c r="AC183">
        <v>5</v>
      </c>
      <c r="AD183" t="str">
        <v/>
      </c>
      <c r="AE183" t="str">
        <v/>
      </c>
      <c r="AF183" t="str" cm="1">
        <f t="array" ref="AF183">IF(AD183="","",SUMPRODUCT(IF(LEFT($AD$1:AD183,2)="JS",1,0)))</f>
        <v/>
      </c>
      <c r="AG183" t="str">
        <f t="shared" si="8"/>
        <v/>
      </c>
      <c r="AH183" t="str">
        <f t="shared" si="9"/>
        <v/>
      </c>
      <c r="AI183" t="str">
        <f>IF(AH183="","",MAX($AF$1:$AF183))</f>
        <v/>
      </c>
      <c r="AJ183" t="str">
        <f t="shared" si="10"/>
        <v/>
      </c>
      <c r="AK183" t="str">
        <f>IF(AJ183="","",MAX($AF$1:$AF183))</f>
        <v/>
      </c>
      <c r="AL183" t="str">
        <f t="shared" si="11"/>
        <v/>
      </c>
      <c r="AM183" t="str">
        <f>IF(AL183="","",MAX($AF$1:$AF183))</f>
        <v/>
      </c>
    </row>
    <row r="184" spans="1:39" ht="13.5" customHeight="1" x14ac:dyDescent="0.3">
      <c r="A184" s="8" t="s">
        <v>79</v>
      </c>
      <c r="B184" s="9"/>
      <c r="C184" s="10">
        <v>5</v>
      </c>
      <c r="D184" s="11"/>
      <c r="E184" s="2"/>
      <c r="AB184" t="str" cm="1">
        <f t="array" ref="AB184:AC184">_xlfn._xlws.FILTER(A184:Z184,A184:Z184&lt;&gt;"","")</f>
        <v>Purchasing and Merchandising</v>
      </c>
      <c r="AC184">
        <v>5</v>
      </c>
      <c r="AD184" t="str">
        <v/>
      </c>
      <c r="AE184" t="str">
        <v/>
      </c>
      <c r="AF184" t="str" cm="1">
        <f t="array" ref="AF184">IF(AD184="","",SUMPRODUCT(IF(LEFT($AD$1:AD184,2)="JS",1,0)))</f>
        <v/>
      </c>
      <c r="AG184" t="str">
        <f t="shared" si="8"/>
        <v/>
      </c>
      <c r="AH184" t="str">
        <f t="shared" si="9"/>
        <v/>
      </c>
      <c r="AI184" t="str">
        <f>IF(AH184="","",MAX($AF$1:$AF184))</f>
        <v/>
      </c>
      <c r="AJ184" t="str">
        <f t="shared" si="10"/>
        <v/>
      </c>
      <c r="AK184" t="str">
        <f>IF(AJ184="","",MAX($AF$1:$AF184))</f>
        <v/>
      </c>
      <c r="AL184" t="str">
        <f t="shared" si="11"/>
        <v/>
      </c>
      <c r="AM184" t="str">
        <f>IF(AL184="","",MAX($AF$1:$AF184))</f>
        <v/>
      </c>
    </row>
    <row r="185" spans="1:39" ht="13.5" customHeight="1" x14ac:dyDescent="0.3">
      <c r="A185" s="8" t="s">
        <v>80</v>
      </c>
      <c r="B185" s="9"/>
      <c r="C185" s="10">
        <v>5</v>
      </c>
      <c r="D185" s="11"/>
      <c r="E185" s="2"/>
      <c r="AB185" t="str" cm="1">
        <f t="array" ref="AB185:AC185">_xlfn._xlws.FILTER(A185:Z185,A185:Z185&lt;&gt;"","")</f>
        <v>Retail Management</v>
      </c>
      <c r="AC185">
        <v>5</v>
      </c>
      <c r="AD185" t="str">
        <v/>
      </c>
      <c r="AE185" t="str">
        <v/>
      </c>
      <c r="AF185" t="str" cm="1">
        <f t="array" ref="AF185">IF(AD185="","",SUMPRODUCT(IF(LEFT($AD$1:AD185,2)="JS",1,0)))</f>
        <v/>
      </c>
      <c r="AG185" t="str">
        <f t="shared" si="8"/>
        <v/>
      </c>
      <c r="AH185" t="str">
        <f t="shared" si="9"/>
        <v/>
      </c>
      <c r="AI185" t="str">
        <f>IF(AH185="","",MAX($AF$1:$AF185))</f>
        <v/>
      </c>
      <c r="AJ185" t="str">
        <f t="shared" si="10"/>
        <v/>
      </c>
      <c r="AK185" t="str">
        <f>IF(AJ185="","",MAX($AF$1:$AF185))</f>
        <v/>
      </c>
      <c r="AL185" t="str">
        <f t="shared" si="11"/>
        <v/>
      </c>
      <c r="AM185" t="str">
        <f>IF(AL185="","",MAX($AF$1:$AF185))</f>
        <v/>
      </c>
    </row>
    <row r="186" spans="1:39" ht="13.5" customHeight="1" x14ac:dyDescent="0.3">
      <c r="A186" s="8" t="s">
        <v>33</v>
      </c>
      <c r="B186" s="9"/>
      <c r="C186" s="10">
        <v>5</v>
      </c>
      <c r="D186" s="11"/>
      <c r="E186" s="2"/>
      <c r="AB186" t="str" cm="1">
        <f t="array" ref="AB186:AC186">_xlfn._xlws.FILTER(A186:Z186,A186:Z186&lt;&gt;"","")</f>
        <v>Sports Coaching and Management</v>
      </c>
      <c r="AC186">
        <v>5</v>
      </c>
      <c r="AD186" t="str">
        <v/>
      </c>
      <c r="AE186" t="str">
        <v/>
      </c>
      <c r="AF186" t="str" cm="1">
        <f t="array" ref="AF186">IF(AD186="","",SUMPRODUCT(IF(LEFT($AD$1:AD186,2)="JS",1,0)))</f>
        <v/>
      </c>
      <c r="AG186" t="str">
        <f t="shared" si="8"/>
        <v/>
      </c>
      <c r="AH186" t="str">
        <f t="shared" si="9"/>
        <v/>
      </c>
      <c r="AI186" t="str">
        <f>IF(AH186="","",MAX($AF$1:$AF186))</f>
        <v/>
      </c>
      <c r="AJ186" t="str">
        <f t="shared" si="10"/>
        <v/>
      </c>
      <c r="AK186" t="str">
        <f>IF(AJ186="","",MAX($AF$1:$AF186))</f>
        <v/>
      </c>
      <c r="AL186" t="str">
        <f t="shared" si="11"/>
        <v/>
      </c>
      <c r="AM186" t="str">
        <f>IF(AL186="","",MAX($AF$1:$AF186))</f>
        <v/>
      </c>
    </row>
    <row r="187" spans="1:39" ht="13.5" customHeight="1" x14ac:dyDescent="0.3">
      <c r="A187" s="8" t="s">
        <v>81</v>
      </c>
      <c r="B187" s="9"/>
      <c r="C187" s="10">
        <v>5</v>
      </c>
      <c r="D187" s="11"/>
      <c r="E187" s="2"/>
      <c r="AB187" t="str" cm="1">
        <f t="array" ref="AB187:AC187">_xlfn._xlws.FILTER(A187:Z187,A187:Z187&lt;&gt;"","")</f>
        <v>Tech Basics</v>
      </c>
      <c r="AC187">
        <v>5</v>
      </c>
      <c r="AD187" t="str">
        <v/>
      </c>
      <c r="AE187" t="str">
        <v/>
      </c>
      <c r="AF187" t="str" cm="1">
        <f t="array" ref="AF187">IF(AD187="","",SUMPRODUCT(IF(LEFT($AD$1:AD187,2)="JS",1,0)))</f>
        <v/>
      </c>
      <c r="AG187" t="str">
        <f t="shared" si="8"/>
        <v/>
      </c>
      <c r="AH187" t="str">
        <f t="shared" si="9"/>
        <v/>
      </c>
      <c r="AI187" t="str">
        <f>IF(AH187="","",MAX($AF$1:$AF187))</f>
        <v/>
      </c>
      <c r="AJ187" t="str">
        <f t="shared" si="10"/>
        <v/>
      </c>
      <c r="AK187" t="str">
        <f>IF(AJ187="","",MAX($AF$1:$AF187))</f>
        <v/>
      </c>
      <c r="AL187" t="str">
        <f t="shared" si="11"/>
        <v/>
      </c>
      <c r="AM187" t="str">
        <f>IF(AL187="","",MAX($AF$1:$AF187))</f>
        <v/>
      </c>
    </row>
    <row r="188" spans="1:39" ht="13.5" customHeight="1" x14ac:dyDescent="0.3">
      <c r="A188" s="8" t="s">
        <v>82</v>
      </c>
      <c r="B188" s="9"/>
      <c r="C188" s="10">
        <v>5</v>
      </c>
      <c r="D188" s="11"/>
      <c r="E188" s="2"/>
      <c r="AB188" t="str" cm="1">
        <f t="array" ref="AB188:AC188">_xlfn._xlws.FILTER(A188:Z188,A188:Z188&lt;&gt;"","")</f>
        <v>The Essentials of Theatre Arts</v>
      </c>
      <c r="AC188">
        <v>5</v>
      </c>
      <c r="AD188" t="str">
        <v/>
      </c>
      <c r="AE188" t="str">
        <v/>
      </c>
      <c r="AF188" t="str" cm="1">
        <f t="array" ref="AF188">IF(AD188="","",SUMPRODUCT(IF(LEFT($AD$1:AD188,2)="JS",1,0)))</f>
        <v/>
      </c>
      <c r="AG188" t="str">
        <f t="shared" si="8"/>
        <v/>
      </c>
      <c r="AH188" t="str">
        <f t="shared" si="9"/>
        <v/>
      </c>
      <c r="AI188" t="str">
        <f>IF(AH188="","",MAX($AF$1:$AF188))</f>
        <v/>
      </c>
      <c r="AJ188" t="str">
        <f t="shared" si="10"/>
        <v/>
      </c>
      <c r="AK188" t="str">
        <f>IF(AJ188="","",MAX($AF$1:$AF188))</f>
        <v/>
      </c>
      <c r="AL188" t="str">
        <f t="shared" si="11"/>
        <v/>
      </c>
      <c r="AM188" t="str">
        <f>IF(AL188="","",MAX($AF$1:$AF188))</f>
        <v/>
      </c>
    </row>
    <row r="189" spans="1:39" ht="13.5" customHeight="1" x14ac:dyDescent="0.3">
      <c r="A189" s="8" t="s">
        <v>83</v>
      </c>
      <c r="B189" s="9"/>
      <c r="C189" s="10">
        <v>5</v>
      </c>
      <c r="D189" s="11"/>
      <c r="E189" s="2"/>
      <c r="AB189" t="str" cm="1">
        <f t="array" ref="AB189:AC189">_xlfn._xlws.FILTER(A189:Z189,A189:Z189&lt;&gt;"","")</f>
        <v>Understanding Financial Services</v>
      </c>
      <c r="AC189">
        <v>5</v>
      </c>
      <c r="AD189" t="str">
        <v/>
      </c>
      <c r="AE189" t="str">
        <v/>
      </c>
      <c r="AF189" t="str" cm="1">
        <f t="array" ref="AF189">IF(AD189="","",SUMPRODUCT(IF(LEFT($AD$1:AD189,2)="JS",1,0)))</f>
        <v/>
      </c>
      <c r="AG189" t="str">
        <f t="shared" si="8"/>
        <v/>
      </c>
      <c r="AH189" t="str">
        <f t="shared" si="9"/>
        <v/>
      </c>
      <c r="AI189" t="str">
        <f>IF(AH189="","",MAX($AF$1:$AF189))</f>
        <v/>
      </c>
      <c r="AJ189" t="str">
        <f t="shared" si="10"/>
        <v/>
      </c>
      <c r="AK189" t="str">
        <f>IF(AJ189="","",MAX($AF$1:$AF189))</f>
        <v/>
      </c>
      <c r="AL189" t="str">
        <f t="shared" si="11"/>
        <v/>
      </c>
      <c r="AM189" t="str">
        <f>IF(AL189="","",MAX($AF$1:$AF189))</f>
        <v/>
      </c>
    </row>
    <row r="190" spans="1:39" ht="26.25" customHeight="1" x14ac:dyDescent="0.3">
      <c r="A190" s="29" t="s">
        <v>34</v>
      </c>
      <c r="B190" s="29"/>
      <c r="C190" s="29"/>
      <c r="D190" s="29"/>
      <c r="E190" s="1"/>
      <c r="AB190" t="str" cm="1">
        <f t="array" ref="AB190">_xlfn._xlws.FILTER(A190:Z190,A190:Z190&lt;&gt;"","")</f>
        <v>Category C: Other Language Subjects</v>
      </c>
      <c r="AD190" t="str">
        <v/>
      </c>
      <c r="AE190" t="str">
        <v/>
      </c>
      <c r="AF190" t="str" cm="1">
        <f t="array" ref="AF190">IF(AD190="","",SUMPRODUCT(IF(LEFT($AD$1:AD190,2)="JS",1,0)))</f>
        <v/>
      </c>
      <c r="AG190" t="str">
        <f t="shared" si="8"/>
        <v/>
      </c>
      <c r="AH190" t="str">
        <f t="shared" si="9"/>
        <v/>
      </c>
      <c r="AI190" t="str">
        <f>IF(AH190="","",MAX($AF$1:$AF190))</f>
        <v/>
      </c>
      <c r="AJ190" t="str">
        <f t="shared" si="10"/>
        <v/>
      </c>
      <c r="AK190" t="str">
        <f>IF(AJ190="","",MAX($AF$1:$AF190))</f>
        <v/>
      </c>
      <c r="AL190" t="str">
        <f t="shared" si="11"/>
        <v/>
      </c>
      <c r="AM190" t="str">
        <f>IF(AL190="","",MAX($AF$1:$AF190))</f>
        <v/>
      </c>
    </row>
    <row r="191" spans="1:39" ht="13.5" customHeight="1" x14ac:dyDescent="0.3">
      <c r="A191" s="14" t="s">
        <v>3</v>
      </c>
      <c r="B191" s="15"/>
      <c r="C191" s="30" t="s">
        <v>4</v>
      </c>
      <c r="D191" s="31"/>
      <c r="E191" s="2"/>
      <c r="AB191" t="str" cm="1">
        <f t="array" ref="AB191:AC191">_xlfn._xlws.FILTER(A191:Z191,A191:Z191&lt;&gt;"","")</f>
        <v>Subject Name</v>
      </c>
      <c r="AC191" t="str">
        <v>Subject Weighting for 2023/24 Admission Exercise *</v>
      </c>
      <c r="AD191" t="str">
        <v/>
      </c>
      <c r="AE191" t="str">
        <v/>
      </c>
      <c r="AF191" t="str" cm="1">
        <f t="array" ref="AF191">IF(AD191="","",SUMPRODUCT(IF(LEFT($AD$1:AD191,2)="JS",1,0)))</f>
        <v/>
      </c>
      <c r="AG191" t="str">
        <f t="shared" si="8"/>
        <v/>
      </c>
      <c r="AH191" t="str">
        <f t="shared" si="9"/>
        <v/>
      </c>
      <c r="AI191" t="str">
        <f>IF(AH191="","",MAX($AF$1:$AF191))</f>
        <v/>
      </c>
      <c r="AJ191" t="str">
        <f t="shared" si="10"/>
        <v/>
      </c>
      <c r="AK191" t="str">
        <f>IF(AJ191="","",MAX($AF$1:$AF191))</f>
        <v/>
      </c>
      <c r="AL191" t="str">
        <f t="shared" si="11"/>
        <v/>
      </c>
      <c r="AM191" t="str">
        <f>IF(AL191="","",MAX($AF$1:$AF191))</f>
        <v/>
      </c>
    </row>
    <row r="192" spans="1:39" ht="13.5" customHeight="1" x14ac:dyDescent="0.3">
      <c r="A192" s="8" t="s">
        <v>35</v>
      </c>
      <c r="B192" s="9"/>
      <c r="C192" s="10">
        <v>5</v>
      </c>
      <c r="D192" s="11"/>
      <c r="E192" s="2"/>
      <c r="AB192" t="str" cm="1">
        <f t="array" ref="AB192:AC192">_xlfn._xlws.FILTER(A192:Z192,A192:Z192&lt;&gt;"","")</f>
        <v>French</v>
      </c>
      <c r="AC192">
        <v>5</v>
      </c>
      <c r="AD192" t="str">
        <v/>
      </c>
      <c r="AE192" t="str">
        <v/>
      </c>
      <c r="AF192" t="str" cm="1">
        <f t="array" ref="AF192">IF(AD192="","",SUMPRODUCT(IF(LEFT($AD$1:AD192,2)="JS",1,0)))</f>
        <v/>
      </c>
      <c r="AG192" t="str">
        <f t="shared" si="8"/>
        <v/>
      </c>
      <c r="AH192" t="str">
        <f t="shared" si="9"/>
        <v/>
      </c>
      <c r="AI192" t="str">
        <f>IF(AH192="","",MAX($AF$1:$AF192))</f>
        <v/>
      </c>
      <c r="AJ192" t="str">
        <f t="shared" si="10"/>
        <v/>
      </c>
      <c r="AK192" t="str">
        <f>IF(AJ192="","",MAX($AF$1:$AF192))</f>
        <v/>
      </c>
      <c r="AL192" t="str">
        <f t="shared" si="11"/>
        <v/>
      </c>
      <c r="AM192" t="str">
        <f>IF(AL192="","",MAX($AF$1:$AF192))</f>
        <v/>
      </c>
    </row>
    <row r="193" spans="1:39" ht="13.5" customHeight="1" x14ac:dyDescent="0.3">
      <c r="A193" s="8" t="s">
        <v>36</v>
      </c>
      <c r="B193" s="9"/>
      <c r="C193" s="10">
        <v>5</v>
      </c>
      <c r="D193" s="11"/>
      <c r="E193" s="2"/>
      <c r="AB193" t="str" cm="1">
        <f t="array" ref="AB193:AC193">_xlfn._xlws.FILTER(A193:Z193,A193:Z193&lt;&gt;"","")</f>
        <v>German</v>
      </c>
      <c r="AC193">
        <v>5</v>
      </c>
      <c r="AD193" t="str">
        <v/>
      </c>
      <c r="AE193" t="str">
        <v/>
      </c>
      <c r="AF193" t="str" cm="1">
        <f t="array" ref="AF193">IF(AD193="","",SUMPRODUCT(IF(LEFT($AD$1:AD193,2)="JS",1,0)))</f>
        <v/>
      </c>
      <c r="AG193" t="str">
        <f t="shared" ref="AG193:AG256" si="12">IF(ISNUMBER(MATCH(AB193,$AV$3:$AV$18,0)),TRUE,"")</f>
        <v/>
      </c>
      <c r="AH193" t="str">
        <f t="shared" si="9"/>
        <v/>
      </c>
      <c r="AI193" t="str">
        <f>IF(AH193="","",MAX($AF$1:$AF193))</f>
        <v/>
      </c>
      <c r="AJ193" t="str">
        <f t="shared" si="10"/>
        <v/>
      </c>
      <c r="AK193" t="str">
        <f>IF(AJ193="","",MAX($AF$1:$AF193))</f>
        <v/>
      </c>
      <c r="AL193" t="str">
        <f t="shared" si="11"/>
        <v/>
      </c>
      <c r="AM193" t="str">
        <f>IF(AL193="","",MAX($AF$1:$AF193))</f>
        <v/>
      </c>
    </row>
    <row r="194" spans="1:39" ht="13.5" customHeight="1" x14ac:dyDescent="0.3">
      <c r="A194" s="8" t="s">
        <v>37</v>
      </c>
      <c r="B194" s="9"/>
      <c r="C194" s="10">
        <v>5</v>
      </c>
      <c r="D194" s="11"/>
      <c r="E194" s="2"/>
      <c r="AB194" t="str" cm="1">
        <f t="array" ref="AB194:AC194">_xlfn._xlws.FILTER(A194:Z194,A194:Z194&lt;&gt;"","")</f>
        <v>Hindi</v>
      </c>
      <c r="AC194">
        <v>5</v>
      </c>
      <c r="AD194" t="str">
        <v/>
      </c>
      <c r="AE194" t="str">
        <v/>
      </c>
      <c r="AF194" t="str" cm="1">
        <f t="array" ref="AF194">IF(AD194="","",SUMPRODUCT(IF(LEFT($AD$1:AD194,2)="JS",1,0)))</f>
        <v/>
      </c>
      <c r="AG194" t="str">
        <f t="shared" si="12"/>
        <v/>
      </c>
      <c r="AH194" t="str">
        <f t="shared" ref="AH194:AH257" si="13">IF(AND(AC194=10,AG194=TRUE),AB194,"")</f>
        <v/>
      </c>
      <c r="AI194" t="str">
        <f>IF(AH194="","",MAX($AF$1:$AF194))</f>
        <v/>
      </c>
      <c r="AJ194" t="str">
        <f t="shared" ref="AJ194:AJ257" si="14">IF(AND(AC194=7,AG194=TRUE),AB194,"")</f>
        <v/>
      </c>
      <c r="AK194" t="str">
        <f>IF(AJ194="","",MAX($AF$1:$AF194))</f>
        <v/>
      </c>
      <c r="AL194" t="str">
        <f t="shared" ref="AL194:AL257" si="15">IF(AND(AC194=5,AG194=TRUE),AB194,"")</f>
        <v/>
      </c>
      <c r="AM194" t="str">
        <f>IF(AL194="","",MAX($AF$1:$AF194))</f>
        <v/>
      </c>
    </row>
    <row r="195" spans="1:39" ht="13.5" customHeight="1" x14ac:dyDescent="0.3">
      <c r="A195" s="8" t="s">
        <v>38</v>
      </c>
      <c r="B195" s="9"/>
      <c r="C195" s="10">
        <v>5</v>
      </c>
      <c r="D195" s="11"/>
      <c r="E195" s="2"/>
      <c r="AB195" t="str" cm="1">
        <f t="array" ref="AB195:AC195">_xlfn._xlws.FILTER(A195:Z195,A195:Z195&lt;&gt;"","")</f>
        <v>Japanese</v>
      </c>
      <c r="AC195">
        <v>5</v>
      </c>
      <c r="AD195" t="str">
        <v/>
      </c>
      <c r="AE195" t="str">
        <v/>
      </c>
      <c r="AF195" t="str" cm="1">
        <f t="array" ref="AF195">IF(AD195="","",SUMPRODUCT(IF(LEFT($AD$1:AD195,2)="JS",1,0)))</f>
        <v/>
      </c>
      <c r="AG195" t="str">
        <f t="shared" si="12"/>
        <v/>
      </c>
      <c r="AH195" t="str">
        <f t="shared" si="13"/>
        <v/>
      </c>
      <c r="AI195" t="str">
        <f>IF(AH195="","",MAX($AF$1:$AF195))</f>
        <v/>
      </c>
      <c r="AJ195" t="str">
        <f t="shared" si="14"/>
        <v/>
      </c>
      <c r="AK195" t="str">
        <f>IF(AJ195="","",MAX($AF$1:$AF195))</f>
        <v/>
      </c>
      <c r="AL195" t="str">
        <f t="shared" si="15"/>
        <v/>
      </c>
      <c r="AM195" t="str">
        <f>IF(AL195="","",MAX($AF$1:$AF195))</f>
        <v/>
      </c>
    </row>
    <row r="196" spans="1:39" ht="13.5" customHeight="1" x14ac:dyDescent="0.3">
      <c r="A196" s="8" t="s">
        <v>39</v>
      </c>
      <c r="B196" s="9"/>
      <c r="C196" s="10">
        <v>5</v>
      </c>
      <c r="D196" s="11"/>
      <c r="E196" s="2"/>
      <c r="AB196" t="str" cm="1">
        <f t="array" ref="AB196:AC196">_xlfn._xlws.FILTER(A196:Z196,A196:Z196&lt;&gt;"","")</f>
        <v>Spanish</v>
      </c>
      <c r="AC196">
        <v>5</v>
      </c>
      <c r="AD196" t="str">
        <v/>
      </c>
      <c r="AE196" t="str">
        <v/>
      </c>
      <c r="AF196" t="str" cm="1">
        <f t="array" ref="AF196">IF(AD196="","",SUMPRODUCT(IF(LEFT($AD$1:AD196,2)="JS",1,0)))</f>
        <v/>
      </c>
      <c r="AG196" t="str">
        <f t="shared" si="12"/>
        <v/>
      </c>
      <c r="AH196" t="str">
        <f t="shared" si="13"/>
        <v/>
      </c>
      <c r="AI196" t="str">
        <f>IF(AH196="","",MAX($AF$1:$AF196))</f>
        <v/>
      </c>
      <c r="AJ196" t="str">
        <f t="shared" si="14"/>
        <v/>
      </c>
      <c r="AK196" t="str">
        <f>IF(AJ196="","",MAX($AF$1:$AF196))</f>
        <v/>
      </c>
      <c r="AL196" t="str">
        <f t="shared" si="15"/>
        <v/>
      </c>
      <c r="AM196" t="str">
        <f>IF(AL196="","",MAX($AF$1:$AF196))</f>
        <v/>
      </c>
    </row>
    <row r="197" spans="1:39" ht="13.5" customHeight="1" x14ac:dyDescent="0.3">
      <c r="A197" s="8" t="s">
        <v>40</v>
      </c>
      <c r="B197" s="9"/>
      <c r="C197" s="10">
        <v>5</v>
      </c>
      <c r="D197" s="11"/>
      <c r="E197" s="2"/>
      <c r="AB197" t="str" cm="1">
        <f t="array" ref="AB197:AC197">_xlfn._xlws.FILTER(A197:Z197,A197:Z197&lt;&gt;"","")</f>
        <v>Urdu</v>
      </c>
      <c r="AC197">
        <v>5</v>
      </c>
      <c r="AD197" t="str">
        <v/>
      </c>
      <c r="AE197" t="str">
        <v/>
      </c>
      <c r="AF197" t="str" cm="1">
        <f t="array" ref="AF197">IF(AD197="","",SUMPRODUCT(IF(LEFT($AD$1:AD197,2)="JS",1,0)))</f>
        <v/>
      </c>
      <c r="AG197" t="str">
        <f t="shared" si="12"/>
        <v/>
      </c>
      <c r="AH197" t="str">
        <f t="shared" si="13"/>
        <v/>
      </c>
      <c r="AI197" t="str">
        <f>IF(AH197="","",MAX($AF$1:$AF197))</f>
        <v/>
      </c>
      <c r="AJ197" t="str">
        <f t="shared" si="14"/>
        <v/>
      </c>
      <c r="AK197" t="str">
        <f>IF(AJ197="","",MAX($AF$1:$AF197))</f>
        <v/>
      </c>
      <c r="AL197" t="str">
        <f t="shared" si="15"/>
        <v/>
      </c>
      <c r="AM197" t="str">
        <f>IF(AL197="","",MAX($AF$1:$AF197))</f>
        <v/>
      </c>
    </row>
    <row r="198" spans="1:39" ht="26.25" customHeight="1" x14ac:dyDescent="0.3">
      <c r="A198" s="26" t="s">
        <v>41</v>
      </c>
      <c r="B198" s="26"/>
      <c r="C198" s="26"/>
      <c r="D198" s="26"/>
      <c r="E198" s="26"/>
      <c r="AB198" t="str" cm="1">
        <f t="array" ref="AB198">_xlfn._xlws.FILTER(A198:Z198,A198:Z198&lt;&gt;"","")</f>
        <v>* Subject Weighting may be adjusted in the next admissions exercise</v>
      </c>
      <c r="AD198" t="str">
        <v/>
      </c>
      <c r="AE198" t="str">
        <v/>
      </c>
      <c r="AF198" t="str" cm="1">
        <f t="array" ref="AF198">IF(AD198="","",SUMPRODUCT(IF(LEFT($AD$1:AD198,2)="JS",1,0)))</f>
        <v/>
      </c>
      <c r="AG198" t="str">
        <f t="shared" si="12"/>
        <v/>
      </c>
      <c r="AH198" t="str">
        <f t="shared" si="13"/>
        <v/>
      </c>
      <c r="AI198" t="str">
        <f>IF(AH198="","",MAX($AF$1:$AF198))</f>
        <v/>
      </c>
      <c r="AJ198" t="str">
        <f t="shared" si="14"/>
        <v/>
      </c>
      <c r="AK198" t="str">
        <f>IF(AJ198="","",MAX($AF$1:$AF198))</f>
        <v/>
      </c>
      <c r="AL198" t="str">
        <f t="shared" si="15"/>
        <v/>
      </c>
      <c r="AM198" t="str">
        <f>IF(AL198="","",MAX($AF$1:$AF198))</f>
        <v/>
      </c>
    </row>
    <row r="199" spans="1:39" ht="15" customHeight="1" x14ac:dyDescent="0.3">
      <c r="A199" s="18" t="s">
        <v>84</v>
      </c>
      <c r="B199" s="18"/>
      <c r="C199" s="18"/>
      <c r="D199" s="1"/>
      <c r="AB199" t="str" cm="1">
        <f t="array" ref="AB199">_xlfn._xlws.FILTER(A199:Z199,A199:Z199&lt;&gt;"","")</f>
        <v>JUPAS Code: JS3060</v>
      </c>
      <c r="AD199" t="str">
        <v>JS3060</v>
      </c>
      <c r="AE199" t="str">
        <v/>
      </c>
      <c r="AF199" cm="1">
        <f t="array" ref="AF199">IF(AD199="","",SUMPRODUCT(IF(LEFT($AD$1:AD199,2)="JS",1,0)))</f>
        <v>4</v>
      </c>
      <c r="AG199" t="str">
        <f t="shared" si="12"/>
        <v/>
      </c>
      <c r="AH199" t="str">
        <f t="shared" si="13"/>
        <v/>
      </c>
      <c r="AI199" t="str">
        <f>IF(AH199="","",MAX($AF$1:$AF199))</f>
        <v/>
      </c>
      <c r="AJ199" t="str">
        <f t="shared" si="14"/>
        <v/>
      </c>
      <c r="AK199" t="str">
        <f>IF(AJ199="","",MAX($AF$1:$AF199))</f>
        <v/>
      </c>
      <c r="AL199" t="str">
        <f t="shared" si="15"/>
        <v/>
      </c>
      <c r="AM199" t="str">
        <f>IF(AL199="","",MAX($AF$1:$AF199))</f>
        <v/>
      </c>
    </row>
    <row r="200" spans="1:39" ht="13.5" customHeight="1" x14ac:dyDescent="0.3">
      <c r="A200" s="18" t="s">
        <v>85</v>
      </c>
      <c r="B200" s="18"/>
      <c r="C200" s="18"/>
      <c r="D200" s="1"/>
      <c r="AB200" t="str" cm="1">
        <f t="array" ref="AB200">_xlfn._xlws.FILTER(A200:Z200,A200:Z200&lt;&gt;"","")</f>
        <v>Programme Title: BBA (Hons) Scheme in Accounting and Finance</v>
      </c>
      <c r="AD200" t="str">
        <v/>
      </c>
      <c r="AE200" t="str">
        <v>BBA (Hons) Scheme in Accounting and Finance</v>
      </c>
      <c r="AF200" t="str" cm="1">
        <f t="array" ref="AF200">IF(AD200="","",SUMPRODUCT(IF(LEFT($AD$1:AD200,2)="JS",1,0)))</f>
        <v/>
      </c>
      <c r="AG200" t="str">
        <f t="shared" si="12"/>
        <v/>
      </c>
      <c r="AH200" t="str">
        <f t="shared" si="13"/>
        <v/>
      </c>
      <c r="AI200" t="str">
        <f>IF(AH200="","",MAX($AF$1:$AF200))</f>
        <v/>
      </c>
      <c r="AJ200" t="str">
        <f t="shared" si="14"/>
        <v/>
      </c>
      <c r="AK200" t="str">
        <f>IF(AJ200="","",MAX($AF$1:$AF200))</f>
        <v/>
      </c>
      <c r="AL200" t="str">
        <f t="shared" si="15"/>
        <v/>
      </c>
      <c r="AM200" t="str">
        <f>IF(AL200="","",MAX($AF$1:$AF200))</f>
        <v/>
      </c>
    </row>
    <row r="201" spans="1:39" ht="14.5" customHeight="1" x14ac:dyDescent="0.3">
      <c r="A201" s="12"/>
      <c r="B201" s="12"/>
      <c r="C201" s="2"/>
      <c r="D201" s="2"/>
      <c r="AB201" t="str" cm="1">
        <f t="array" ref="AB201">_xlfn._xlws.FILTER(A201:Z201,A201:Z201&lt;&gt;"","")</f>
        <v/>
      </c>
      <c r="AD201" t="str">
        <v/>
      </c>
      <c r="AE201" t="str">
        <v/>
      </c>
      <c r="AF201" t="str" cm="1">
        <f t="array" ref="AF201">IF(AD201="","",SUMPRODUCT(IF(LEFT($AD$1:AD201,2)="JS",1,0)))</f>
        <v/>
      </c>
      <c r="AG201" t="str">
        <f t="shared" si="12"/>
        <v/>
      </c>
      <c r="AH201" t="str">
        <f t="shared" si="13"/>
        <v/>
      </c>
      <c r="AI201" t="str">
        <f>IF(AH201="","",MAX($AF$1:$AF201))</f>
        <v/>
      </c>
      <c r="AJ201" t="str">
        <f t="shared" si="14"/>
        <v/>
      </c>
      <c r="AK201" t="str">
        <f>IF(AJ201="","",MAX($AF$1:$AF201))</f>
        <v/>
      </c>
      <c r="AL201" t="str">
        <f t="shared" si="15"/>
        <v/>
      </c>
      <c r="AM201" t="str">
        <f>IF(AL201="","",MAX($AF$1:$AF201))</f>
        <v/>
      </c>
    </row>
    <row r="202" spans="1:39" ht="13.5" customHeight="1" x14ac:dyDescent="0.3">
      <c r="A202" s="13" t="s">
        <v>2</v>
      </c>
      <c r="B202" s="13"/>
      <c r="C202" s="13"/>
      <c r="D202" s="13"/>
      <c r="AB202" t="str" cm="1">
        <f t="array" ref="AB202">_xlfn._xlws.FILTER(A202:Z202,A202:Z202&lt;&gt;"","")</f>
        <v>Category A: Core and Elective Subjects</v>
      </c>
      <c r="AD202" t="str">
        <v/>
      </c>
      <c r="AE202" t="str">
        <v/>
      </c>
      <c r="AF202" t="str" cm="1">
        <f t="array" ref="AF202">IF(AD202="","",SUMPRODUCT(IF(LEFT($AD$1:AD202,2)="JS",1,0)))</f>
        <v/>
      </c>
      <c r="AG202" t="str">
        <f t="shared" si="12"/>
        <v/>
      </c>
      <c r="AH202" t="str">
        <f t="shared" si="13"/>
        <v/>
      </c>
      <c r="AI202" t="str">
        <f>IF(AH202="","",MAX($AF$1:$AF202))</f>
        <v/>
      </c>
      <c r="AJ202" t="str">
        <f t="shared" si="14"/>
        <v/>
      </c>
      <c r="AK202" t="str">
        <f>IF(AJ202="","",MAX($AF$1:$AF202))</f>
        <v/>
      </c>
      <c r="AL202" t="str">
        <f t="shared" si="15"/>
        <v/>
      </c>
      <c r="AM202" t="str">
        <f>IF(AL202="","",MAX($AF$1:$AF202))</f>
        <v/>
      </c>
    </row>
    <row r="203" spans="1:39" ht="13.5" customHeight="1" x14ac:dyDescent="0.3">
      <c r="A203" s="14" t="s">
        <v>3</v>
      </c>
      <c r="B203" s="15"/>
      <c r="C203" s="16" t="s">
        <v>4</v>
      </c>
      <c r="D203" s="17"/>
      <c r="AB203" t="str" cm="1">
        <f t="array" ref="AB203:AC203">_xlfn._xlws.FILTER(A203:Z203,A203:Z203&lt;&gt;"","")</f>
        <v>Subject Name</v>
      </c>
      <c r="AC203" t="str">
        <v>Subject Weighting for 2023/24 Admission Exercise *</v>
      </c>
      <c r="AD203" t="str">
        <v/>
      </c>
      <c r="AE203" t="str">
        <v/>
      </c>
      <c r="AF203" t="str" cm="1">
        <f t="array" ref="AF203">IF(AD203="","",SUMPRODUCT(IF(LEFT($AD$1:AD203,2)="JS",1,0)))</f>
        <v/>
      </c>
      <c r="AG203" t="str">
        <f t="shared" si="12"/>
        <v/>
      </c>
      <c r="AH203" t="str">
        <f t="shared" si="13"/>
        <v/>
      </c>
      <c r="AI203" t="str">
        <f>IF(AH203="","",MAX($AF$1:$AF203))</f>
        <v/>
      </c>
      <c r="AJ203" t="str">
        <f t="shared" si="14"/>
        <v/>
      </c>
      <c r="AK203" t="str">
        <f>IF(AJ203="","",MAX($AF$1:$AF203))</f>
        <v/>
      </c>
      <c r="AL203" t="str">
        <f t="shared" si="15"/>
        <v/>
      </c>
      <c r="AM203" t="str">
        <f>IF(AL203="","",MAX($AF$1:$AF203))</f>
        <v/>
      </c>
    </row>
    <row r="204" spans="1:39" ht="13.5" customHeight="1" x14ac:dyDescent="0.3">
      <c r="A204" s="8" t="s">
        <v>211</v>
      </c>
      <c r="B204" s="9"/>
      <c r="C204" s="10">
        <v>7</v>
      </c>
      <c r="D204" s="11"/>
      <c r="AB204" t="str" cm="1">
        <f t="array" ref="AB204:AC204">_xlfn._xlws.FILTER(A204:Z204,A204:Z204&lt;&gt;"","")</f>
        <v>BIO</v>
      </c>
      <c r="AC204">
        <v>7</v>
      </c>
      <c r="AD204" t="str">
        <v/>
      </c>
      <c r="AE204" t="str">
        <v/>
      </c>
      <c r="AF204" t="str" cm="1">
        <f t="array" ref="AF204">IF(AD204="","",SUMPRODUCT(IF(LEFT($AD$1:AD204,2)="JS",1,0)))</f>
        <v/>
      </c>
      <c r="AG204" t="b">
        <f t="shared" si="12"/>
        <v>1</v>
      </c>
      <c r="AH204" t="str">
        <f t="shared" si="13"/>
        <v/>
      </c>
      <c r="AI204" t="str">
        <f>IF(AH204="","",MAX($AF$1:$AF204))</f>
        <v/>
      </c>
      <c r="AJ204" t="str">
        <f t="shared" si="14"/>
        <v>BIO</v>
      </c>
      <c r="AK204">
        <f>IF(AJ204="","",MAX($AF$1:$AF204))</f>
        <v>4</v>
      </c>
      <c r="AL204" t="str">
        <f t="shared" si="15"/>
        <v/>
      </c>
      <c r="AM204" t="str">
        <f>IF(AL204="","",MAX($AF$1:$AF204))</f>
        <v/>
      </c>
    </row>
    <row r="205" spans="1:39" ht="13.5" customHeight="1" x14ac:dyDescent="0.3">
      <c r="A205" s="8" t="s">
        <v>213</v>
      </c>
      <c r="B205" s="9"/>
      <c r="C205" s="10">
        <v>7</v>
      </c>
      <c r="D205" s="11"/>
      <c r="AB205" t="str" cm="1">
        <f t="array" ref="AB205:AC205">_xlfn._xlws.FILTER(A205:Z205,A205:Z205&lt;&gt;"","")</f>
        <v>BAFS</v>
      </c>
      <c r="AC205">
        <v>7</v>
      </c>
      <c r="AD205" t="str">
        <v/>
      </c>
      <c r="AE205" t="str">
        <v/>
      </c>
      <c r="AF205" t="str" cm="1">
        <f t="array" ref="AF205">IF(AD205="","",SUMPRODUCT(IF(LEFT($AD$1:AD205,2)="JS",1,0)))</f>
        <v/>
      </c>
      <c r="AG205" t="b">
        <f t="shared" si="12"/>
        <v>1</v>
      </c>
      <c r="AH205" t="str">
        <f t="shared" si="13"/>
        <v/>
      </c>
      <c r="AI205" t="str">
        <f>IF(AH205="","",MAX($AF$1:$AF205))</f>
        <v/>
      </c>
      <c r="AJ205" t="str">
        <f t="shared" si="14"/>
        <v>BAFS</v>
      </c>
      <c r="AK205">
        <f>IF(AJ205="","",MAX($AF$1:$AF205))</f>
        <v>4</v>
      </c>
      <c r="AL205" t="str">
        <f t="shared" si="15"/>
        <v/>
      </c>
      <c r="AM205" t="str">
        <f>IF(AL205="","",MAX($AF$1:$AF205))</f>
        <v/>
      </c>
    </row>
    <row r="206" spans="1:39" ht="13.5" customHeight="1" x14ac:dyDescent="0.3">
      <c r="A206" s="8" t="s">
        <v>5</v>
      </c>
      <c r="B206" s="9"/>
      <c r="C206" s="10">
        <v>7</v>
      </c>
      <c r="D206" s="11"/>
      <c r="AB206" t="str" cm="1">
        <f t="array" ref="AB206:AC206">_xlfn._xlws.FILTER(A206:Z206,A206:Z206&lt;&gt;"","")</f>
        <v>Business, Accounting and Financial Studies (Accounting)</v>
      </c>
      <c r="AC206">
        <v>7</v>
      </c>
      <c r="AD206" t="str">
        <v/>
      </c>
      <c r="AE206" t="str">
        <v/>
      </c>
      <c r="AF206" t="str" cm="1">
        <f t="array" ref="AF206">IF(AD206="","",SUMPRODUCT(IF(LEFT($AD$1:AD206,2)="JS",1,0)))</f>
        <v/>
      </c>
      <c r="AG206" t="str">
        <f t="shared" si="12"/>
        <v/>
      </c>
      <c r="AH206" t="str">
        <f t="shared" si="13"/>
        <v/>
      </c>
      <c r="AI206" t="str">
        <f>IF(AH206="","",MAX($AF$1:$AF206))</f>
        <v/>
      </c>
      <c r="AJ206" t="str">
        <f t="shared" si="14"/>
        <v/>
      </c>
      <c r="AK206" t="str">
        <f>IF(AJ206="","",MAX($AF$1:$AF206))</f>
        <v/>
      </c>
      <c r="AL206" t="str">
        <f t="shared" si="15"/>
        <v/>
      </c>
      <c r="AM206" t="str">
        <f>IF(AL206="","",MAX($AF$1:$AF206))</f>
        <v/>
      </c>
    </row>
    <row r="207" spans="1:39" ht="13.5" customHeight="1" x14ac:dyDescent="0.3">
      <c r="A207" s="8" t="s">
        <v>6</v>
      </c>
      <c r="B207" s="9"/>
      <c r="C207" s="10">
        <v>7</v>
      </c>
      <c r="D207" s="11"/>
      <c r="AB207" t="str" cm="1">
        <f t="array" ref="AB207:AC207">_xlfn._xlws.FILTER(A207:Z207,A207:Z207&lt;&gt;"","")</f>
        <v>Business, Accounting and Financial Studies (Business Management)</v>
      </c>
      <c r="AC207">
        <v>7</v>
      </c>
      <c r="AD207" t="str">
        <v/>
      </c>
      <c r="AE207" t="str">
        <v/>
      </c>
      <c r="AF207" t="str" cm="1">
        <f t="array" ref="AF207">IF(AD207="","",SUMPRODUCT(IF(LEFT($AD$1:AD207,2)="JS",1,0)))</f>
        <v/>
      </c>
      <c r="AG207" t="str">
        <f t="shared" si="12"/>
        <v/>
      </c>
      <c r="AH207" t="str">
        <f t="shared" si="13"/>
        <v/>
      </c>
      <c r="AI207" t="str">
        <f>IF(AH207="","",MAX($AF$1:$AF207))</f>
        <v/>
      </c>
      <c r="AJ207" t="str">
        <f t="shared" si="14"/>
        <v/>
      </c>
      <c r="AK207" t="str">
        <f>IF(AJ207="","",MAX($AF$1:$AF207))</f>
        <v/>
      </c>
      <c r="AL207" t="str">
        <f t="shared" si="15"/>
        <v/>
      </c>
      <c r="AM207" t="str">
        <f>IF(AL207="","",MAX($AF$1:$AF207))</f>
        <v/>
      </c>
    </row>
    <row r="208" spans="1:39" ht="13.5" customHeight="1" x14ac:dyDescent="0.3">
      <c r="A208" s="8" t="s">
        <v>212</v>
      </c>
      <c r="B208" s="9"/>
      <c r="C208" s="10">
        <v>7</v>
      </c>
      <c r="D208" s="11"/>
      <c r="AB208" t="str" cm="1">
        <f t="array" ref="AB208:AC208">_xlfn._xlws.FILTER(A208:Z208,A208:Z208&lt;&gt;"","")</f>
        <v>CHEM</v>
      </c>
      <c r="AC208">
        <v>7</v>
      </c>
      <c r="AD208" t="str">
        <v/>
      </c>
      <c r="AE208" t="str">
        <v/>
      </c>
      <c r="AF208" t="str" cm="1">
        <f t="array" ref="AF208">IF(AD208="","",SUMPRODUCT(IF(LEFT($AD$1:AD208,2)="JS",1,0)))</f>
        <v/>
      </c>
      <c r="AG208" t="b">
        <f t="shared" si="12"/>
        <v>1</v>
      </c>
      <c r="AH208" t="str">
        <f t="shared" si="13"/>
        <v/>
      </c>
      <c r="AI208" t="str">
        <f>IF(AH208="","",MAX($AF$1:$AF208))</f>
        <v/>
      </c>
      <c r="AJ208" t="str">
        <f t="shared" si="14"/>
        <v>CHEM</v>
      </c>
      <c r="AK208">
        <f>IF(AJ208="","",MAX($AF$1:$AF208))</f>
        <v>4</v>
      </c>
      <c r="AL208" t="str">
        <f t="shared" si="15"/>
        <v/>
      </c>
      <c r="AM208" t="str">
        <f>IF(AL208="","",MAX($AF$1:$AF208))</f>
        <v/>
      </c>
    </row>
    <row r="209" spans="1:39" ht="13.5" customHeight="1" x14ac:dyDescent="0.3">
      <c r="A209" s="8" t="s">
        <v>214</v>
      </c>
      <c r="B209" s="9"/>
      <c r="C209" s="10">
        <v>7</v>
      </c>
      <c r="D209" s="11"/>
      <c r="AB209" t="str" cm="1">
        <f t="array" ref="AB209:AC209">_xlfn._xlws.FILTER(A209:Z209,A209:Z209&lt;&gt;"","")</f>
        <v>中史</v>
      </c>
      <c r="AC209">
        <v>7</v>
      </c>
      <c r="AD209" t="str">
        <v/>
      </c>
      <c r="AE209" t="str">
        <v/>
      </c>
      <c r="AF209" t="str" cm="1">
        <f t="array" ref="AF209">IF(AD209="","",SUMPRODUCT(IF(LEFT($AD$1:AD209,2)="JS",1,0)))</f>
        <v/>
      </c>
      <c r="AG209" t="b">
        <f t="shared" si="12"/>
        <v>1</v>
      </c>
      <c r="AH209" t="str">
        <f t="shared" si="13"/>
        <v/>
      </c>
      <c r="AI209" t="str">
        <f>IF(AH209="","",MAX($AF$1:$AF209))</f>
        <v/>
      </c>
      <c r="AJ209" t="str">
        <f t="shared" si="14"/>
        <v>中史</v>
      </c>
      <c r="AK209">
        <f>IF(AJ209="","",MAX($AF$1:$AF209))</f>
        <v>4</v>
      </c>
      <c r="AL209" t="str">
        <f t="shared" si="15"/>
        <v/>
      </c>
      <c r="AM209" t="str">
        <f>IF(AL209="","",MAX($AF$1:$AF209))</f>
        <v/>
      </c>
    </row>
    <row r="210" spans="1:39" ht="13.5" customHeight="1" x14ac:dyDescent="0.3">
      <c r="A210" s="8" t="s">
        <v>216</v>
      </c>
      <c r="B210" s="9"/>
      <c r="C210" s="10">
        <v>7</v>
      </c>
      <c r="D210" s="11"/>
      <c r="AB210" t="str" cm="1">
        <f t="array" ref="AB210:AC210">_xlfn._xlws.FILTER(A210:Z210,A210:Z210&lt;&gt;"","")</f>
        <v>中文</v>
      </c>
      <c r="AC210">
        <v>7</v>
      </c>
      <c r="AD210" t="str">
        <v/>
      </c>
      <c r="AE210" t="str">
        <v/>
      </c>
      <c r="AF210" t="str" cm="1">
        <f t="array" ref="AF210">IF(AD210="","",SUMPRODUCT(IF(LEFT($AD$1:AD210,2)="JS",1,0)))</f>
        <v/>
      </c>
      <c r="AG210" t="b">
        <f t="shared" si="12"/>
        <v>1</v>
      </c>
      <c r="AH210" t="str">
        <f t="shared" si="13"/>
        <v/>
      </c>
      <c r="AI210" t="str">
        <f>IF(AH210="","",MAX($AF$1:$AF210))</f>
        <v/>
      </c>
      <c r="AJ210" t="str">
        <f t="shared" si="14"/>
        <v>中文</v>
      </c>
      <c r="AK210">
        <f>IF(AJ210="","",MAX($AF$1:$AF210))</f>
        <v>4</v>
      </c>
      <c r="AL210" t="str">
        <f t="shared" si="15"/>
        <v/>
      </c>
      <c r="AM210" t="str">
        <f>IF(AL210="","",MAX($AF$1:$AF210))</f>
        <v/>
      </c>
    </row>
    <row r="211" spans="1:39" ht="13.5" customHeight="1" x14ac:dyDescent="0.3">
      <c r="A211" s="8" t="s">
        <v>7</v>
      </c>
      <c r="B211" s="9"/>
      <c r="C211" s="10">
        <v>7</v>
      </c>
      <c r="D211" s="11"/>
      <c r="AB211" t="str" cm="1">
        <f t="array" ref="AB211:AC211">_xlfn._xlws.FILTER(A211:Z211,A211:Z211&lt;&gt;"","")</f>
        <v>Chinese Literature</v>
      </c>
      <c r="AC211">
        <v>7</v>
      </c>
      <c r="AD211" t="str">
        <v/>
      </c>
      <c r="AE211" t="str">
        <v/>
      </c>
      <c r="AF211" t="str" cm="1">
        <f t="array" ref="AF211">IF(AD211="","",SUMPRODUCT(IF(LEFT($AD$1:AD211,2)="JS",1,0)))</f>
        <v/>
      </c>
      <c r="AG211" t="str">
        <f t="shared" si="12"/>
        <v/>
      </c>
      <c r="AH211" t="str">
        <f t="shared" si="13"/>
        <v/>
      </c>
      <c r="AI211" t="str">
        <f>IF(AH211="","",MAX($AF$1:$AF211))</f>
        <v/>
      </c>
      <c r="AJ211" t="str">
        <f t="shared" si="14"/>
        <v/>
      </c>
      <c r="AK211" t="str">
        <f>IF(AJ211="","",MAX($AF$1:$AF211))</f>
        <v/>
      </c>
      <c r="AL211" t="str">
        <f t="shared" si="15"/>
        <v/>
      </c>
      <c r="AM211" t="str">
        <f>IF(AL211="","",MAX($AF$1:$AF211))</f>
        <v/>
      </c>
    </row>
    <row r="212" spans="1:39" ht="13.5" customHeight="1" x14ac:dyDescent="0.3">
      <c r="A212" s="8" t="s">
        <v>8</v>
      </c>
      <c r="B212" s="9"/>
      <c r="C212" s="10">
        <v>7</v>
      </c>
      <c r="D212" s="11"/>
      <c r="AB212" t="str" cm="1">
        <f t="array" ref="AB212:AC212">_xlfn._xlws.FILTER(A212:Z212,A212:Z212&lt;&gt;"","")</f>
        <v>Combined Science: Biology + Chemistry</v>
      </c>
      <c r="AC212">
        <v>7</v>
      </c>
      <c r="AD212" t="str">
        <v/>
      </c>
      <c r="AE212" t="str">
        <v/>
      </c>
      <c r="AF212" t="str" cm="1">
        <f t="array" ref="AF212">IF(AD212="","",SUMPRODUCT(IF(LEFT($AD$1:AD212,2)="JS",1,0)))</f>
        <v/>
      </c>
      <c r="AG212" t="str">
        <f t="shared" si="12"/>
        <v/>
      </c>
      <c r="AH212" t="str">
        <f t="shared" si="13"/>
        <v/>
      </c>
      <c r="AI212" t="str">
        <f>IF(AH212="","",MAX($AF$1:$AF212))</f>
        <v/>
      </c>
      <c r="AJ212" t="str">
        <f t="shared" si="14"/>
        <v/>
      </c>
      <c r="AK212" t="str">
        <f>IF(AJ212="","",MAX($AF$1:$AF212))</f>
        <v/>
      </c>
      <c r="AL212" t="str">
        <f t="shared" si="15"/>
        <v/>
      </c>
      <c r="AM212" t="str">
        <f>IF(AL212="","",MAX($AF$1:$AF212))</f>
        <v/>
      </c>
    </row>
    <row r="213" spans="1:39" ht="13.5" customHeight="1" x14ac:dyDescent="0.3">
      <c r="A213" s="8" t="s">
        <v>9</v>
      </c>
      <c r="B213" s="9"/>
      <c r="C213" s="10">
        <v>7</v>
      </c>
      <c r="D213" s="11"/>
      <c r="AB213" t="str" cm="1">
        <f t="array" ref="AB213:AC213">_xlfn._xlws.FILTER(A213:Z213,A213:Z213&lt;&gt;"","")</f>
        <v>Combined Science: Biology + Physics</v>
      </c>
      <c r="AC213">
        <v>7</v>
      </c>
      <c r="AD213" t="str">
        <v/>
      </c>
      <c r="AE213" t="str">
        <v/>
      </c>
      <c r="AF213" t="str" cm="1">
        <f t="array" ref="AF213">IF(AD213="","",SUMPRODUCT(IF(LEFT($AD$1:AD213,2)="JS",1,0)))</f>
        <v/>
      </c>
      <c r="AG213" t="str">
        <f t="shared" si="12"/>
        <v/>
      </c>
      <c r="AH213" t="str">
        <f t="shared" si="13"/>
        <v/>
      </c>
      <c r="AI213" t="str">
        <f>IF(AH213="","",MAX($AF$1:$AF213))</f>
        <v/>
      </c>
      <c r="AJ213" t="str">
        <f t="shared" si="14"/>
        <v/>
      </c>
      <c r="AK213" t="str">
        <f>IF(AJ213="","",MAX($AF$1:$AF213))</f>
        <v/>
      </c>
      <c r="AL213" t="str">
        <f t="shared" si="15"/>
        <v/>
      </c>
      <c r="AM213" t="str">
        <f>IF(AL213="","",MAX($AF$1:$AF213))</f>
        <v/>
      </c>
    </row>
    <row r="214" spans="1:39" ht="13.5" customHeight="1" x14ac:dyDescent="0.3">
      <c r="A214" s="8" t="s">
        <v>10</v>
      </c>
      <c r="B214" s="9"/>
      <c r="C214" s="10">
        <v>7</v>
      </c>
      <c r="D214" s="11"/>
      <c r="AB214" t="str" cm="1">
        <f t="array" ref="AB214:AC214">_xlfn._xlws.FILTER(A214:Z214,A214:Z214&lt;&gt;"","")</f>
        <v>Combined Science: Physics + Chemistry</v>
      </c>
      <c r="AC214">
        <v>7</v>
      </c>
      <c r="AD214" t="str">
        <v/>
      </c>
      <c r="AE214" t="str">
        <v/>
      </c>
      <c r="AF214" t="str" cm="1">
        <f t="array" ref="AF214">IF(AD214="","",SUMPRODUCT(IF(LEFT($AD$1:AD214,2)="JS",1,0)))</f>
        <v/>
      </c>
      <c r="AG214" t="str">
        <f t="shared" si="12"/>
        <v/>
      </c>
      <c r="AH214" t="str">
        <f t="shared" si="13"/>
        <v/>
      </c>
      <c r="AI214" t="str">
        <f>IF(AH214="","",MAX($AF$1:$AF214))</f>
        <v/>
      </c>
      <c r="AJ214" t="str">
        <f t="shared" si="14"/>
        <v/>
      </c>
      <c r="AK214" t="str">
        <f>IF(AJ214="","",MAX($AF$1:$AF214))</f>
        <v/>
      </c>
      <c r="AL214" t="str">
        <f t="shared" si="15"/>
        <v/>
      </c>
      <c r="AM214" t="str">
        <f>IF(AL214="","",MAX($AF$1:$AF214))</f>
        <v/>
      </c>
    </row>
    <row r="215" spans="1:39" ht="13.5" customHeight="1" x14ac:dyDescent="0.3">
      <c r="A215" s="8" t="s">
        <v>11</v>
      </c>
      <c r="B215" s="9"/>
      <c r="C215" s="10">
        <v>5</v>
      </c>
      <c r="D215" s="11"/>
      <c r="AB215" t="str" cm="1">
        <f t="array" ref="AB215:AC215">_xlfn._xlws.FILTER(A215:Z215,A215:Z215&lt;&gt;"","")</f>
        <v>Design and Applied Technology</v>
      </c>
      <c r="AC215">
        <v>5</v>
      </c>
      <c r="AD215" t="str">
        <v/>
      </c>
      <c r="AE215" t="str">
        <v/>
      </c>
      <c r="AF215" t="str" cm="1">
        <f t="array" ref="AF215">IF(AD215="","",SUMPRODUCT(IF(LEFT($AD$1:AD215,2)="JS",1,0)))</f>
        <v/>
      </c>
      <c r="AG215" t="str">
        <f t="shared" si="12"/>
        <v/>
      </c>
      <c r="AH215" t="str">
        <f t="shared" si="13"/>
        <v/>
      </c>
      <c r="AI215" t="str">
        <f>IF(AH215="","",MAX($AF$1:$AF215))</f>
        <v/>
      </c>
      <c r="AJ215" t="str">
        <f t="shared" si="14"/>
        <v/>
      </c>
      <c r="AK215" t="str">
        <f>IF(AJ215="","",MAX($AF$1:$AF215))</f>
        <v/>
      </c>
      <c r="AL215" t="str">
        <f t="shared" si="15"/>
        <v/>
      </c>
      <c r="AM215" t="str">
        <f>IF(AL215="","",MAX($AF$1:$AF215))</f>
        <v/>
      </c>
    </row>
    <row r="216" spans="1:39" ht="13.5" customHeight="1" x14ac:dyDescent="0.3">
      <c r="A216" s="8" t="s">
        <v>217</v>
      </c>
      <c r="B216" s="9"/>
      <c r="C216" s="10">
        <v>7</v>
      </c>
      <c r="D216" s="11"/>
      <c r="AB216" t="str" cm="1">
        <f t="array" ref="AB216:AC216">_xlfn._xlws.FILTER(A216:Z216,A216:Z216&lt;&gt;"","")</f>
        <v>ECON</v>
      </c>
      <c r="AC216">
        <v>7</v>
      </c>
      <c r="AD216" t="str">
        <v/>
      </c>
      <c r="AE216" t="str">
        <v/>
      </c>
      <c r="AF216" t="str" cm="1">
        <f t="array" ref="AF216">IF(AD216="","",SUMPRODUCT(IF(LEFT($AD$1:AD216,2)="JS",1,0)))</f>
        <v/>
      </c>
      <c r="AG216" t="b">
        <f t="shared" si="12"/>
        <v>1</v>
      </c>
      <c r="AH216" t="str">
        <f t="shared" si="13"/>
        <v/>
      </c>
      <c r="AI216" t="str">
        <f>IF(AH216="","",MAX($AF$1:$AF216))</f>
        <v/>
      </c>
      <c r="AJ216" t="str">
        <f t="shared" si="14"/>
        <v>ECON</v>
      </c>
      <c r="AK216">
        <f>IF(AJ216="","",MAX($AF$1:$AF216))</f>
        <v>4</v>
      </c>
      <c r="AL216" t="str">
        <f t="shared" si="15"/>
        <v/>
      </c>
      <c r="AM216" t="str">
        <f>IF(AL216="","",MAX($AF$1:$AF216))</f>
        <v/>
      </c>
    </row>
    <row r="217" spans="1:39" ht="13.5" customHeight="1" x14ac:dyDescent="0.3">
      <c r="A217" s="8" t="s">
        <v>218</v>
      </c>
      <c r="B217" s="9"/>
      <c r="C217" s="10">
        <v>10</v>
      </c>
      <c r="D217" s="11"/>
      <c r="AB217" t="str" cm="1">
        <f t="array" ref="AB217:AC217">_xlfn._xlws.FILTER(A217:Z217,A217:Z217&lt;&gt;"","")</f>
        <v>ENG</v>
      </c>
      <c r="AC217">
        <v>10</v>
      </c>
      <c r="AD217" t="str">
        <v/>
      </c>
      <c r="AE217" t="str">
        <v/>
      </c>
      <c r="AF217" t="str" cm="1">
        <f t="array" ref="AF217">IF(AD217="","",SUMPRODUCT(IF(LEFT($AD$1:AD217,2)="JS",1,0)))</f>
        <v/>
      </c>
      <c r="AG217" t="b">
        <f t="shared" si="12"/>
        <v>1</v>
      </c>
      <c r="AH217" t="str">
        <f t="shared" si="13"/>
        <v>ENG</v>
      </c>
      <c r="AI217">
        <f>IF(AH217="","",MAX($AF$1:$AF217))</f>
        <v>4</v>
      </c>
      <c r="AJ217" t="str">
        <f t="shared" si="14"/>
        <v/>
      </c>
      <c r="AK217" t="str">
        <f>IF(AJ217="","",MAX($AF$1:$AF217))</f>
        <v/>
      </c>
      <c r="AL217" t="str">
        <f t="shared" si="15"/>
        <v/>
      </c>
      <c r="AM217" t="str">
        <f>IF(AL217="","",MAX($AF$1:$AF217))</f>
        <v/>
      </c>
    </row>
    <row r="218" spans="1:39" ht="13.5" customHeight="1" x14ac:dyDescent="0.3">
      <c r="A218" s="8" t="s">
        <v>12</v>
      </c>
      <c r="B218" s="9"/>
      <c r="C218" s="10">
        <v>5</v>
      </c>
      <c r="D218" s="11"/>
      <c r="AB218" t="str" cm="1">
        <f t="array" ref="AB218:AC218">_xlfn._xlws.FILTER(A218:Z218,A218:Z218&lt;&gt;"","")</f>
        <v>Ethics and Religious Studies</v>
      </c>
      <c r="AC218">
        <v>5</v>
      </c>
      <c r="AD218" t="str">
        <v/>
      </c>
      <c r="AE218" t="str">
        <v/>
      </c>
      <c r="AF218" t="str" cm="1">
        <f t="array" ref="AF218">IF(AD218="","",SUMPRODUCT(IF(LEFT($AD$1:AD218,2)="JS",1,0)))</f>
        <v/>
      </c>
      <c r="AG218" t="str">
        <f t="shared" si="12"/>
        <v/>
      </c>
      <c r="AH218" t="str">
        <f t="shared" si="13"/>
        <v/>
      </c>
      <c r="AI218" t="str">
        <f>IF(AH218="","",MAX($AF$1:$AF218))</f>
        <v/>
      </c>
      <c r="AJ218" t="str">
        <f t="shared" si="14"/>
        <v/>
      </c>
      <c r="AK218" t="str">
        <f>IF(AJ218="","",MAX($AF$1:$AF218))</f>
        <v/>
      </c>
      <c r="AL218" t="str">
        <f t="shared" si="15"/>
        <v/>
      </c>
      <c r="AM218" t="str">
        <f>IF(AL218="","",MAX($AF$1:$AF218))</f>
        <v/>
      </c>
    </row>
    <row r="219" spans="1:39" ht="13.5" customHeight="1" x14ac:dyDescent="0.3">
      <c r="A219" s="8" t="s">
        <v>219</v>
      </c>
      <c r="B219" s="9"/>
      <c r="C219" s="10">
        <v>7</v>
      </c>
      <c r="D219" s="11"/>
      <c r="AB219" t="str" cm="1">
        <f t="array" ref="AB219:AC219">_xlfn._xlws.FILTER(A219:Z219,A219:Z219&lt;&gt;"","")</f>
        <v>GEOG</v>
      </c>
      <c r="AC219">
        <v>7</v>
      </c>
      <c r="AD219" t="str">
        <v/>
      </c>
      <c r="AE219" t="str">
        <v/>
      </c>
      <c r="AF219" t="str" cm="1">
        <f t="array" ref="AF219">IF(AD219="","",SUMPRODUCT(IF(LEFT($AD$1:AD219,2)="JS",1,0)))</f>
        <v/>
      </c>
      <c r="AG219" t="b">
        <f t="shared" si="12"/>
        <v>1</v>
      </c>
      <c r="AH219" t="str">
        <f t="shared" si="13"/>
        <v/>
      </c>
      <c r="AI219" t="str">
        <f>IF(AH219="","",MAX($AF$1:$AF219))</f>
        <v/>
      </c>
      <c r="AJ219" t="str">
        <f t="shared" si="14"/>
        <v>GEOG</v>
      </c>
      <c r="AK219">
        <f>IF(AJ219="","",MAX($AF$1:$AF219))</f>
        <v>4</v>
      </c>
      <c r="AL219" t="str">
        <f t="shared" si="15"/>
        <v/>
      </c>
      <c r="AM219" t="str">
        <f>IF(AL219="","",MAX($AF$1:$AF219))</f>
        <v/>
      </c>
    </row>
    <row r="220" spans="1:39" ht="13.5" customHeight="1" x14ac:dyDescent="0.3">
      <c r="A220" s="8" t="s">
        <v>220</v>
      </c>
      <c r="B220" s="9"/>
      <c r="C220" s="10">
        <v>5</v>
      </c>
      <c r="D220" s="11"/>
      <c r="AB220" t="str" cm="1">
        <f t="array" ref="AB220:AC220">_xlfn._xlws.FILTER(A220:Z220,A220:Z220&lt;&gt;"","")</f>
        <v>HMSC</v>
      </c>
      <c r="AC220">
        <v>5</v>
      </c>
      <c r="AD220" t="str">
        <v/>
      </c>
      <c r="AE220" t="str">
        <v/>
      </c>
      <c r="AF220" t="str" cm="1">
        <f t="array" ref="AF220">IF(AD220="","",SUMPRODUCT(IF(LEFT($AD$1:AD220,2)="JS",1,0)))</f>
        <v/>
      </c>
      <c r="AG220" t="b">
        <f t="shared" si="12"/>
        <v>1</v>
      </c>
      <c r="AH220" t="str">
        <f t="shared" si="13"/>
        <v/>
      </c>
      <c r="AI220" t="str">
        <f>IF(AH220="","",MAX($AF$1:$AF220))</f>
        <v/>
      </c>
      <c r="AJ220" t="str">
        <f t="shared" si="14"/>
        <v/>
      </c>
      <c r="AK220" t="str">
        <f>IF(AJ220="","",MAX($AF$1:$AF220))</f>
        <v/>
      </c>
      <c r="AL220" t="str">
        <f t="shared" si="15"/>
        <v>HMSC</v>
      </c>
      <c r="AM220">
        <f>IF(AL220="","",MAX($AF$1:$AF220))</f>
        <v>4</v>
      </c>
    </row>
    <row r="221" spans="1:39" ht="13.5" customHeight="1" x14ac:dyDescent="0.3">
      <c r="A221" s="8" t="s">
        <v>221</v>
      </c>
      <c r="B221" s="9"/>
      <c r="C221" s="10">
        <v>7</v>
      </c>
      <c r="D221" s="11"/>
      <c r="AB221" t="str" cm="1">
        <f t="array" ref="AB221:AC221">_xlfn._xlws.FILTER(A221:Z221,A221:Z221&lt;&gt;"","")</f>
        <v>HIST</v>
      </c>
      <c r="AC221">
        <v>7</v>
      </c>
      <c r="AD221" t="str">
        <v/>
      </c>
      <c r="AE221" t="str">
        <v/>
      </c>
      <c r="AF221" t="str" cm="1">
        <f t="array" ref="AF221">IF(AD221="","",SUMPRODUCT(IF(LEFT($AD$1:AD221,2)="JS",1,0)))</f>
        <v/>
      </c>
      <c r="AG221" t="b">
        <f t="shared" si="12"/>
        <v>1</v>
      </c>
      <c r="AH221" t="str">
        <f t="shared" si="13"/>
        <v/>
      </c>
      <c r="AI221" t="str">
        <f>IF(AH221="","",MAX($AF$1:$AF221))</f>
        <v/>
      </c>
      <c r="AJ221" t="str">
        <f t="shared" si="14"/>
        <v>HIST</v>
      </c>
      <c r="AK221">
        <f>IF(AJ221="","",MAX($AF$1:$AF221))</f>
        <v>4</v>
      </c>
      <c r="AL221" t="str">
        <f t="shared" si="15"/>
        <v/>
      </c>
      <c r="AM221" t="str">
        <f>IF(AL221="","",MAX($AF$1:$AF221))</f>
        <v/>
      </c>
    </row>
    <row r="222" spans="1:39" ht="13.5" customHeight="1" x14ac:dyDescent="0.3">
      <c r="A222" s="8" t="s">
        <v>222</v>
      </c>
      <c r="B222" s="9"/>
      <c r="C222" s="10">
        <v>5</v>
      </c>
      <c r="D222" s="11"/>
      <c r="AB222" t="str" cm="1">
        <f t="array" ref="AB222:AC222">_xlfn._xlws.FILTER(A222:Z222,A222:Z222&lt;&gt;"","")</f>
        <v>ICT</v>
      </c>
      <c r="AC222">
        <v>5</v>
      </c>
      <c r="AD222" t="str">
        <v/>
      </c>
      <c r="AE222" t="str">
        <v/>
      </c>
      <c r="AF222" t="str" cm="1">
        <f t="array" ref="AF222">IF(AD222="","",SUMPRODUCT(IF(LEFT($AD$1:AD222,2)="JS",1,0)))</f>
        <v/>
      </c>
      <c r="AG222" t="b">
        <f t="shared" si="12"/>
        <v>1</v>
      </c>
      <c r="AH222" t="str">
        <f t="shared" si="13"/>
        <v/>
      </c>
      <c r="AI222" t="str">
        <f>IF(AH222="","",MAX($AF$1:$AF222))</f>
        <v/>
      </c>
      <c r="AJ222" t="str">
        <f t="shared" si="14"/>
        <v/>
      </c>
      <c r="AK222" t="str">
        <f>IF(AJ222="","",MAX($AF$1:$AF222))</f>
        <v/>
      </c>
      <c r="AL222" t="str">
        <f t="shared" si="15"/>
        <v>ICT</v>
      </c>
      <c r="AM222">
        <f>IF(AL222="","",MAX($AF$1:$AF222))</f>
        <v>4</v>
      </c>
    </row>
    <row r="223" spans="1:39" ht="13.5" customHeight="1" x14ac:dyDescent="0.3">
      <c r="A223" s="8" t="s">
        <v>13</v>
      </c>
      <c r="B223" s="9"/>
      <c r="C223" s="10">
        <v>7</v>
      </c>
      <c r="D223" s="11"/>
      <c r="AB223" t="str" cm="1">
        <f t="array" ref="AB223:AC223">_xlfn._xlws.FILTER(A223:Z223,A223:Z223&lt;&gt;"","")</f>
        <v>Integrated Science</v>
      </c>
      <c r="AC223">
        <v>7</v>
      </c>
      <c r="AD223" t="str">
        <v/>
      </c>
      <c r="AE223" t="str">
        <v/>
      </c>
      <c r="AF223" t="str" cm="1">
        <f t="array" ref="AF223">IF(AD223="","",SUMPRODUCT(IF(LEFT($AD$1:AD223,2)="JS",1,0)))</f>
        <v/>
      </c>
      <c r="AG223" t="str">
        <f t="shared" si="12"/>
        <v/>
      </c>
      <c r="AH223" t="str">
        <f t="shared" si="13"/>
        <v/>
      </c>
      <c r="AI223" t="str">
        <f>IF(AH223="","",MAX($AF$1:$AF223))</f>
        <v/>
      </c>
      <c r="AJ223" t="str">
        <f t="shared" si="14"/>
        <v/>
      </c>
      <c r="AK223" t="str">
        <f>IF(AJ223="","",MAX($AF$1:$AF223))</f>
        <v/>
      </c>
      <c r="AL223" t="str">
        <f t="shared" si="15"/>
        <v/>
      </c>
      <c r="AM223" t="str">
        <f>IF(AL223="","",MAX($AF$1:$AF223))</f>
        <v/>
      </c>
    </row>
    <row r="224" spans="1:39" ht="13.5" customHeight="1" x14ac:dyDescent="0.3">
      <c r="A224" s="8" t="s">
        <v>223</v>
      </c>
      <c r="B224" s="9"/>
      <c r="C224" s="10">
        <v>7</v>
      </c>
      <c r="D224" s="11"/>
      <c r="AB224" t="str" cm="1">
        <f t="array" ref="AB224:AC224">_xlfn._xlws.FILTER(A224:Z224,A224:Z224&lt;&gt;"","")</f>
        <v>通</v>
      </c>
      <c r="AC224">
        <v>7</v>
      </c>
      <c r="AD224" t="str">
        <v/>
      </c>
      <c r="AE224" t="str">
        <v/>
      </c>
      <c r="AF224" t="str" cm="1">
        <f t="array" ref="AF224">IF(AD224="","",SUMPRODUCT(IF(LEFT($AD$1:AD224,2)="JS",1,0)))</f>
        <v/>
      </c>
      <c r="AG224" t="b">
        <f t="shared" si="12"/>
        <v>1</v>
      </c>
      <c r="AH224" t="str">
        <f t="shared" si="13"/>
        <v/>
      </c>
      <c r="AI224" t="str">
        <f>IF(AH224="","",MAX($AF$1:$AF224))</f>
        <v/>
      </c>
      <c r="AJ224" t="str">
        <f t="shared" si="14"/>
        <v>通</v>
      </c>
      <c r="AK224">
        <f>IF(AJ224="","",MAX($AF$1:$AF224))</f>
        <v>4</v>
      </c>
      <c r="AL224" t="str">
        <f t="shared" si="15"/>
        <v/>
      </c>
      <c r="AM224" t="str">
        <f>IF(AL224="","",MAX($AF$1:$AF224))</f>
        <v/>
      </c>
    </row>
    <row r="225" spans="1:39" ht="13.5" customHeight="1" x14ac:dyDescent="0.3">
      <c r="A225" s="8" t="s">
        <v>14</v>
      </c>
      <c r="B225" s="9"/>
      <c r="C225" s="10">
        <v>7</v>
      </c>
      <c r="D225" s="11"/>
      <c r="AB225" t="str" cm="1">
        <f t="array" ref="AB225:AC225">_xlfn._xlws.FILTER(A225:Z225,A225:Z225&lt;&gt;"","")</f>
        <v>Literature in English</v>
      </c>
      <c r="AC225">
        <v>7</v>
      </c>
      <c r="AD225" t="str">
        <v/>
      </c>
      <c r="AE225" t="str">
        <v/>
      </c>
      <c r="AF225" t="str" cm="1">
        <f t="array" ref="AF225">IF(AD225="","",SUMPRODUCT(IF(LEFT($AD$1:AD225,2)="JS",1,0)))</f>
        <v/>
      </c>
      <c r="AG225" t="str">
        <f t="shared" si="12"/>
        <v/>
      </c>
      <c r="AH225" t="str">
        <f t="shared" si="13"/>
        <v/>
      </c>
      <c r="AI225" t="str">
        <f>IF(AH225="","",MAX($AF$1:$AF225))</f>
        <v/>
      </c>
      <c r="AJ225" t="str">
        <f t="shared" si="14"/>
        <v/>
      </c>
      <c r="AK225" t="str">
        <f>IF(AJ225="","",MAX($AF$1:$AF225))</f>
        <v/>
      </c>
      <c r="AL225" t="str">
        <f t="shared" si="15"/>
        <v/>
      </c>
      <c r="AM225" t="str">
        <f>IF(AL225="","",MAX($AF$1:$AF225))</f>
        <v/>
      </c>
    </row>
    <row r="226" spans="1:39" ht="13.5" customHeight="1" x14ac:dyDescent="0.3">
      <c r="A226" s="8" t="s">
        <v>224</v>
      </c>
      <c r="B226" s="9"/>
      <c r="C226" s="10">
        <v>10</v>
      </c>
      <c r="D226" s="11"/>
      <c r="AB226" t="str" cm="1">
        <f t="array" ref="AB226:AC226">_xlfn._xlws.FILTER(A226:Z226,A226:Z226&lt;&gt;"","")</f>
        <v>MATH</v>
      </c>
      <c r="AC226">
        <v>10</v>
      </c>
      <c r="AD226" t="str">
        <v/>
      </c>
      <c r="AE226" t="str">
        <v/>
      </c>
      <c r="AF226" t="str" cm="1">
        <f t="array" ref="AF226">IF(AD226="","",SUMPRODUCT(IF(LEFT($AD$1:AD226,2)="JS",1,0)))</f>
        <v/>
      </c>
      <c r="AG226" t="b">
        <f t="shared" si="12"/>
        <v>1</v>
      </c>
      <c r="AH226" t="str">
        <f t="shared" si="13"/>
        <v>MATH</v>
      </c>
      <c r="AI226">
        <f>IF(AH226="","",MAX($AF$1:$AF226))</f>
        <v>4</v>
      </c>
      <c r="AJ226" t="str">
        <f t="shared" si="14"/>
        <v/>
      </c>
      <c r="AK226" t="str">
        <f>IF(AJ226="","",MAX($AF$1:$AF226))</f>
        <v/>
      </c>
      <c r="AL226" t="str">
        <f t="shared" si="15"/>
        <v/>
      </c>
      <c r="AM226" t="str">
        <f>IF(AL226="","",MAX($AF$1:$AF226))</f>
        <v/>
      </c>
    </row>
    <row r="227" spans="1:39" ht="13.5" customHeight="1" x14ac:dyDescent="0.3">
      <c r="A227" s="8" t="s">
        <v>225</v>
      </c>
      <c r="B227" s="9"/>
      <c r="C227" s="10">
        <v>7</v>
      </c>
      <c r="D227" s="11"/>
      <c r="AB227" t="str" cm="1">
        <f t="array" ref="AB227:AC227">_xlfn._xlws.FILTER(A227:Z227,A227:Z227&lt;&gt;"","")</f>
        <v>M2</v>
      </c>
      <c r="AC227">
        <v>7</v>
      </c>
      <c r="AD227" t="str">
        <v/>
      </c>
      <c r="AE227" t="str">
        <v/>
      </c>
      <c r="AF227" t="str" cm="1">
        <f t="array" ref="AF227">IF(AD227="","",SUMPRODUCT(IF(LEFT($AD$1:AD227,2)="JS",1,0)))</f>
        <v/>
      </c>
      <c r="AG227" t="b">
        <f t="shared" si="12"/>
        <v>1</v>
      </c>
      <c r="AH227" t="str">
        <f t="shared" si="13"/>
        <v/>
      </c>
      <c r="AI227" t="str">
        <f>IF(AH227="","",MAX($AF$1:$AF227))</f>
        <v/>
      </c>
      <c r="AJ227" t="str">
        <f t="shared" si="14"/>
        <v>M2</v>
      </c>
      <c r="AK227">
        <f>IF(AJ227="","",MAX($AF$1:$AF227))</f>
        <v>4</v>
      </c>
      <c r="AL227" t="str">
        <f t="shared" si="15"/>
        <v/>
      </c>
      <c r="AM227" t="str">
        <f>IF(AL227="","",MAX($AF$1:$AF227))</f>
        <v/>
      </c>
    </row>
    <row r="228" spans="1:39" ht="13.5" customHeight="1" x14ac:dyDescent="0.3">
      <c r="A228" s="8" t="s">
        <v>15</v>
      </c>
      <c r="B228" s="9"/>
      <c r="C228" s="10">
        <v>7</v>
      </c>
      <c r="D228" s="11"/>
      <c r="AB228" t="str" cm="1">
        <f t="array" ref="AB228:AC228">_xlfn._xlws.FILTER(A228:Z228,A228:Z228&lt;&gt;"","")</f>
        <v>Mathematics (Extended part - Calculus and Statistics)</v>
      </c>
      <c r="AC228">
        <v>7</v>
      </c>
      <c r="AD228" t="str">
        <v/>
      </c>
      <c r="AE228" t="str">
        <v/>
      </c>
      <c r="AF228" t="str" cm="1">
        <f t="array" ref="AF228">IF(AD228="","",SUMPRODUCT(IF(LEFT($AD$1:AD228,2)="JS",1,0)))</f>
        <v/>
      </c>
      <c r="AG228" t="str">
        <f t="shared" si="12"/>
        <v/>
      </c>
      <c r="AH228" t="str">
        <f t="shared" si="13"/>
        <v/>
      </c>
      <c r="AI228" t="str">
        <f>IF(AH228="","",MAX($AF$1:$AF228))</f>
        <v/>
      </c>
      <c r="AJ228" t="str">
        <f t="shared" si="14"/>
        <v/>
      </c>
      <c r="AK228" t="str">
        <f>IF(AJ228="","",MAX($AF$1:$AF228))</f>
        <v/>
      </c>
      <c r="AL228" t="str">
        <f t="shared" si="15"/>
        <v/>
      </c>
      <c r="AM228" t="str">
        <f>IF(AL228="","",MAX($AF$1:$AF228))</f>
        <v/>
      </c>
    </row>
    <row r="229" spans="1:39" ht="13.5" customHeight="1" x14ac:dyDescent="0.3">
      <c r="A229" s="8" t="s">
        <v>16</v>
      </c>
      <c r="B229" s="9"/>
      <c r="C229" s="10">
        <v>5</v>
      </c>
      <c r="D229" s="11"/>
      <c r="AB229" t="str" cm="1">
        <f t="array" ref="AB229:AC229">_xlfn._xlws.FILTER(A229:Z229,A229:Z229&lt;&gt;"","")</f>
        <v>Music</v>
      </c>
      <c r="AC229">
        <v>5</v>
      </c>
      <c r="AD229" t="str">
        <v/>
      </c>
      <c r="AE229" t="str">
        <v/>
      </c>
      <c r="AF229" t="str" cm="1">
        <f t="array" ref="AF229">IF(AD229="","",SUMPRODUCT(IF(LEFT($AD$1:AD229,2)="JS",1,0)))</f>
        <v/>
      </c>
      <c r="AG229" t="str">
        <f t="shared" si="12"/>
        <v/>
      </c>
      <c r="AH229" t="str">
        <f t="shared" si="13"/>
        <v/>
      </c>
      <c r="AI229" t="str">
        <f>IF(AH229="","",MAX($AF$1:$AF229))</f>
        <v/>
      </c>
      <c r="AJ229" t="str">
        <f t="shared" si="14"/>
        <v/>
      </c>
      <c r="AK229" t="str">
        <f>IF(AJ229="","",MAX($AF$1:$AF229))</f>
        <v/>
      </c>
      <c r="AL229" t="str">
        <f t="shared" si="15"/>
        <v/>
      </c>
      <c r="AM229" t="str">
        <f>IF(AL229="","",MAX($AF$1:$AF229))</f>
        <v/>
      </c>
    </row>
    <row r="230" spans="1:39" ht="13.5" customHeight="1" x14ac:dyDescent="0.3">
      <c r="A230" s="8" t="s">
        <v>17</v>
      </c>
      <c r="B230" s="9"/>
      <c r="C230" s="10">
        <v>5</v>
      </c>
      <c r="D230" s="11"/>
      <c r="AB230" t="str" cm="1">
        <f t="array" ref="AB230:AC230">_xlfn._xlws.FILTER(A230:Z230,A230:Z230&lt;&gt;"","")</f>
        <v>Physical Education</v>
      </c>
      <c r="AC230">
        <v>5</v>
      </c>
      <c r="AD230" t="str">
        <v/>
      </c>
      <c r="AE230" t="str">
        <v/>
      </c>
      <c r="AF230" t="str" cm="1">
        <f t="array" ref="AF230">IF(AD230="","",SUMPRODUCT(IF(LEFT($AD$1:AD230,2)="JS",1,0)))</f>
        <v/>
      </c>
      <c r="AG230" t="str">
        <f t="shared" si="12"/>
        <v/>
      </c>
      <c r="AH230" t="str">
        <f t="shared" si="13"/>
        <v/>
      </c>
      <c r="AI230" t="str">
        <f>IF(AH230="","",MAX($AF$1:$AF230))</f>
        <v/>
      </c>
      <c r="AJ230" t="str">
        <f t="shared" si="14"/>
        <v/>
      </c>
      <c r="AK230" t="str">
        <f>IF(AJ230="","",MAX($AF$1:$AF230))</f>
        <v/>
      </c>
      <c r="AL230" t="str">
        <f t="shared" si="15"/>
        <v/>
      </c>
      <c r="AM230" t="str">
        <f>IF(AL230="","",MAX($AF$1:$AF230))</f>
        <v/>
      </c>
    </row>
    <row r="231" spans="1:39" ht="13.5" customHeight="1" x14ac:dyDescent="0.3">
      <c r="A231" s="8" t="s">
        <v>226</v>
      </c>
      <c r="B231" s="9"/>
      <c r="C231" s="10">
        <v>7</v>
      </c>
      <c r="D231" s="11"/>
      <c r="AB231" t="str" cm="1">
        <f t="array" ref="AB231:AC231">_xlfn._xlws.FILTER(A231:Z231,A231:Z231&lt;&gt;"","")</f>
        <v>PHY</v>
      </c>
      <c r="AC231">
        <v>7</v>
      </c>
      <c r="AD231" t="str">
        <v/>
      </c>
      <c r="AE231" t="str">
        <v/>
      </c>
      <c r="AF231" t="str" cm="1">
        <f t="array" ref="AF231">IF(AD231="","",SUMPRODUCT(IF(LEFT($AD$1:AD231,2)="JS",1,0)))</f>
        <v/>
      </c>
      <c r="AG231" t="b">
        <f t="shared" si="12"/>
        <v>1</v>
      </c>
      <c r="AH231" t="str">
        <f t="shared" si="13"/>
        <v/>
      </c>
      <c r="AI231" t="str">
        <f>IF(AH231="","",MAX($AF$1:$AF231))</f>
        <v/>
      </c>
      <c r="AJ231" t="str">
        <f t="shared" si="14"/>
        <v>PHY</v>
      </c>
      <c r="AK231">
        <f>IF(AJ231="","",MAX($AF$1:$AF231))</f>
        <v>4</v>
      </c>
      <c r="AL231" t="str">
        <f t="shared" si="15"/>
        <v/>
      </c>
      <c r="AM231" t="str">
        <f>IF(AL231="","",MAX($AF$1:$AF231))</f>
        <v/>
      </c>
    </row>
    <row r="232" spans="1:39" ht="13.5" customHeight="1" x14ac:dyDescent="0.3">
      <c r="A232" s="8" t="s">
        <v>18</v>
      </c>
      <c r="B232" s="9"/>
      <c r="C232" s="10">
        <v>5</v>
      </c>
      <c r="D232" s="11"/>
      <c r="AB232" t="str" cm="1">
        <f t="array" ref="AB232:AC232">_xlfn._xlws.FILTER(A232:Z232,A232:Z232&lt;&gt;"","")</f>
        <v>Technology and Living (Fashion, Clothing and Textiles)</v>
      </c>
      <c r="AC232">
        <v>5</v>
      </c>
      <c r="AD232" t="str">
        <v/>
      </c>
      <c r="AE232" t="str">
        <v/>
      </c>
      <c r="AF232" t="str" cm="1">
        <f t="array" ref="AF232">IF(AD232="","",SUMPRODUCT(IF(LEFT($AD$1:AD232,2)="JS",1,0)))</f>
        <v/>
      </c>
      <c r="AG232" t="str">
        <f t="shared" si="12"/>
        <v/>
      </c>
      <c r="AH232" t="str">
        <f t="shared" si="13"/>
        <v/>
      </c>
      <c r="AI232" t="str">
        <f>IF(AH232="","",MAX($AF$1:$AF232))</f>
        <v/>
      </c>
      <c r="AJ232" t="str">
        <f t="shared" si="14"/>
        <v/>
      </c>
      <c r="AK232" t="str">
        <f>IF(AJ232="","",MAX($AF$1:$AF232))</f>
        <v/>
      </c>
      <c r="AL232" t="str">
        <f t="shared" si="15"/>
        <v/>
      </c>
      <c r="AM232" t="str">
        <f>IF(AL232="","",MAX($AF$1:$AF232))</f>
        <v/>
      </c>
    </row>
    <row r="233" spans="1:39" ht="13.5" customHeight="1" x14ac:dyDescent="0.3">
      <c r="A233" s="8" t="s">
        <v>19</v>
      </c>
      <c r="B233" s="9"/>
      <c r="C233" s="10">
        <v>5</v>
      </c>
      <c r="D233" s="11"/>
      <c r="AB233" t="str" cm="1">
        <f t="array" ref="AB233:AC233">_xlfn._xlws.FILTER(A233:Z233,A233:Z233&lt;&gt;"","")</f>
        <v>Technology and Living (Food Science and Technology)</v>
      </c>
      <c r="AC233">
        <v>5</v>
      </c>
      <c r="AD233" t="str">
        <v/>
      </c>
      <c r="AE233" t="str">
        <v/>
      </c>
      <c r="AF233" t="str" cm="1">
        <f t="array" ref="AF233">IF(AD233="","",SUMPRODUCT(IF(LEFT($AD$1:AD233,2)="JS",1,0)))</f>
        <v/>
      </c>
      <c r="AG233" t="str">
        <f t="shared" si="12"/>
        <v/>
      </c>
      <c r="AH233" t="str">
        <f t="shared" si="13"/>
        <v/>
      </c>
      <c r="AI233" t="str">
        <f>IF(AH233="","",MAX($AF$1:$AF233))</f>
        <v/>
      </c>
      <c r="AJ233" t="str">
        <f t="shared" si="14"/>
        <v/>
      </c>
      <c r="AK233" t="str">
        <f>IF(AJ233="","",MAX($AF$1:$AF233))</f>
        <v/>
      </c>
      <c r="AL233" t="str">
        <f t="shared" si="15"/>
        <v/>
      </c>
      <c r="AM233" t="str">
        <f>IF(AL233="","",MAX($AF$1:$AF233))</f>
        <v/>
      </c>
    </row>
    <row r="234" spans="1:39" ht="13.5" customHeight="1" x14ac:dyDescent="0.3">
      <c r="A234" s="8" t="s">
        <v>20</v>
      </c>
      <c r="B234" s="9"/>
      <c r="C234" s="10">
        <v>5</v>
      </c>
      <c r="D234" s="11"/>
      <c r="AB234" t="str" cm="1">
        <f t="array" ref="AB234:AC234">_xlfn._xlws.FILTER(A234:Z234,A234:Z234&lt;&gt;"","")</f>
        <v>Tourism and Hospitality Studies</v>
      </c>
      <c r="AC234">
        <v>5</v>
      </c>
      <c r="AD234" t="str">
        <v/>
      </c>
      <c r="AE234" t="str">
        <v/>
      </c>
      <c r="AF234" t="str" cm="1">
        <f t="array" ref="AF234">IF(AD234="","",SUMPRODUCT(IF(LEFT($AD$1:AD234,2)="JS",1,0)))</f>
        <v/>
      </c>
      <c r="AG234" t="str">
        <f t="shared" si="12"/>
        <v/>
      </c>
      <c r="AH234" t="str">
        <f t="shared" si="13"/>
        <v/>
      </c>
      <c r="AI234" t="str">
        <f>IF(AH234="","",MAX($AF$1:$AF234))</f>
        <v/>
      </c>
      <c r="AJ234" t="str">
        <f t="shared" si="14"/>
        <v/>
      </c>
      <c r="AK234" t="str">
        <f>IF(AJ234="","",MAX($AF$1:$AF234))</f>
        <v/>
      </c>
      <c r="AL234" t="str">
        <f t="shared" si="15"/>
        <v/>
      </c>
      <c r="AM234" t="str">
        <f>IF(AL234="","",MAX($AF$1:$AF234))</f>
        <v/>
      </c>
    </row>
    <row r="235" spans="1:39" ht="13.5" customHeight="1" x14ac:dyDescent="0.3">
      <c r="A235" s="8" t="s">
        <v>210</v>
      </c>
      <c r="B235" s="9"/>
      <c r="C235" s="10">
        <v>5</v>
      </c>
      <c r="D235" s="11"/>
      <c r="AB235" t="str" cm="1">
        <f t="array" ref="AB235:AC235">_xlfn._xlws.FILTER(A235:Z235,A235:Z235&lt;&gt;"","")</f>
        <v>VA</v>
      </c>
      <c r="AC235">
        <v>5</v>
      </c>
      <c r="AD235" t="str">
        <v/>
      </c>
      <c r="AE235" t="str">
        <v/>
      </c>
      <c r="AF235" t="str" cm="1">
        <f t="array" ref="AF235">IF(AD235="","",SUMPRODUCT(IF(LEFT($AD$1:AD235,2)="JS",1,0)))</f>
        <v/>
      </c>
      <c r="AG235" t="b">
        <f t="shared" si="12"/>
        <v>1</v>
      </c>
      <c r="AH235" t="str">
        <f t="shared" si="13"/>
        <v/>
      </c>
      <c r="AI235" t="str">
        <f>IF(AH235="","",MAX($AF$1:$AF235))</f>
        <v/>
      </c>
      <c r="AJ235" t="str">
        <f t="shared" si="14"/>
        <v/>
      </c>
      <c r="AK235" t="str">
        <f>IF(AJ235="","",MAX($AF$1:$AF235))</f>
        <v/>
      </c>
      <c r="AL235" t="str">
        <f t="shared" si="15"/>
        <v>VA</v>
      </c>
      <c r="AM235">
        <f>IF(AL235="","",MAX($AF$1:$AF235))</f>
        <v>4</v>
      </c>
    </row>
    <row r="236" spans="1:39" ht="14.5" customHeight="1" x14ac:dyDescent="0.3">
      <c r="A236" s="12"/>
      <c r="B236" s="12"/>
      <c r="C236" s="2"/>
      <c r="D236" s="2"/>
      <c r="AB236" t="str" cm="1">
        <f t="array" ref="AB236">_xlfn._xlws.FILTER(A236:Z236,A236:Z236&lt;&gt;"","")</f>
        <v/>
      </c>
      <c r="AD236" t="str">
        <v/>
      </c>
      <c r="AE236" t="str">
        <v/>
      </c>
      <c r="AF236" t="str" cm="1">
        <f t="array" ref="AF236">IF(AD236="","",SUMPRODUCT(IF(LEFT($AD$1:AD236,2)="JS",1,0)))</f>
        <v/>
      </c>
      <c r="AG236" t="str">
        <f t="shared" si="12"/>
        <v/>
      </c>
      <c r="AH236" t="str">
        <f t="shared" si="13"/>
        <v/>
      </c>
      <c r="AI236" t="str">
        <f>IF(AH236="","",MAX($AF$1:$AF236))</f>
        <v/>
      </c>
      <c r="AJ236" t="str">
        <f t="shared" si="14"/>
        <v/>
      </c>
      <c r="AK236" t="str">
        <f>IF(AJ236="","",MAX($AF$1:$AF236))</f>
        <v/>
      </c>
      <c r="AL236" t="str">
        <f t="shared" si="15"/>
        <v/>
      </c>
      <c r="AM236" t="str">
        <f>IF(AL236="","",MAX($AF$1:$AF236))</f>
        <v/>
      </c>
    </row>
    <row r="237" spans="1:39" ht="13.5" customHeight="1" x14ac:dyDescent="0.3">
      <c r="A237" s="13" t="s">
        <v>34</v>
      </c>
      <c r="B237" s="13"/>
      <c r="C237" s="13"/>
      <c r="D237" s="13"/>
      <c r="AB237" t="str" cm="1">
        <f t="array" ref="AB237">_xlfn._xlws.FILTER(A237:Z237,A237:Z237&lt;&gt;"","")</f>
        <v>Category C: Other Language Subjects</v>
      </c>
      <c r="AD237" t="str">
        <v/>
      </c>
      <c r="AE237" t="str">
        <v/>
      </c>
      <c r="AF237" t="str" cm="1">
        <f t="array" ref="AF237">IF(AD237="","",SUMPRODUCT(IF(LEFT($AD$1:AD237,2)="JS",1,0)))</f>
        <v/>
      </c>
      <c r="AG237" t="str">
        <f t="shared" si="12"/>
        <v/>
      </c>
      <c r="AH237" t="str">
        <f t="shared" si="13"/>
        <v/>
      </c>
      <c r="AI237" t="str">
        <f>IF(AH237="","",MAX($AF$1:$AF237))</f>
        <v/>
      </c>
      <c r="AJ237" t="str">
        <f t="shared" si="14"/>
        <v/>
      </c>
      <c r="AK237" t="str">
        <f>IF(AJ237="","",MAX($AF$1:$AF237))</f>
        <v/>
      </c>
      <c r="AL237" t="str">
        <f t="shared" si="15"/>
        <v/>
      </c>
      <c r="AM237" t="str">
        <f>IF(AL237="","",MAX($AF$1:$AF237))</f>
        <v/>
      </c>
    </row>
    <row r="238" spans="1:39" ht="13.5" customHeight="1" x14ac:dyDescent="0.3">
      <c r="A238" s="14" t="s">
        <v>3</v>
      </c>
      <c r="B238" s="15"/>
      <c r="C238" s="16" t="s">
        <v>4</v>
      </c>
      <c r="D238" s="17"/>
      <c r="AB238" t="str" cm="1">
        <f t="array" ref="AB238:AC238">_xlfn._xlws.FILTER(A238:Z238,A238:Z238&lt;&gt;"","")</f>
        <v>Subject Name</v>
      </c>
      <c r="AC238" t="str">
        <v>Subject Weighting for 2023/24 Admission Exercise *</v>
      </c>
      <c r="AD238" t="str">
        <v/>
      </c>
      <c r="AE238" t="str">
        <v/>
      </c>
      <c r="AF238" t="str" cm="1">
        <f t="array" ref="AF238">IF(AD238="","",SUMPRODUCT(IF(LEFT($AD$1:AD238,2)="JS",1,0)))</f>
        <v/>
      </c>
      <c r="AG238" t="str">
        <f t="shared" si="12"/>
        <v/>
      </c>
      <c r="AH238" t="str">
        <f t="shared" si="13"/>
        <v/>
      </c>
      <c r="AI238" t="str">
        <f>IF(AH238="","",MAX($AF$1:$AF238))</f>
        <v/>
      </c>
      <c r="AJ238" t="str">
        <f t="shared" si="14"/>
        <v/>
      </c>
      <c r="AK238" t="str">
        <f>IF(AJ238="","",MAX($AF$1:$AF238))</f>
        <v/>
      </c>
      <c r="AL238" t="str">
        <f t="shared" si="15"/>
        <v/>
      </c>
      <c r="AM238" t="str">
        <f>IF(AL238="","",MAX($AF$1:$AF238))</f>
        <v/>
      </c>
    </row>
    <row r="239" spans="1:39" ht="13.5" customHeight="1" x14ac:dyDescent="0.3">
      <c r="A239" s="8" t="s">
        <v>35</v>
      </c>
      <c r="B239" s="9"/>
      <c r="C239" s="10">
        <v>5</v>
      </c>
      <c r="D239" s="11"/>
      <c r="AB239" t="str" cm="1">
        <f t="array" ref="AB239:AC239">_xlfn._xlws.FILTER(A239:Z239,A239:Z239&lt;&gt;"","")</f>
        <v>French</v>
      </c>
      <c r="AC239">
        <v>5</v>
      </c>
      <c r="AD239" t="str">
        <v/>
      </c>
      <c r="AE239" t="str">
        <v/>
      </c>
      <c r="AF239" t="str" cm="1">
        <f t="array" ref="AF239">IF(AD239="","",SUMPRODUCT(IF(LEFT($AD$1:AD239,2)="JS",1,0)))</f>
        <v/>
      </c>
      <c r="AG239" t="str">
        <f t="shared" si="12"/>
        <v/>
      </c>
      <c r="AH239" t="str">
        <f t="shared" si="13"/>
        <v/>
      </c>
      <c r="AI239" t="str">
        <f>IF(AH239="","",MAX($AF$1:$AF239))</f>
        <v/>
      </c>
      <c r="AJ239" t="str">
        <f t="shared" si="14"/>
        <v/>
      </c>
      <c r="AK239" t="str">
        <f>IF(AJ239="","",MAX($AF$1:$AF239))</f>
        <v/>
      </c>
      <c r="AL239" t="str">
        <f t="shared" si="15"/>
        <v/>
      </c>
      <c r="AM239" t="str">
        <f>IF(AL239="","",MAX($AF$1:$AF239))</f>
        <v/>
      </c>
    </row>
    <row r="240" spans="1:39" ht="13.5" customHeight="1" x14ac:dyDescent="0.3">
      <c r="A240" s="8" t="s">
        <v>36</v>
      </c>
      <c r="B240" s="9"/>
      <c r="C240" s="10">
        <v>5</v>
      </c>
      <c r="D240" s="11"/>
      <c r="AB240" t="str" cm="1">
        <f t="array" ref="AB240:AC240">_xlfn._xlws.FILTER(A240:Z240,A240:Z240&lt;&gt;"","")</f>
        <v>German</v>
      </c>
      <c r="AC240">
        <v>5</v>
      </c>
      <c r="AD240" t="str">
        <v/>
      </c>
      <c r="AE240" t="str">
        <v/>
      </c>
      <c r="AF240" t="str" cm="1">
        <f t="array" ref="AF240">IF(AD240="","",SUMPRODUCT(IF(LEFT($AD$1:AD240,2)="JS",1,0)))</f>
        <v/>
      </c>
      <c r="AG240" t="str">
        <f t="shared" si="12"/>
        <v/>
      </c>
      <c r="AH240" t="str">
        <f t="shared" si="13"/>
        <v/>
      </c>
      <c r="AI240" t="str">
        <f>IF(AH240="","",MAX($AF$1:$AF240))</f>
        <v/>
      </c>
      <c r="AJ240" t="str">
        <f t="shared" si="14"/>
        <v/>
      </c>
      <c r="AK240" t="str">
        <f>IF(AJ240="","",MAX($AF$1:$AF240))</f>
        <v/>
      </c>
      <c r="AL240" t="str">
        <f t="shared" si="15"/>
        <v/>
      </c>
      <c r="AM240" t="str">
        <f>IF(AL240="","",MAX($AF$1:$AF240))</f>
        <v/>
      </c>
    </row>
    <row r="241" spans="1:39" ht="13.5" customHeight="1" x14ac:dyDescent="0.3">
      <c r="A241" s="8" t="s">
        <v>37</v>
      </c>
      <c r="B241" s="9"/>
      <c r="C241" s="10">
        <v>5</v>
      </c>
      <c r="D241" s="11"/>
      <c r="AB241" t="str" cm="1">
        <f t="array" ref="AB241:AC241">_xlfn._xlws.FILTER(A241:Z241,A241:Z241&lt;&gt;"","")</f>
        <v>Hindi</v>
      </c>
      <c r="AC241">
        <v>5</v>
      </c>
      <c r="AD241" t="str">
        <v/>
      </c>
      <c r="AE241" t="str">
        <v/>
      </c>
      <c r="AF241" t="str" cm="1">
        <f t="array" ref="AF241">IF(AD241="","",SUMPRODUCT(IF(LEFT($AD$1:AD241,2)="JS",1,0)))</f>
        <v/>
      </c>
      <c r="AG241" t="str">
        <f t="shared" si="12"/>
        <v/>
      </c>
      <c r="AH241" t="str">
        <f t="shared" si="13"/>
        <v/>
      </c>
      <c r="AI241" t="str">
        <f>IF(AH241="","",MAX($AF$1:$AF241))</f>
        <v/>
      </c>
      <c r="AJ241" t="str">
        <f t="shared" si="14"/>
        <v/>
      </c>
      <c r="AK241" t="str">
        <f>IF(AJ241="","",MAX($AF$1:$AF241))</f>
        <v/>
      </c>
      <c r="AL241" t="str">
        <f t="shared" si="15"/>
        <v/>
      </c>
      <c r="AM241" t="str">
        <f>IF(AL241="","",MAX($AF$1:$AF241))</f>
        <v/>
      </c>
    </row>
    <row r="242" spans="1:39" ht="13.5" customHeight="1" x14ac:dyDescent="0.3">
      <c r="A242" s="8" t="s">
        <v>38</v>
      </c>
      <c r="B242" s="9"/>
      <c r="C242" s="10">
        <v>5</v>
      </c>
      <c r="D242" s="11"/>
      <c r="AB242" t="str" cm="1">
        <f t="array" ref="AB242:AC242">_xlfn._xlws.FILTER(A242:Z242,A242:Z242&lt;&gt;"","")</f>
        <v>Japanese</v>
      </c>
      <c r="AC242">
        <v>5</v>
      </c>
      <c r="AD242" t="str">
        <v/>
      </c>
      <c r="AE242" t="str">
        <v/>
      </c>
      <c r="AF242" t="str" cm="1">
        <f t="array" ref="AF242">IF(AD242="","",SUMPRODUCT(IF(LEFT($AD$1:AD242,2)="JS",1,0)))</f>
        <v/>
      </c>
      <c r="AG242" t="str">
        <f t="shared" si="12"/>
        <v/>
      </c>
      <c r="AH242" t="str">
        <f t="shared" si="13"/>
        <v/>
      </c>
      <c r="AI242" t="str">
        <f>IF(AH242="","",MAX($AF$1:$AF242))</f>
        <v/>
      </c>
      <c r="AJ242" t="str">
        <f t="shared" si="14"/>
        <v/>
      </c>
      <c r="AK242" t="str">
        <f>IF(AJ242="","",MAX($AF$1:$AF242))</f>
        <v/>
      </c>
      <c r="AL242" t="str">
        <f t="shared" si="15"/>
        <v/>
      </c>
      <c r="AM242" t="str">
        <f>IF(AL242="","",MAX($AF$1:$AF242))</f>
        <v/>
      </c>
    </row>
    <row r="243" spans="1:39" ht="13.5" customHeight="1" x14ac:dyDescent="0.3">
      <c r="A243" s="8" t="s">
        <v>39</v>
      </c>
      <c r="B243" s="9"/>
      <c r="C243" s="10">
        <v>5</v>
      </c>
      <c r="D243" s="11"/>
      <c r="AB243" t="str" cm="1">
        <f t="array" ref="AB243:AC243">_xlfn._xlws.FILTER(A243:Z243,A243:Z243&lt;&gt;"","")</f>
        <v>Spanish</v>
      </c>
      <c r="AC243">
        <v>5</v>
      </c>
      <c r="AD243" t="str">
        <v/>
      </c>
      <c r="AE243" t="str">
        <v/>
      </c>
      <c r="AF243" t="str" cm="1">
        <f t="array" ref="AF243">IF(AD243="","",SUMPRODUCT(IF(LEFT($AD$1:AD243,2)="JS",1,0)))</f>
        <v/>
      </c>
      <c r="AG243" t="str">
        <f t="shared" si="12"/>
        <v/>
      </c>
      <c r="AH243" t="str">
        <f t="shared" si="13"/>
        <v/>
      </c>
      <c r="AI243" t="str">
        <f>IF(AH243="","",MAX($AF$1:$AF243))</f>
        <v/>
      </c>
      <c r="AJ243" t="str">
        <f t="shared" si="14"/>
        <v/>
      </c>
      <c r="AK243" t="str">
        <f>IF(AJ243="","",MAX($AF$1:$AF243))</f>
        <v/>
      </c>
      <c r="AL243" t="str">
        <f t="shared" si="15"/>
        <v/>
      </c>
      <c r="AM243" t="str">
        <f>IF(AL243="","",MAX($AF$1:$AF243))</f>
        <v/>
      </c>
    </row>
    <row r="244" spans="1:39" ht="13.5" customHeight="1" x14ac:dyDescent="0.3">
      <c r="A244" s="8" t="s">
        <v>40</v>
      </c>
      <c r="B244" s="9"/>
      <c r="C244" s="10">
        <v>5</v>
      </c>
      <c r="D244" s="11"/>
      <c r="AB244" t="str" cm="1">
        <f t="array" ref="AB244:AC244">_xlfn._xlws.FILTER(A244:Z244,A244:Z244&lt;&gt;"","")</f>
        <v>Urdu</v>
      </c>
      <c r="AC244">
        <v>5</v>
      </c>
      <c r="AD244" t="str">
        <v/>
      </c>
      <c r="AE244" t="str">
        <v/>
      </c>
      <c r="AF244" t="str" cm="1">
        <f t="array" ref="AF244">IF(AD244="","",SUMPRODUCT(IF(LEFT($AD$1:AD244,2)="JS",1,0)))</f>
        <v/>
      </c>
      <c r="AG244" t="str">
        <f t="shared" si="12"/>
        <v/>
      </c>
      <c r="AH244" t="str">
        <f t="shared" si="13"/>
        <v/>
      </c>
      <c r="AI244" t="str">
        <f>IF(AH244="","",MAX($AF$1:$AF244))</f>
        <v/>
      </c>
      <c r="AJ244" t="str">
        <f t="shared" si="14"/>
        <v/>
      </c>
      <c r="AK244" t="str">
        <f>IF(AJ244="","",MAX($AF$1:$AF244))</f>
        <v/>
      </c>
      <c r="AL244" t="str">
        <f t="shared" si="15"/>
        <v/>
      </c>
      <c r="AM244" t="str">
        <f>IF(AL244="","",MAX($AF$1:$AF244))</f>
        <v/>
      </c>
    </row>
    <row r="245" spans="1:39" ht="15" customHeight="1" x14ac:dyDescent="0.3">
      <c r="A245" s="18" t="s">
        <v>86</v>
      </c>
      <c r="B245" s="18"/>
      <c r="C245" s="18"/>
      <c r="D245" s="1"/>
      <c r="AB245" t="str" cm="1">
        <f t="array" ref="AB245">_xlfn._xlws.FILTER(A245:Z245,A245:Z245&lt;&gt;"","")</f>
        <v>JUPAS Code: JS3070</v>
      </c>
      <c r="AD245" t="str">
        <v>JS3070</v>
      </c>
      <c r="AE245" t="str">
        <v/>
      </c>
      <c r="AF245" cm="1">
        <f t="array" ref="AF245">IF(AD245="","",SUMPRODUCT(IF(LEFT($AD$1:AD245,2)="JS",1,0)))</f>
        <v>5</v>
      </c>
      <c r="AG245" t="str">
        <f t="shared" si="12"/>
        <v/>
      </c>
      <c r="AH245" t="str">
        <f t="shared" si="13"/>
        <v/>
      </c>
      <c r="AI245" t="str">
        <f>IF(AH245="","",MAX($AF$1:$AF245))</f>
        <v/>
      </c>
      <c r="AJ245" t="str">
        <f t="shared" si="14"/>
        <v/>
      </c>
      <c r="AK245" t="str">
        <f>IF(AJ245="","",MAX($AF$1:$AF245))</f>
        <v/>
      </c>
      <c r="AL245" t="str">
        <f t="shared" si="15"/>
        <v/>
      </c>
      <c r="AM245" t="str">
        <f>IF(AL245="","",MAX($AF$1:$AF245))</f>
        <v/>
      </c>
    </row>
    <row r="246" spans="1:39" ht="13.5" customHeight="1" x14ac:dyDescent="0.3">
      <c r="A246" s="18" t="s">
        <v>87</v>
      </c>
      <c r="B246" s="18"/>
      <c r="C246" s="18"/>
      <c r="D246" s="1"/>
      <c r="AB246" t="str" cm="1">
        <f t="array" ref="AB246">_xlfn._xlws.FILTER(A246:Z246,A246:Z246&lt;&gt;"","")</f>
        <v>Programme Title: BBA (Hons) Scheme in Aviation, Maritime and Supply Chain Management</v>
      </c>
      <c r="AD246" t="str">
        <v/>
      </c>
      <c r="AE246" t="str">
        <v>BBA (Hons) Scheme in Aviation, Maritime and Supply Chain Management</v>
      </c>
      <c r="AF246" t="str" cm="1">
        <f t="array" ref="AF246">IF(AD246="","",SUMPRODUCT(IF(LEFT($AD$1:AD246,2)="JS",1,0)))</f>
        <v/>
      </c>
      <c r="AG246" t="str">
        <f t="shared" si="12"/>
        <v/>
      </c>
      <c r="AH246" t="str">
        <f t="shared" si="13"/>
        <v/>
      </c>
      <c r="AI246" t="str">
        <f>IF(AH246="","",MAX($AF$1:$AF246))</f>
        <v/>
      </c>
      <c r="AJ246" t="str">
        <f t="shared" si="14"/>
        <v/>
      </c>
      <c r="AK246" t="str">
        <f>IF(AJ246="","",MAX($AF$1:$AF246))</f>
        <v/>
      </c>
      <c r="AL246" t="str">
        <f t="shared" si="15"/>
        <v/>
      </c>
      <c r="AM246" t="str">
        <f>IF(AL246="","",MAX($AF$1:$AF246))</f>
        <v/>
      </c>
    </row>
    <row r="247" spans="1:39" ht="14.5" customHeight="1" x14ac:dyDescent="0.3">
      <c r="A247" s="12"/>
      <c r="B247" s="12"/>
      <c r="C247" s="2"/>
      <c r="D247" s="2"/>
      <c r="AB247" t="str" cm="1">
        <f t="array" ref="AB247">_xlfn._xlws.FILTER(A247:Z247,A247:Z247&lt;&gt;"","")</f>
        <v/>
      </c>
      <c r="AD247" t="str">
        <v/>
      </c>
      <c r="AE247" t="str">
        <v/>
      </c>
      <c r="AF247" t="str" cm="1">
        <f t="array" ref="AF247">IF(AD247="","",SUMPRODUCT(IF(LEFT($AD$1:AD247,2)="JS",1,0)))</f>
        <v/>
      </c>
      <c r="AG247" t="str">
        <f t="shared" si="12"/>
        <v/>
      </c>
      <c r="AH247" t="str">
        <f t="shared" si="13"/>
        <v/>
      </c>
      <c r="AI247" t="str">
        <f>IF(AH247="","",MAX($AF$1:$AF247))</f>
        <v/>
      </c>
      <c r="AJ247" t="str">
        <f t="shared" si="14"/>
        <v/>
      </c>
      <c r="AK247" t="str">
        <f>IF(AJ247="","",MAX($AF$1:$AF247))</f>
        <v/>
      </c>
      <c r="AL247" t="str">
        <f t="shared" si="15"/>
        <v/>
      </c>
      <c r="AM247" t="str">
        <f>IF(AL247="","",MAX($AF$1:$AF247))</f>
        <v/>
      </c>
    </row>
    <row r="248" spans="1:39" ht="13.5" customHeight="1" x14ac:dyDescent="0.3">
      <c r="A248" s="13" t="s">
        <v>2</v>
      </c>
      <c r="B248" s="13"/>
      <c r="C248" s="13"/>
      <c r="D248" s="13"/>
      <c r="AB248" t="str" cm="1">
        <f t="array" ref="AB248">_xlfn._xlws.FILTER(A248:Z248,A248:Z248&lt;&gt;"","")</f>
        <v>Category A: Core and Elective Subjects</v>
      </c>
      <c r="AD248" t="str">
        <v/>
      </c>
      <c r="AE248" t="str">
        <v/>
      </c>
      <c r="AF248" t="str" cm="1">
        <f t="array" ref="AF248">IF(AD248="","",SUMPRODUCT(IF(LEFT($AD$1:AD248,2)="JS",1,0)))</f>
        <v/>
      </c>
      <c r="AG248" t="str">
        <f t="shared" si="12"/>
        <v/>
      </c>
      <c r="AH248" t="str">
        <f t="shared" si="13"/>
        <v/>
      </c>
      <c r="AI248" t="str">
        <f>IF(AH248="","",MAX($AF$1:$AF248))</f>
        <v/>
      </c>
      <c r="AJ248" t="str">
        <f t="shared" si="14"/>
        <v/>
      </c>
      <c r="AK248" t="str">
        <f>IF(AJ248="","",MAX($AF$1:$AF248))</f>
        <v/>
      </c>
      <c r="AL248" t="str">
        <f t="shared" si="15"/>
        <v/>
      </c>
      <c r="AM248" t="str">
        <f>IF(AL248="","",MAX($AF$1:$AF248))</f>
        <v/>
      </c>
    </row>
    <row r="249" spans="1:39" ht="13.5" customHeight="1" x14ac:dyDescent="0.3">
      <c r="A249" s="14" t="s">
        <v>3</v>
      </c>
      <c r="B249" s="15"/>
      <c r="C249" s="16" t="s">
        <v>4</v>
      </c>
      <c r="D249" s="17"/>
      <c r="AB249" t="str" cm="1">
        <f t="array" ref="AB249:AC249">_xlfn._xlws.FILTER(A249:Z249,A249:Z249&lt;&gt;"","")</f>
        <v>Subject Name</v>
      </c>
      <c r="AC249" t="str">
        <v>Subject Weighting for 2023/24 Admission Exercise *</v>
      </c>
      <c r="AD249" t="str">
        <v/>
      </c>
      <c r="AE249" t="str">
        <v/>
      </c>
      <c r="AF249" t="str" cm="1">
        <f t="array" ref="AF249">IF(AD249="","",SUMPRODUCT(IF(LEFT($AD$1:AD249,2)="JS",1,0)))</f>
        <v/>
      </c>
      <c r="AG249" t="str">
        <f t="shared" si="12"/>
        <v/>
      </c>
      <c r="AH249" t="str">
        <f t="shared" si="13"/>
        <v/>
      </c>
      <c r="AI249" t="str">
        <f>IF(AH249="","",MAX($AF$1:$AF249))</f>
        <v/>
      </c>
      <c r="AJ249" t="str">
        <f t="shared" si="14"/>
        <v/>
      </c>
      <c r="AK249" t="str">
        <f>IF(AJ249="","",MAX($AF$1:$AF249))</f>
        <v/>
      </c>
      <c r="AL249" t="str">
        <f t="shared" si="15"/>
        <v/>
      </c>
      <c r="AM249" t="str">
        <f>IF(AL249="","",MAX($AF$1:$AF249))</f>
        <v/>
      </c>
    </row>
    <row r="250" spans="1:39" ht="13.5" customHeight="1" x14ac:dyDescent="0.3">
      <c r="A250" s="8" t="s">
        <v>211</v>
      </c>
      <c r="B250" s="9"/>
      <c r="C250" s="10">
        <v>7</v>
      </c>
      <c r="D250" s="11"/>
      <c r="AB250" t="str" cm="1">
        <f t="array" ref="AB250:AC250">_xlfn._xlws.FILTER(A250:Z250,A250:Z250&lt;&gt;"","")</f>
        <v>BIO</v>
      </c>
      <c r="AC250">
        <v>7</v>
      </c>
      <c r="AD250" t="str">
        <v/>
      </c>
      <c r="AE250" t="str">
        <v/>
      </c>
      <c r="AF250" t="str" cm="1">
        <f t="array" ref="AF250">IF(AD250="","",SUMPRODUCT(IF(LEFT($AD$1:AD250,2)="JS",1,0)))</f>
        <v/>
      </c>
      <c r="AG250" t="b">
        <f t="shared" si="12"/>
        <v>1</v>
      </c>
      <c r="AH250" t="str">
        <f t="shared" si="13"/>
        <v/>
      </c>
      <c r="AI250" t="str">
        <f>IF(AH250="","",MAX($AF$1:$AF250))</f>
        <v/>
      </c>
      <c r="AJ250" t="str">
        <f t="shared" si="14"/>
        <v>BIO</v>
      </c>
      <c r="AK250">
        <f>IF(AJ250="","",MAX($AF$1:$AF250))</f>
        <v>5</v>
      </c>
      <c r="AL250" t="str">
        <f t="shared" si="15"/>
        <v/>
      </c>
      <c r="AM250" t="str">
        <f>IF(AL250="","",MAX($AF$1:$AF250))</f>
        <v/>
      </c>
    </row>
    <row r="251" spans="1:39" ht="13.5" customHeight="1" x14ac:dyDescent="0.3">
      <c r="A251" s="8" t="s">
        <v>213</v>
      </c>
      <c r="B251" s="9"/>
      <c r="C251" s="10">
        <v>7</v>
      </c>
      <c r="D251" s="11"/>
      <c r="AB251" t="str" cm="1">
        <f t="array" ref="AB251:AC251">_xlfn._xlws.FILTER(A251:Z251,A251:Z251&lt;&gt;"","")</f>
        <v>BAFS</v>
      </c>
      <c r="AC251">
        <v>7</v>
      </c>
      <c r="AD251" t="str">
        <v/>
      </c>
      <c r="AE251" t="str">
        <v/>
      </c>
      <c r="AF251" t="str" cm="1">
        <f t="array" ref="AF251">IF(AD251="","",SUMPRODUCT(IF(LEFT($AD$1:AD251,2)="JS",1,0)))</f>
        <v/>
      </c>
      <c r="AG251" t="b">
        <f t="shared" si="12"/>
        <v>1</v>
      </c>
      <c r="AH251" t="str">
        <f t="shared" si="13"/>
        <v/>
      </c>
      <c r="AI251" t="str">
        <f>IF(AH251="","",MAX($AF$1:$AF251))</f>
        <v/>
      </c>
      <c r="AJ251" t="str">
        <f t="shared" si="14"/>
        <v>BAFS</v>
      </c>
      <c r="AK251">
        <f>IF(AJ251="","",MAX($AF$1:$AF251))</f>
        <v>5</v>
      </c>
      <c r="AL251" t="str">
        <f t="shared" si="15"/>
        <v/>
      </c>
      <c r="AM251" t="str">
        <f>IF(AL251="","",MAX($AF$1:$AF251))</f>
        <v/>
      </c>
    </row>
    <row r="252" spans="1:39" ht="13.5" customHeight="1" x14ac:dyDescent="0.3">
      <c r="A252" s="8" t="s">
        <v>5</v>
      </c>
      <c r="B252" s="9"/>
      <c r="C252" s="10">
        <v>7</v>
      </c>
      <c r="D252" s="11"/>
      <c r="AB252" t="str" cm="1">
        <f t="array" ref="AB252:AC252">_xlfn._xlws.FILTER(A252:Z252,A252:Z252&lt;&gt;"","")</f>
        <v>Business, Accounting and Financial Studies (Accounting)</v>
      </c>
      <c r="AC252">
        <v>7</v>
      </c>
      <c r="AD252" t="str">
        <v/>
      </c>
      <c r="AE252" t="str">
        <v/>
      </c>
      <c r="AF252" t="str" cm="1">
        <f t="array" ref="AF252">IF(AD252="","",SUMPRODUCT(IF(LEFT($AD$1:AD252,2)="JS",1,0)))</f>
        <v/>
      </c>
      <c r="AG252" t="str">
        <f t="shared" si="12"/>
        <v/>
      </c>
      <c r="AH252" t="str">
        <f t="shared" si="13"/>
        <v/>
      </c>
      <c r="AI252" t="str">
        <f>IF(AH252="","",MAX($AF$1:$AF252))</f>
        <v/>
      </c>
      <c r="AJ252" t="str">
        <f t="shared" si="14"/>
        <v/>
      </c>
      <c r="AK252" t="str">
        <f>IF(AJ252="","",MAX($AF$1:$AF252))</f>
        <v/>
      </c>
      <c r="AL252" t="str">
        <f t="shared" si="15"/>
        <v/>
      </c>
      <c r="AM252" t="str">
        <f>IF(AL252="","",MAX($AF$1:$AF252))</f>
        <v/>
      </c>
    </row>
    <row r="253" spans="1:39" ht="13.5" customHeight="1" x14ac:dyDescent="0.3">
      <c r="A253" s="8" t="s">
        <v>6</v>
      </c>
      <c r="B253" s="9"/>
      <c r="C253" s="10">
        <v>7</v>
      </c>
      <c r="D253" s="11"/>
      <c r="AB253" t="str" cm="1">
        <f t="array" ref="AB253:AC253">_xlfn._xlws.FILTER(A253:Z253,A253:Z253&lt;&gt;"","")</f>
        <v>Business, Accounting and Financial Studies (Business Management)</v>
      </c>
      <c r="AC253">
        <v>7</v>
      </c>
      <c r="AD253" t="str">
        <v/>
      </c>
      <c r="AE253" t="str">
        <v/>
      </c>
      <c r="AF253" t="str" cm="1">
        <f t="array" ref="AF253">IF(AD253="","",SUMPRODUCT(IF(LEFT($AD$1:AD253,2)="JS",1,0)))</f>
        <v/>
      </c>
      <c r="AG253" t="str">
        <f t="shared" si="12"/>
        <v/>
      </c>
      <c r="AH253" t="str">
        <f t="shared" si="13"/>
        <v/>
      </c>
      <c r="AI253" t="str">
        <f>IF(AH253="","",MAX($AF$1:$AF253))</f>
        <v/>
      </c>
      <c r="AJ253" t="str">
        <f t="shared" si="14"/>
        <v/>
      </c>
      <c r="AK253" t="str">
        <f>IF(AJ253="","",MAX($AF$1:$AF253))</f>
        <v/>
      </c>
      <c r="AL253" t="str">
        <f t="shared" si="15"/>
        <v/>
      </c>
      <c r="AM253" t="str">
        <f>IF(AL253="","",MAX($AF$1:$AF253))</f>
        <v/>
      </c>
    </row>
    <row r="254" spans="1:39" ht="13.5" customHeight="1" x14ac:dyDescent="0.3">
      <c r="A254" s="8" t="s">
        <v>212</v>
      </c>
      <c r="B254" s="9"/>
      <c r="C254" s="10">
        <v>7</v>
      </c>
      <c r="D254" s="11"/>
      <c r="AB254" t="str" cm="1">
        <f t="array" ref="AB254:AC254">_xlfn._xlws.FILTER(A254:Z254,A254:Z254&lt;&gt;"","")</f>
        <v>CHEM</v>
      </c>
      <c r="AC254">
        <v>7</v>
      </c>
      <c r="AD254" t="str">
        <v/>
      </c>
      <c r="AE254" t="str">
        <v/>
      </c>
      <c r="AF254" t="str" cm="1">
        <f t="array" ref="AF254">IF(AD254="","",SUMPRODUCT(IF(LEFT($AD$1:AD254,2)="JS",1,0)))</f>
        <v/>
      </c>
      <c r="AG254" t="b">
        <f t="shared" si="12"/>
        <v>1</v>
      </c>
      <c r="AH254" t="str">
        <f t="shared" si="13"/>
        <v/>
      </c>
      <c r="AI254" t="str">
        <f>IF(AH254="","",MAX($AF$1:$AF254))</f>
        <v/>
      </c>
      <c r="AJ254" t="str">
        <f t="shared" si="14"/>
        <v>CHEM</v>
      </c>
      <c r="AK254">
        <f>IF(AJ254="","",MAX($AF$1:$AF254))</f>
        <v>5</v>
      </c>
      <c r="AL254" t="str">
        <f t="shared" si="15"/>
        <v/>
      </c>
      <c r="AM254" t="str">
        <f>IF(AL254="","",MAX($AF$1:$AF254))</f>
        <v/>
      </c>
    </row>
    <row r="255" spans="1:39" ht="13.5" customHeight="1" x14ac:dyDescent="0.3">
      <c r="A255" s="8" t="s">
        <v>214</v>
      </c>
      <c r="B255" s="9"/>
      <c r="C255" s="10">
        <v>7</v>
      </c>
      <c r="D255" s="11"/>
      <c r="AB255" t="str" cm="1">
        <f t="array" ref="AB255:AC255">_xlfn._xlws.FILTER(A255:Z255,A255:Z255&lt;&gt;"","")</f>
        <v>中史</v>
      </c>
      <c r="AC255">
        <v>7</v>
      </c>
      <c r="AD255" t="str">
        <v/>
      </c>
      <c r="AE255" t="str">
        <v/>
      </c>
      <c r="AF255" t="str" cm="1">
        <f t="array" ref="AF255">IF(AD255="","",SUMPRODUCT(IF(LEFT($AD$1:AD255,2)="JS",1,0)))</f>
        <v/>
      </c>
      <c r="AG255" t="b">
        <f t="shared" si="12"/>
        <v>1</v>
      </c>
      <c r="AH255" t="str">
        <f t="shared" si="13"/>
        <v/>
      </c>
      <c r="AI255" t="str">
        <f>IF(AH255="","",MAX($AF$1:$AF255))</f>
        <v/>
      </c>
      <c r="AJ255" t="str">
        <f t="shared" si="14"/>
        <v>中史</v>
      </c>
      <c r="AK255">
        <f>IF(AJ255="","",MAX($AF$1:$AF255))</f>
        <v>5</v>
      </c>
      <c r="AL255" t="str">
        <f t="shared" si="15"/>
        <v/>
      </c>
      <c r="AM255" t="str">
        <f>IF(AL255="","",MAX($AF$1:$AF255))</f>
        <v/>
      </c>
    </row>
    <row r="256" spans="1:39" ht="13.5" customHeight="1" x14ac:dyDescent="0.3">
      <c r="A256" s="8" t="s">
        <v>216</v>
      </c>
      <c r="B256" s="9"/>
      <c r="C256" s="10">
        <v>7</v>
      </c>
      <c r="D256" s="11"/>
      <c r="AB256" t="str" cm="1">
        <f t="array" ref="AB256:AC256">_xlfn._xlws.FILTER(A256:Z256,A256:Z256&lt;&gt;"","")</f>
        <v>中文</v>
      </c>
      <c r="AC256">
        <v>7</v>
      </c>
      <c r="AD256" t="str">
        <v/>
      </c>
      <c r="AE256" t="str">
        <v/>
      </c>
      <c r="AF256" t="str" cm="1">
        <f t="array" ref="AF256">IF(AD256="","",SUMPRODUCT(IF(LEFT($AD$1:AD256,2)="JS",1,0)))</f>
        <v/>
      </c>
      <c r="AG256" t="b">
        <f t="shared" si="12"/>
        <v>1</v>
      </c>
      <c r="AH256" t="str">
        <f t="shared" si="13"/>
        <v/>
      </c>
      <c r="AI256" t="str">
        <f>IF(AH256="","",MAX($AF$1:$AF256))</f>
        <v/>
      </c>
      <c r="AJ256" t="str">
        <f t="shared" si="14"/>
        <v>中文</v>
      </c>
      <c r="AK256">
        <f>IF(AJ256="","",MAX($AF$1:$AF256))</f>
        <v>5</v>
      </c>
      <c r="AL256" t="str">
        <f t="shared" si="15"/>
        <v/>
      </c>
      <c r="AM256" t="str">
        <f>IF(AL256="","",MAX($AF$1:$AF256))</f>
        <v/>
      </c>
    </row>
    <row r="257" spans="1:39" ht="13.5" customHeight="1" x14ac:dyDescent="0.3">
      <c r="A257" s="8" t="s">
        <v>7</v>
      </c>
      <c r="B257" s="9"/>
      <c r="C257" s="10">
        <v>7</v>
      </c>
      <c r="D257" s="11"/>
      <c r="AB257" t="str" cm="1">
        <f t="array" ref="AB257:AC257">_xlfn._xlws.FILTER(A257:Z257,A257:Z257&lt;&gt;"","")</f>
        <v>Chinese Literature</v>
      </c>
      <c r="AC257">
        <v>7</v>
      </c>
      <c r="AD257" t="str">
        <v/>
      </c>
      <c r="AE257" t="str">
        <v/>
      </c>
      <c r="AF257" t="str" cm="1">
        <f t="array" ref="AF257">IF(AD257="","",SUMPRODUCT(IF(LEFT($AD$1:AD257,2)="JS",1,0)))</f>
        <v/>
      </c>
      <c r="AG257" t="str">
        <f t="shared" ref="AG257:AG320" si="16">IF(ISNUMBER(MATCH(AB257,$AV$3:$AV$18,0)),TRUE,"")</f>
        <v/>
      </c>
      <c r="AH257" t="str">
        <f t="shared" si="13"/>
        <v/>
      </c>
      <c r="AI257" t="str">
        <f>IF(AH257="","",MAX($AF$1:$AF257))</f>
        <v/>
      </c>
      <c r="AJ257" t="str">
        <f t="shared" si="14"/>
        <v/>
      </c>
      <c r="AK257" t="str">
        <f>IF(AJ257="","",MAX($AF$1:$AF257))</f>
        <v/>
      </c>
      <c r="AL257" t="str">
        <f t="shared" si="15"/>
        <v/>
      </c>
      <c r="AM257" t="str">
        <f>IF(AL257="","",MAX($AF$1:$AF257))</f>
        <v/>
      </c>
    </row>
    <row r="258" spans="1:39" ht="13.5" customHeight="1" x14ac:dyDescent="0.3">
      <c r="A258" s="8" t="s">
        <v>8</v>
      </c>
      <c r="B258" s="9"/>
      <c r="C258" s="10">
        <v>7</v>
      </c>
      <c r="D258" s="11"/>
      <c r="AB258" t="str" cm="1">
        <f t="array" ref="AB258:AC258">_xlfn._xlws.FILTER(A258:Z258,A258:Z258&lt;&gt;"","")</f>
        <v>Combined Science: Biology + Chemistry</v>
      </c>
      <c r="AC258">
        <v>7</v>
      </c>
      <c r="AD258" t="str">
        <v/>
      </c>
      <c r="AE258" t="str">
        <v/>
      </c>
      <c r="AF258" t="str" cm="1">
        <f t="array" ref="AF258">IF(AD258="","",SUMPRODUCT(IF(LEFT($AD$1:AD258,2)="JS",1,0)))</f>
        <v/>
      </c>
      <c r="AG258" t="str">
        <f t="shared" si="16"/>
        <v/>
      </c>
      <c r="AH258" t="str">
        <f t="shared" ref="AH258:AH321" si="17">IF(AND(AC258=10,AG258=TRUE),AB258,"")</f>
        <v/>
      </c>
      <c r="AI258" t="str">
        <f>IF(AH258="","",MAX($AF$1:$AF258))</f>
        <v/>
      </c>
      <c r="AJ258" t="str">
        <f t="shared" ref="AJ258:AJ321" si="18">IF(AND(AC258=7,AG258=TRUE),AB258,"")</f>
        <v/>
      </c>
      <c r="AK258" t="str">
        <f>IF(AJ258="","",MAX($AF$1:$AF258))</f>
        <v/>
      </c>
      <c r="AL258" t="str">
        <f t="shared" ref="AL258:AL321" si="19">IF(AND(AC258=5,AG258=TRUE),AB258,"")</f>
        <v/>
      </c>
      <c r="AM258" t="str">
        <f>IF(AL258="","",MAX($AF$1:$AF258))</f>
        <v/>
      </c>
    </row>
    <row r="259" spans="1:39" ht="13.5" customHeight="1" x14ac:dyDescent="0.3">
      <c r="A259" s="8" t="s">
        <v>9</v>
      </c>
      <c r="B259" s="9"/>
      <c r="C259" s="10">
        <v>7</v>
      </c>
      <c r="D259" s="11"/>
      <c r="AB259" t="str" cm="1">
        <f t="array" ref="AB259:AC259">_xlfn._xlws.FILTER(A259:Z259,A259:Z259&lt;&gt;"","")</f>
        <v>Combined Science: Biology + Physics</v>
      </c>
      <c r="AC259">
        <v>7</v>
      </c>
      <c r="AD259" t="str">
        <v/>
      </c>
      <c r="AE259" t="str">
        <v/>
      </c>
      <c r="AF259" t="str" cm="1">
        <f t="array" ref="AF259">IF(AD259="","",SUMPRODUCT(IF(LEFT($AD$1:AD259,2)="JS",1,0)))</f>
        <v/>
      </c>
      <c r="AG259" t="str">
        <f t="shared" si="16"/>
        <v/>
      </c>
      <c r="AH259" t="str">
        <f t="shared" si="17"/>
        <v/>
      </c>
      <c r="AI259" t="str">
        <f>IF(AH259="","",MAX($AF$1:$AF259))</f>
        <v/>
      </c>
      <c r="AJ259" t="str">
        <f t="shared" si="18"/>
        <v/>
      </c>
      <c r="AK259" t="str">
        <f>IF(AJ259="","",MAX($AF$1:$AF259))</f>
        <v/>
      </c>
      <c r="AL259" t="str">
        <f t="shared" si="19"/>
        <v/>
      </c>
      <c r="AM259" t="str">
        <f>IF(AL259="","",MAX($AF$1:$AF259))</f>
        <v/>
      </c>
    </row>
    <row r="260" spans="1:39" ht="13.5" customHeight="1" x14ac:dyDescent="0.3">
      <c r="A260" s="8" t="s">
        <v>10</v>
      </c>
      <c r="B260" s="9"/>
      <c r="C260" s="10">
        <v>7</v>
      </c>
      <c r="D260" s="11"/>
      <c r="AB260" t="str" cm="1">
        <f t="array" ref="AB260:AC260">_xlfn._xlws.FILTER(A260:Z260,A260:Z260&lt;&gt;"","")</f>
        <v>Combined Science: Physics + Chemistry</v>
      </c>
      <c r="AC260">
        <v>7</v>
      </c>
      <c r="AD260" t="str">
        <v/>
      </c>
      <c r="AE260" t="str">
        <v/>
      </c>
      <c r="AF260" t="str" cm="1">
        <f t="array" ref="AF260">IF(AD260="","",SUMPRODUCT(IF(LEFT($AD$1:AD260,2)="JS",1,0)))</f>
        <v/>
      </c>
      <c r="AG260" t="str">
        <f t="shared" si="16"/>
        <v/>
      </c>
      <c r="AH260" t="str">
        <f t="shared" si="17"/>
        <v/>
      </c>
      <c r="AI260" t="str">
        <f>IF(AH260="","",MAX($AF$1:$AF260))</f>
        <v/>
      </c>
      <c r="AJ260" t="str">
        <f t="shared" si="18"/>
        <v/>
      </c>
      <c r="AK260" t="str">
        <f>IF(AJ260="","",MAX($AF$1:$AF260))</f>
        <v/>
      </c>
      <c r="AL260" t="str">
        <f t="shared" si="19"/>
        <v/>
      </c>
      <c r="AM260" t="str">
        <f>IF(AL260="","",MAX($AF$1:$AF260))</f>
        <v/>
      </c>
    </row>
    <row r="261" spans="1:39" ht="13.5" customHeight="1" x14ac:dyDescent="0.3">
      <c r="A261" s="8" t="s">
        <v>11</v>
      </c>
      <c r="B261" s="9"/>
      <c r="C261" s="10">
        <v>5</v>
      </c>
      <c r="D261" s="11"/>
      <c r="AB261" t="str" cm="1">
        <f t="array" ref="AB261:AC261">_xlfn._xlws.FILTER(A261:Z261,A261:Z261&lt;&gt;"","")</f>
        <v>Design and Applied Technology</v>
      </c>
      <c r="AC261">
        <v>5</v>
      </c>
      <c r="AD261" t="str">
        <v/>
      </c>
      <c r="AE261" t="str">
        <v/>
      </c>
      <c r="AF261" t="str" cm="1">
        <f t="array" ref="AF261">IF(AD261="","",SUMPRODUCT(IF(LEFT($AD$1:AD261,2)="JS",1,0)))</f>
        <v/>
      </c>
      <c r="AG261" t="str">
        <f t="shared" si="16"/>
        <v/>
      </c>
      <c r="AH261" t="str">
        <f t="shared" si="17"/>
        <v/>
      </c>
      <c r="AI261" t="str">
        <f>IF(AH261="","",MAX($AF$1:$AF261))</f>
        <v/>
      </c>
      <c r="AJ261" t="str">
        <f t="shared" si="18"/>
        <v/>
      </c>
      <c r="AK261" t="str">
        <f>IF(AJ261="","",MAX($AF$1:$AF261))</f>
        <v/>
      </c>
      <c r="AL261" t="str">
        <f t="shared" si="19"/>
        <v/>
      </c>
      <c r="AM261" t="str">
        <f>IF(AL261="","",MAX($AF$1:$AF261))</f>
        <v/>
      </c>
    </row>
    <row r="262" spans="1:39" ht="13.5" customHeight="1" x14ac:dyDescent="0.3">
      <c r="A262" s="8" t="s">
        <v>217</v>
      </c>
      <c r="B262" s="9"/>
      <c r="C262" s="10">
        <v>7</v>
      </c>
      <c r="D262" s="11"/>
      <c r="AB262" t="str" cm="1">
        <f t="array" ref="AB262:AC262">_xlfn._xlws.FILTER(A262:Z262,A262:Z262&lt;&gt;"","")</f>
        <v>ECON</v>
      </c>
      <c r="AC262">
        <v>7</v>
      </c>
      <c r="AD262" t="str">
        <v/>
      </c>
      <c r="AE262" t="str">
        <v/>
      </c>
      <c r="AF262" t="str" cm="1">
        <f t="array" ref="AF262">IF(AD262="","",SUMPRODUCT(IF(LEFT($AD$1:AD262,2)="JS",1,0)))</f>
        <v/>
      </c>
      <c r="AG262" t="b">
        <f t="shared" si="16"/>
        <v>1</v>
      </c>
      <c r="AH262" t="str">
        <f t="shared" si="17"/>
        <v/>
      </c>
      <c r="AI262" t="str">
        <f>IF(AH262="","",MAX($AF$1:$AF262))</f>
        <v/>
      </c>
      <c r="AJ262" t="str">
        <f t="shared" si="18"/>
        <v>ECON</v>
      </c>
      <c r="AK262">
        <f>IF(AJ262="","",MAX($AF$1:$AF262))</f>
        <v>5</v>
      </c>
      <c r="AL262" t="str">
        <f t="shared" si="19"/>
        <v/>
      </c>
      <c r="AM262" t="str">
        <f>IF(AL262="","",MAX($AF$1:$AF262))</f>
        <v/>
      </c>
    </row>
    <row r="263" spans="1:39" ht="13.5" customHeight="1" x14ac:dyDescent="0.3">
      <c r="A263" s="8" t="s">
        <v>218</v>
      </c>
      <c r="B263" s="9"/>
      <c r="C263" s="10">
        <v>10</v>
      </c>
      <c r="D263" s="11"/>
      <c r="AB263" t="str" cm="1">
        <f t="array" ref="AB263:AC263">_xlfn._xlws.FILTER(A263:Z263,A263:Z263&lt;&gt;"","")</f>
        <v>ENG</v>
      </c>
      <c r="AC263">
        <v>10</v>
      </c>
      <c r="AD263" t="str">
        <v/>
      </c>
      <c r="AE263" t="str">
        <v/>
      </c>
      <c r="AF263" t="str" cm="1">
        <f t="array" ref="AF263">IF(AD263="","",SUMPRODUCT(IF(LEFT($AD$1:AD263,2)="JS",1,0)))</f>
        <v/>
      </c>
      <c r="AG263" t="b">
        <f t="shared" si="16"/>
        <v>1</v>
      </c>
      <c r="AH263" t="str">
        <f t="shared" si="17"/>
        <v>ENG</v>
      </c>
      <c r="AI263">
        <f>IF(AH263="","",MAX($AF$1:$AF263))</f>
        <v>5</v>
      </c>
      <c r="AJ263" t="str">
        <f t="shared" si="18"/>
        <v/>
      </c>
      <c r="AK263" t="str">
        <f>IF(AJ263="","",MAX($AF$1:$AF263))</f>
        <v/>
      </c>
      <c r="AL263" t="str">
        <f t="shared" si="19"/>
        <v/>
      </c>
      <c r="AM263" t="str">
        <f>IF(AL263="","",MAX($AF$1:$AF263))</f>
        <v/>
      </c>
    </row>
    <row r="264" spans="1:39" ht="13.5" customHeight="1" x14ac:dyDescent="0.3">
      <c r="A264" s="8" t="s">
        <v>12</v>
      </c>
      <c r="B264" s="9"/>
      <c r="C264" s="10">
        <v>5</v>
      </c>
      <c r="D264" s="11"/>
      <c r="AB264" t="str" cm="1">
        <f t="array" ref="AB264:AC264">_xlfn._xlws.FILTER(A264:Z264,A264:Z264&lt;&gt;"","")</f>
        <v>Ethics and Religious Studies</v>
      </c>
      <c r="AC264">
        <v>5</v>
      </c>
      <c r="AD264" t="str">
        <v/>
      </c>
      <c r="AE264" t="str">
        <v/>
      </c>
      <c r="AF264" t="str" cm="1">
        <f t="array" ref="AF264">IF(AD264="","",SUMPRODUCT(IF(LEFT($AD$1:AD264,2)="JS",1,0)))</f>
        <v/>
      </c>
      <c r="AG264" t="str">
        <f t="shared" si="16"/>
        <v/>
      </c>
      <c r="AH264" t="str">
        <f t="shared" si="17"/>
        <v/>
      </c>
      <c r="AI264" t="str">
        <f>IF(AH264="","",MAX($AF$1:$AF264))</f>
        <v/>
      </c>
      <c r="AJ264" t="str">
        <f t="shared" si="18"/>
        <v/>
      </c>
      <c r="AK264" t="str">
        <f>IF(AJ264="","",MAX($AF$1:$AF264))</f>
        <v/>
      </c>
      <c r="AL264" t="str">
        <f t="shared" si="19"/>
        <v/>
      </c>
      <c r="AM264" t="str">
        <f>IF(AL264="","",MAX($AF$1:$AF264))</f>
        <v/>
      </c>
    </row>
    <row r="265" spans="1:39" ht="13.5" customHeight="1" x14ac:dyDescent="0.3">
      <c r="A265" s="8" t="s">
        <v>219</v>
      </c>
      <c r="B265" s="9"/>
      <c r="C265" s="10">
        <v>7</v>
      </c>
      <c r="D265" s="11"/>
      <c r="AB265" t="str" cm="1">
        <f t="array" ref="AB265:AC265">_xlfn._xlws.FILTER(A265:Z265,A265:Z265&lt;&gt;"","")</f>
        <v>GEOG</v>
      </c>
      <c r="AC265">
        <v>7</v>
      </c>
      <c r="AD265" t="str">
        <v/>
      </c>
      <c r="AE265" t="str">
        <v/>
      </c>
      <c r="AF265" t="str" cm="1">
        <f t="array" ref="AF265">IF(AD265="","",SUMPRODUCT(IF(LEFT($AD$1:AD265,2)="JS",1,0)))</f>
        <v/>
      </c>
      <c r="AG265" t="b">
        <f t="shared" si="16"/>
        <v>1</v>
      </c>
      <c r="AH265" t="str">
        <f t="shared" si="17"/>
        <v/>
      </c>
      <c r="AI265" t="str">
        <f>IF(AH265="","",MAX($AF$1:$AF265))</f>
        <v/>
      </c>
      <c r="AJ265" t="str">
        <f t="shared" si="18"/>
        <v>GEOG</v>
      </c>
      <c r="AK265">
        <f>IF(AJ265="","",MAX($AF$1:$AF265))</f>
        <v>5</v>
      </c>
      <c r="AL265" t="str">
        <f t="shared" si="19"/>
        <v/>
      </c>
      <c r="AM265" t="str">
        <f>IF(AL265="","",MAX($AF$1:$AF265))</f>
        <v/>
      </c>
    </row>
    <row r="266" spans="1:39" ht="13.5" customHeight="1" x14ac:dyDescent="0.3">
      <c r="A266" s="8" t="s">
        <v>220</v>
      </c>
      <c r="B266" s="9"/>
      <c r="C266" s="10">
        <v>5</v>
      </c>
      <c r="D266" s="11"/>
      <c r="AB266" t="str" cm="1">
        <f t="array" ref="AB266:AC266">_xlfn._xlws.FILTER(A266:Z266,A266:Z266&lt;&gt;"","")</f>
        <v>HMSC</v>
      </c>
      <c r="AC266">
        <v>5</v>
      </c>
      <c r="AD266" t="str">
        <v/>
      </c>
      <c r="AE266" t="str">
        <v/>
      </c>
      <c r="AF266" t="str" cm="1">
        <f t="array" ref="AF266">IF(AD266="","",SUMPRODUCT(IF(LEFT($AD$1:AD266,2)="JS",1,0)))</f>
        <v/>
      </c>
      <c r="AG266" t="b">
        <f t="shared" si="16"/>
        <v>1</v>
      </c>
      <c r="AH266" t="str">
        <f t="shared" si="17"/>
        <v/>
      </c>
      <c r="AI266" t="str">
        <f>IF(AH266="","",MAX($AF$1:$AF266))</f>
        <v/>
      </c>
      <c r="AJ266" t="str">
        <f t="shared" si="18"/>
        <v/>
      </c>
      <c r="AK266" t="str">
        <f>IF(AJ266="","",MAX($AF$1:$AF266))</f>
        <v/>
      </c>
      <c r="AL266" t="str">
        <f t="shared" si="19"/>
        <v>HMSC</v>
      </c>
      <c r="AM266">
        <f>IF(AL266="","",MAX($AF$1:$AF266))</f>
        <v>5</v>
      </c>
    </row>
    <row r="267" spans="1:39" ht="13.5" customHeight="1" x14ac:dyDescent="0.3">
      <c r="A267" s="8" t="s">
        <v>221</v>
      </c>
      <c r="B267" s="9"/>
      <c r="C267" s="10">
        <v>7</v>
      </c>
      <c r="D267" s="11"/>
      <c r="AB267" t="str" cm="1">
        <f t="array" ref="AB267:AC267">_xlfn._xlws.FILTER(A267:Z267,A267:Z267&lt;&gt;"","")</f>
        <v>HIST</v>
      </c>
      <c r="AC267">
        <v>7</v>
      </c>
      <c r="AD267" t="str">
        <v/>
      </c>
      <c r="AE267" t="str">
        <v/>
      </c>
      <c r="AF267" t="str" cm="1">
        <f t="array" ref="AF267">IF(AD267="","",SUMPRODUCT(IF(LEFT($AD$1:AD267,2)="JS",1,0)))</f>
        <v/>
      </c>
      <c r="AG267" t="b">
        <f t="shared" si="16"/>
        <v>1</v>
      </c>
      <c r="AH267" t="str">
        <f t="shared" si="17"/>
        <v/>
      </c>
      <c r="AI267" t="str">
        <f>IF(AH267="","",MAX($AF$1:$AF267))</f>
        <v/>
      </c>
      <c r="AJ267" t="str">
        <f t="shared" si="18"/>
        <v>HIST</v>
      </c>
      <c r="AK267">
        <f>IF(AJ267="","",MAX($AF$1:$AF267))</f>
        <v>5</v>
      </c>
      <c r="AL267" t="str">
        <f t="shared" si="19"/>
        <v/>
      </c>
      <c r="AM267" t="str">
        <f>IF(AL267="","",MAX($AF$1:$AF267))</f>
        <v/>
      </c>
    </row>
    <row r="268" spans="1:39" ht="13.5" customHeight="1" x14ac:dyDescent="0.3">
      <c r="A268" s="8" t="s">
        <v>222</v>
      </c>
      <c r="B268" s="9"/>
      <c r="C268" s="10">
        <v>5</v>
      </c>
      <c r="D268" s="11"/>
      <c r="AB268" t="str" cm="1">
        <f t="array" ref="AB268:AC268">_xlfn._xlws.FILTER(A268:Z268,A268:Z268&lt;&gt;"","")</f>
        <v>ICT</v>
      </c>
      <c r="AC268">
        <v>5</v>
      </c>
      <c r="AD268" t="str">
        <v/>
      </c>
      <c r="AE268" t="str">
        <v/>
      </c>
      <c r="AF268" t="str" cm="1">
        <f t="array" ref="AF268">IF(AD268="","",SUMPRODUCT(IF(LEFT($AD$1:AD268,2)="JS",1,0)))</f>
        <v/>
      </c>
      <c r="AG268" t="b">
        <f t="shared" si="16"/>
        <v>1</v>
      </c>
      <c r="AH268" t="str">
        <f t="shared" si="17"/>
        <v/>
      </c>
      <c r="AI268" t="str">
        <f>IF(AH268="","",MAX($AF$1:$AF268))</f>
        <v/>
      </c>
      <c r="AJ268" t="str">
        <f t="shared" si="18"/>
        <v/>
      </c>
      <c r="AK268" t="str">
        <f>IF(AJ268="","",MAX($AF$1:$AF268))</f>
        <v/>
      </c>
      <c r="AL268" t="str">
        <f t="shared" si="19"/>
        <v>ICT</v>
      </c>
      <c r="AM268">
        <f>IF(AL268="","",MAX($AF$1:$AF268))</f>
        <v>5</v>
      </c>
    </row>
    <row r="269" spans="1:39" ht="13.5" customHeight="1" x14ac:dyDescent="0.3">
      <c r="A269" s="8" t="s">
        <v>13</v>
      </c>
      <c r="B269" s="9"/>
      <c r="C269" s="10">
        <v>7</v>
      </c>
      <c r="D269" s="11"/>
      <c r="AB269" t="str" cm="1">
        <f t="array" ref="AB269:AC269">_xlfn._xlws.FILTER(A269:Z269,A269:Z269&lt;&gt;"","")</f>
        <v>Integrated Science</v>
      </c>
      <c r="AC269">
        <v>7</v>
      </c>
      <c r="AD269" t="str">
        <v/>
      </c>
      <c r="AE269" t="str">
        <v/>
      </c>
      <c r="AF269" t="str" cm="1">
        <f t="array" ref="AF269">IF(AD269="","",SUMPRODUCT(IF(LEFT($AD$1:AD269,2)="JS",1,0)))</f>
        <v/>
      </c>
      <c r="AG269" t="str">
        <f t="shared" si="16"/>
        <v/>
      </c>
      <c r="AH269" t="str">
        <f t="shared" si="17"/>
        <v/>
      </c>
      <c r="AI269" t="str">
        <f>IF(AH269="","",MAX($AF$1:$AF269))</f>
        <v/>
      </c>
      <c r="AJ269" t="str">
        <f t="shared" si="18"/>
        <v/>
      </c>
      <c r="AK269" t="str">
        <f>IF(AJ269="","",MAX($AF$1:$AF269))</f>
        <v/>
      </c>
      <c r="AL269" t="str">
        <f t="shared" si="19"/>
        <v/>
      </c>
      <c r="AM269" t="str">
        <f>IF(AL269="","",MAX($AF$1:$AF269))</f>
        <v/>
      </c>
    </row>
    <row r="270" spans="1:39" ht="13.5" customHeight="1" x14ac:dyDescent="0.3">
      <c r="A270" s="8" t="s">
        <v>223</v>
      </c>
      <c r="B270" s="9"/>
      <c r="C270" s="10">
        <v>7</v>
      </c>
      <c r="D270" s="11"/>
      <c r="AB270" t="str" cm="1">
        <f t="array" ref="AB270:AC270">_xlfn._xlws.FILTER(A270:Z270,A270:Z270&lt;&gt;"","")</f>
        <v>通</v>
      </c>
      <c r="AC270">
        <v>7</v>
      </c>
      <c r="AD270" t="str">
        <v/>
      </c>
      <c r="AE270" t="str">
        <v/>
      </c>
      <c r="AF270" t="str" cm="1">
        <f t="array" ref="AF270">IF(AD270="","",SUMPRODUCT(IF(LEFT($AD$1:AD270,2)="JS",1,0)))</f>
        <v/>
      </c>
      <c r="AG270" t="b">
        <f t="shared" si="16"/>
        <v>1</v>
      </c>
      <c r="AH270" t="str">
        <f t="shared" si="17"/>
        <v/>
      </c>
      <c r="AI270" t="str">
        <f>IF(AH270="","",MAX($AF$1:$AF270))</f>
        <v/>
      </c>
      <c r="AJ270" t="str">
        <f t="shared" si="18"/>
        <v>通</v>
      </c>
      <c r="AK270">
        <f>IF(AJ270="","",MAX($AF$1:$AF270))</f>
        <v>5</v>
      </c>
      <c r="AL270" t="str">
        <f t="shared" si="19"/>
        <v/>
      </c>
      <c r="AM270" t="str">
        <f>IF(AL270="","",MAX($AF$1:$AF270))</f>
        <v/>
      </c>
    </row>
    <row r="271" spans="1:39" ht="13.5" customHeight="1" x14ac:dyDescent="0.3">
      <c r="A271" s="8" t="s">
        <v>14</v>
      </c>
      <c r="B271" s="9"/>
      <c r="C271" s="10">
        <v>7</v>
      </c>
      <c r="D271" s="11"/>
      <c r="AB271" t="str" cm="1">
        <f t="array" ref="AB271:AC271">_xlfn._xlws.FILTER(A271:Z271,A271:Z271&lt;&gt;"","")</f>
        <v>Literature in English</v>
      </c>
      <c r="AC271">
        <v>7</v>
      </c>
      <c r="AD271" t="str">
        <v/>
      </c>
      <c r="AE271" t="str">
        <v/>
      </c>
      <c r="AF271" t="str" cm="1">
        <f t="array" ref="AF271">IF(AD271="","",SUMPRODUCT(IF(LEFT($AD$1:AD271,2)="JS",1,0)))</f>
        <v/>
      </c>
      <c r="AG271" t="str">
        <f t="shared" si="16"/>
        <v/>
      </c>
      <c r="AH271" t="str">
        <f t="shared" si="17"/>
        <v/>
      </c>
      <c r="AI271" t="str">
        <f>IF(AH271="","",MAX($AF$1:$AF271))</f>
        <v/>
      </c>
      <c r="AJ271" t="str">
        <f t="shared" si="18"/>
        <v/>
      </c>
      <c r="AK271" t="str">
        <f>IF(AJ271="","",MAX($AF$1:$AF271))</f>
        <v/>
      </c>
      <c r="AL271" t="str">
        <f t="shared" si="19"/>
        <v/>
      </c>
      <c r="AM271" t="str">
        <f>IF(AL271="","",MAX($AF$1:$AF271))</f>
        <v/>
      </c>
    </row>
    <row r="272" spans="1:39" ht="13.5" customHeight="1" x14ac:dyDescent="0.3">
      <c r="A272" s="8" t="s">
        <v>224</v>
      </c>
      <c r="B272" s="9"/>
      <c r="C272" s="10">
        <v>10</v>
      </c>
      <c r="D272" s="11"/>
      <c r="AB272" t="str" cm="1">
        <f t="array" ref="AB272:AC272">_xlfn._xlws.FILTER(A272:Z272,A272:Z272&lt;&gt;"","")</f>
        <v>MATH</v>
      </c>
      <c r="AC272">
        <v>10</v>
      </c>
      <c r="AD272" t="str">
        <v/>
      </c>
      <c r="AE272" t="str">
        <v/>
      </c>
      <c r="AF272" t="str" cm="1">
        <f t="array" ref="AF272">IF(AD272="","",SUMPRODUCT(IF(LEFT($AD$1:AD272,2)="JS",1,0)))</f>
        <v/>
      </c>
      <c r="AG272" t="b">
        <f t="shared" si="16"/>
        <v>1</v>
      </c>
      <c r="AH272" t="str">
        <f t="shared" si="17"/>
        <v>MATH</v>
      </c>
      <c r="AI272">
        <f>IF(AH272="","",MAX($AF$1:$AF272))</f>
        <v>5</v>
      </c>
      <c r="AJ272" t="str">
        <f t="shared" si="18"/>
        <v/>
      </c>
      <c r="AK272" t="str">
        <f>IF(AJ272="","",MAX($AF$1:$AF272))</f>
        <v/>
      </c>
      <c r="AL272" t="str">
        <f t="shared" si="19"/>
        <v/>
      </c>
      <c r="AM272" t="str">
        <f>IF(AL272="","",MAX($AF$1:$AF272))</f>
        <v/>
      </c>
    </row>
    <row r="273" spans="1:39" ht="13.5" customHeight="1" x14ac:dyDescent="0.3">
      <c r="A273" s="8" t="s">
        <v>225</v>
      </c>
      <c r="B273" s="9"/>
      <c r="C273" s="10">
        <v>7</v>
      </c>
      <c r="D273" s="11"/>
      <c r="AB273" t="str" cm="1">
        <f t="array" ref="AB273:AC273">_xlfn._xlws.FILTER(A273:Z273,A273:Z273&lt;&gt;"","")</f>
        <v>M2</v>
      </c>
      <c r="AC273">
        <v>7</v>
      </c>
      <c r="AD273" t="str">
        <v/>
      </c>
      <c r="AE273" t="str">
        <v/>
      </c>
      <c r="AF273" t="str" cm="1">
        <f t="array" ref="AF273">IF(AD273="","",SUMPRODUCT(IF(LEFT($AD$1:AD273,2)="JS",1,0)))</f>
        <v/>
      </c>
      <c r="AG273" t="b">
        <f t="shared" si="16"/>
        <v>1</v>
      </c>
      <c r="AH273" t="str">
        <f t="shared" si="17"/>
        <v/>
      </c>
      <c r="AI273" t="str">
        <f>IF(AH273="","",MAX($AF$1:$AF273))</f>
        <v/>
      </c>
      <c r="AJ273" t="str">
        <f t="shared" si="18"/>
        <v>M2</v>
      </c>
      <c r="AK273">
        <f>IF(AJ273="","",MAX($AF$1:$AF273))</f>
        <v>5</v>
      </c>
      <c r="AL273" t="str">
        <f t="shared" si="19"/>
        <v/>
      </c>
      <c r="AM273" t="str">
        <f>IF(AL273="","",MAX($AF$1:$AF273))</f>
        <v/>
      </c>
    </row>
    <row r="274" spans="1:39" ht="13.5" customHeight="1" x14ac:dyDescent="0.3">
      <c r="A274" s="8" t="s">
        <v>15</v>
      </c>
      <c r="B274" s="9"/>
      <c r="C274" s="10">
        <v>7</v>
      </c>
      <c r="D274" s="11"/>
      <c r="AB274" t="str" cm="1">
        <f t="array" ref="AB274:AC274">_xlfn._xlws.FILTER(A274:Z274,A274:Z274&lt;&gt;"","")</f>
        <v>Mathematics (Extended part - Calculus and Statistics)</v>
      </c>
      <c r="AC274">
        <v>7</v>
      </c>
      <c r="AD274" t="str">
        <v/>
      </c>
      <c r="AE274" t="str">
        <v/>
      </c>
      <c r="AF274" t="str" cm="1">
        <f t="array" ref="AF274">IF(AD274="","",SUMPRODUCT(IF(LEFT($AD$1:AD274,2)="JS",1,0)))</f>
        <v/>
      </c>
      <c r="AG274" t="str">
        <f t="shared" si="16"/>
        <v/>
      </c>
      <c r="AH274" t="str">
        <f t="shared" si="17"/>
        <v/>
      </c>
      <c r="AI274" t="str">
        <f>IF(AH274="","",MAX($AF$1:$AF274))</f>
        <v/>
      </c>
      <c r="AJ274" t="str">
        <f t="shared" si="18"/>
        <v/>
      </c>
      <c r="AK274" t="str">
        <f>IF(AJ274="","",MAX($AF$1:$AF274))</f>
        <v/>
      </c>
      <c r="AL274" t="str">
        <f t="shared" si="19"/>
        <v/>
      </c>
      <c r="AM274" t="str">
        <f>IF(AL274="","",MAX($AF$1:$AF274))</f>
        <v/>
      </c>
    </row>
    <row r="275" spans="1:39" ht="13.5" customHeight="1" x14ac:dyDescent="0.3">
      <c r="A275" s="8" t="s">
        <v>16</v>
      </c>
      <c r="B275" s="9"/>
      <c r="C275" s="10">
        <v>5</v>
      </c>
      <c r="D275" s="11"/>
      <c r="AB275" t="str" cm="1">
        <f t="array" ref="AB275:AC275">_xlfn._xlws.FILTER(A275:Z275,A275:Z275&lt;&gt;"","")</f>
        <v>Music</v>
      </c>
      <c r="AC275">
        <v>5</v>
      </c>
      <c r="AD275" t="str">
        <v/>
      </c>
      <c r="AE275" t="str">
        <v/>
      </c>
      <c r="AF275" t="str" cm="1">
        <f t="array" ref="AF275">IF(AD275="","",SUMPRODUCT(IF(LEFT($AD$1:AD275,2)="JS",1,0)))</f>
        <v/>
      </c>
      <c r="AG275" t="str">
        <f t="shared" si="16"/>
        <v/>
      </c>
      <c r="AH275" t="str">
        <f t="shared" si="17"/>
        <v/>
      </c>
      <c r="AI275" t="str">
        <f>IF(AH275="","",MAX($AF$1:$AF275))</f>
        <v/>
      </c>
      <c r="AJ275" t="str">
        <f t="shared" si="18"/>
        <v/>
      </c>
      <c r="AK275" t="str">
        <f>IF(AJ275="","",MAX($AF$1:$AF275))</f>
        <v/>
      </c>
      <c r="AL275" t="str">
        <f t="shared" si="19"/>
        <v/>
      </c>
      <c r="AM275" t="str">
        <f>IF(AL275="","",MAX($AF$1:$AF275))</f>
        <v/>
      </c>
    </row>
    <row r="276" spans="1:39" ht="13.5" customHeight="1" x14ac:dyDescent="0.3">
      <c r="A276" s="8" t="s">
        <v>17</v>
      </c>
      <c r="B276" s="9"/>
      <c r="C276" s="10">
        <v>5</v>
      </c>
      <c r="D276" s="11"/>
      <c r="AB276" t="str" cm="1">
        <f t="array" ref="AB276:AC276">_xlfn._xlws.FILTER(A276:Z276,A276:Z276&lt;&gt;"","")</f>
        <v>Physical Education</v>
      </c>
      <c r="AC276">
        <v>5</v>
      </c>
      <c r="AD276" t="str">
        <v/>
      </c>
      <c r="AE276" t="str">
        <v/>
      </c>
      <c r="AF276" t="str" cm="1">
        <f t="array" ref="AF276">IF(AD276="","",SUMPRODUCT(IF(LEFT($AD$1:AD276,2)="JS",1,0)))</f>
        <v/>
      </c>
      <c r="AG276" t="str">
        <f t="shared" si="16"/>
        <v/>
      </c>
      <c r="AH276" t="str">
        <f t="shared" si="17"/>
        <v/>
      </c>
      <c r="AI276" t="str">
        <f>IF(AH276="","",MAX($AF$1:$AF276))</f>
        <v/>
      </c>
      <c r="AJ276" t="str">
        <f t="shared" si="18"/>
        <v/>
      </c>
      <c r="AK276" t="str">
        <f>IF(AJ276="","",MAX($AF$1:$AF276))</f>
        <v/>
      </c>
      <c r="AL276" t="str">
        <f t="shared" si="19"/>
        <v/>
      </c>
      <c r="AM276" t="str">
        <f>IF(AL276="","",MAX($AF$1:$AF276))</f>
        <v/>
      </c>
    </row>
    <row r="277" spans="1:39" ht="13.5" customHeight="1" x14ac:dyDescent="0.3">
      <c r="A277" s="8" t="s">
        <v>226</v>
      </c>
      <c r="B277" s="9"/>
      <c r="C277" s="10">
        <v>7</v>
      </c>
      <c r="D277" s="11"/>
      <c r="AB277" t="str" cm="1">
        <f t="array" ref="AB277:AC277">_xlfn._xlws.FILTER(A277:Z277,A277:Z277&lt;&gt;"","")</f>
        <v>PHY</v>
      </c>
      <c r="AC277">
        <v>7</v>
      </c>
      <c r="AD277" t="str">
        <v/>
      </c>
      <c r="AE277" t="str">
        <v/>
      </c>
      <c r="AF277" t="str" cm="1">
        <f t="array" ref="AF277">IF(AD277="","",SUMPRODUCT(IF(LEFT($AD$1:AD277,2)="JS",1,0)))</f>
        <v/>
      </c>
      <c r="AG277" t="b">
        <f t="shared" si="16"/>
        <v>1</v>
      </c>
      <c r="AH277" t="str">
        <f t="shared" si="17"/>
        <v/>
      </c>
      <c r="AI277" t="str">
        <f>IF(AH277="","",MAX($AF$1:$AF277))</f>
        <v/>
      </c>
      <c r="AJ277" t="str">
        <f t="shared" si="18"/>
        <v>PHY</v>
      </c>
      <c r="AK277">
        <f>IF(AJ277="","",MAX($AF$1:$AF277))</f>
        <v>5</v>
      </c>
      <c r="AL277" t="str">
        <f t="shared" si="19"/>
        <v/>
      </c>
      <c r="AM277" t="str">
        <f>IF(AL277="","",MAX($AF$1:$AF277))</f>
        <v/>
      </c>
    </row>
    <row r="278" spans="1:39" ht="13.5" customHeight="1" x14ac:dyDescent="0.3">
      <c r="A278" s="8" t="s">
        <v>18</v>
      </c>
      <c r="B278" s="9"/>
      <c r="C278" s="10">
        <v>5</v>
      </c>
      <c r="D278" s="11"/>
      <c r="AB278" t="str" cm="1">
        <f t="array" ref="AB278:AC278">_xlfn._xlws.FILTER(A278:Z278,A278:Z278&lt;&gt;"","")</f>
        <v>Technology and Living (Fashion, Clothing and Textiles)</v>
      </c>
      <c r="AC278">
        <v>5</v>
      </c>
      <c r="AD278" t="str">
        <v/>
      </c>
      <c r="AE278" t="str">
        <v/>
      </c>
      <c r="AF278" t="str" cm="1">
        <f t="array" ref="AF278">IF(AD278="","",SUMPRODUCT(IF(LEFT($AD$1:AD278,2)="JS",1,0)))</f>
        <v/>
      </c>
      <c r="AG278" t="str">
        <f t="shared" si="16"/>
        <v/>
      </c>
      <c r="AH278" t="str">
        <f t="shared" si="17"/>
        <v/>
      </c>
      <c r="AI278" t="str">
        <f>IF(AH278="","",MAX($AF$1:$AF278))</f>
        <v/>
      </c>
      <c r="AJ278" t="str">
        <f t="shared" si="18"/>
        <v/>
      </c>
      <c r="AK278" t="str">
        <f>IF(AJ278="","",MAX($AF$1:$AF278))</f>
        <v/>
      </c>
      <c r="AL278" t="str">
        <f t="shared" si="19"/>
        <v/>
      </c>
      <c r="AM278" t="str">
        <f>IF(AL278="","",MAX($AF$1:$AF278))</f>
        <v/>
      </c>
    </row>
    <row r="279" spans="1:39" ht="13.5" customHeight="1" x14ac:dyDescent="0.3">
      <c r="A279" s="8" t="s">
        <v>19</v>
      </c>
      <c r="B279" s="9"/>
      <c r="C279" s="10">
        <v>5</v>
      </c>
      <c r="D279" s="11"/>
      <c r="AB279" t="str" cm="1">
        <f t="array" ref="AB279:AC279">_xlfn._xlws.FILTER(A279:Z279,A279:Z279&lt;&gt;"","")</f>
        <v>Technology and Living (Food Science and Technology)</v>
      </c>
      <c r="AC279">
        <v>5</v>
      </c>
      <c r="AD279" t="str">
        <v/>
      </c>
      <c r="AE279" t="str">
        <v/>
      </c>
      <c r="AF279" t="str" cm="1">
        <f t="array" ref="AF279">IF(AD279="","",SUMPRODUCT(IF(LEFT($AD$1:AD279,2)="JS",1,0)))</f>
        <v/>
      </c>
      <c r="AG279" t="str">
        <f t="shared" si="16"/>
        <v/>
      </c>
      <c r="AH279" t="str">
        <f t="shared" si="17"/>
        <v/>
      </c>
      <c r="AI279" t="str">
        <f>IF(AH279="","",MAX($AF$1:$AF279))</f>
        <v/>
      </c>
      <c r="AJ279" t="str">
        <f t="shared" si="18"/>
        <v/>
      </c>
      <c r="AK279" t="str">
        <f>IF(AJ279="","",MAX($AF$1:$AF279))</f>
        <v/>
      </c>
      <c r="AL279" t="str">
        <f t="shared" si="19"/>
        <v/>
      </c>
      <c r="AM279" t="str">
        <f>IF(AL279="","",MAX($AF$1:$AF279))</f>
        <v/>
      </c>
    </row>
    <row r="280" spans="1:39" ht="13.5" customHeight="1" x14ac:dyDescent="0.3">
      <c r="A280" s="8" t="s">
        <v>20</v>
      </c>
      <c r="B280" s="9"/>
      <c r="C280" s="10">
        <v>5</v>
      </c>
      <c r="D280" s="11"/>
      <c r="AB280" t="str" cm="1">
        <f t="array" ref="AB280:AC280">_xlfn._xlws.FILTER(A280:Z280,A280:Z280&lt;&gt;"","")</f>
        <v>Tourism and Hospitality Studies</v>
      </c>
      <c r="AC280">
        <v>5</v>
      </c>
      <c r="AD280" t="str">
        <v/>
      </c>
      <c r="AE280" t="str">
        <v/>
      </c>
      <c r="AF280" t="str" cm="1">
        <f t="array" ref="AF280">IF(AD280="","",SUMPRODUCT(IF(LEFT($AD$1:AD280,2)="JS",1,0)))</f>
        <v/>
      </c>
      <c r="AG280" t="str">
        <f t="shared" si="16"/>
        <v/>
      </c>
      <c r="AH280" t="str">
        <f t="shared" si="17"/>
        <v/>
      </c>
      <c r="AI280" t="str">
        <f>IF(AH280="","",MAX($AF$1:$AF280))</f>
        <v/>
      </c>
      <c r="AJ280" t="str">
        <f t="shared" si="18"/>
        <v/>
      </c>
      <c r="AK280" t="str">
        <f>IF(AJ280="","",MAX($AF$1:$AF280))</f>
        <v/>
      </c>
      <c r="AL280" t="str">
        <f t="shared" si="19"/>
        <v/>
      </c>
      <c r="AM280" t="str">
        <f>IF(AL280="","",MAX($AF$1:$AF280))</f>
        <v/>
      </c>
    </row>
    <row r="281" spans="1:39" ht="13.5" customHeight="1" x14ac:dyDescent="0.3">
      <c r="A281" s="8" t="s">
        <v>210</v>
      </c>
      <c r="B281" s="9"/>
      <c r="C281" s="10">
        <v>5</v>
      </c>
      <c r="D281" s="11"/>
      <c r="AB281" t="str" cm="1">
        <f t="array" ref="AB281:AC281">_xlfn._xlws.FILTER(A281:Z281,A281:Z281&lt;&gt;"","")</f>
        <v>VA</v>
      </c>
      <c r="AC281">
        <v>5</v>
      </c>
      <c r="AD281" t="str">
        <v/>
      </c>
      <c r="AE281" t="str">
        <v/>
      </c>
      <c r="AF281" t="str" cm="1">
        <f t="array" ref="AF281">IF(AD281="","",SUMPRODUCT(IF(LEFT($AD$1:AD281,2)="JS",1,0)))</f>
        <v/>
      </c>
      <c r="AG281" t="b">
        <f t="shared" si="16"/>
        <v>1</v>
      </c>
      <c r="AH281" t="str">
        <f t="shared" si="17"/>
        <v/>
      </c>
      <c r="AI281" t="str">
        <f>IF(AH281="","",MAX($AF$1:$AF281))</f>
        <v/>
      </c>
      <c r="AJ281" t="str">
        <f t="shared" si="18"/>
        <v/>
      </c>
      <c r="AK281" t="str">
        <f>IF(AJ281="","",MAX($AF$1:$AF281))</f>
        <v/>
      </c>
      <c r="AL281" t="str">
        <f t="shared" si="19"/>
        <v>VA</v>
      </c>
      <c r="AM281">
        <f>IF(AL281="","",MAX($AF$1:$AF281))</f>
        <v>5</v>
      </c>
    </row>
    <row r="282" spans="1:39" ht="14.5" customHeight="1" x14ac:dyDescent="0.3">
      <c r="A282" s="12"/>
      <c r="B282" s="12"/>
      <c r="C282" s="2"/>
      <c r="D282" s="2"/>
      <c r="AB282" t="str" cm="1">
        <f t="array" ref="AB282">_xlfn._xlws.FILTER(A282:Z282,A282:Z282&lt;&gt;"","")</f>
        <v/>
      </c>
      <c r="AD282" t="str">
        <v/>
      </c>
      <c r="AE282" t="str">
        <v/>
      </c>
      <c r="AF282" t="str" cm="1">
        <f t="array" ref="AF282">IF(AD282="","",SUMPRODUCT(IF(LEFT($AD$1:AD282,2)="JS",1,0)))</f>
        <v/>
      </c>
      <c r="AG282" t="str">
        <f t="shared" si="16"/>
        <v/>
      </c>
      <c r="AH282" t="str">
        <f t="shared" si="17"/>
        <v/>
      </c>
      <c r="AI282" t="str">
        <f>IF(AH282="","",MAX($AF$1:$AF282))</f>
        <v/>
      </c>
      <c r="AJ282" t="str">
        <f t="shared" si="18"/>
        <v/>
      </c>
      <c r="AK282" t="str">
        <f>IF(AJ282="","",MAX($AF$1:$AF282))</f>
        <v/>
      </c>
      <c r="AL282" t="str">
        <f t="shared" si="19"/>
        <v/>
      </c>
      <c r="AM282" t="str">
        <f>IF(AL282="","",MAX($AF$1:$AF282))</f>
        <v/>
      </c>
    </row>
    <row r="283" spans="1:39" ht="13.5" customHeight="1" x14ac:dyDescent="0.3">
      <c r="A283" s="13" t="s">
        <v>34</v>
      </c>
      <c r="B283" s="13"/>
      <c r="C283" s="13"/>
      <c r="D283" s="13"/>
      <c r="AB283" t="str" cm="1">
        <f t="array" ref="AB283">_xlfn._xlws.FILTER(A283:Z283,A283:Z283&lt;&gt;"","")</f>
        <v>Category C: Other Language Subjects</v>
      </c>
      <c r="AD283" t="str">
        <v/>
      </c>
      <c r="AE283" t="str">
        <v/>
      </c>
      <c r="AF283" t="str" cm="1">
        <f t="array" ref="AF283">IF(AD283="","",SUMPRODUCT(IF(LEFT($AD$1:AD283,2)="JS",1,0)))</f>
        <v/>
      </c>
      <c r="AG283" t="str">
        <f t="shared" si="16"/>
        <v/>
      </c>
      <c r="AH283" t="str">
        <f t="shared" si="17"/>
        <v/>
      </c>
      <c r="AI283" t="str">
        <f>IF(AH283="","",MAX($AF$1:$AF283))</f>
        <v/>
      </c>
      <c r="AJ283" t="str">
        <f t="shared" si="18"/>
        <v/>
      </c>
      <c r="AK283" t="str">
        <f>IF(AJ283="","",MAX($AF$1:$AF283))</f>
        <v/>
      </c>
      <c r="AL283" t="str">
        <f t="shared" si="19"/>
        <v/>
      </c>
      <c r="AM283" t="str">
        <f>IF(AL283="","",MAX($AF$1:$AF283))</f>
        <v/>
      </c>
    </row>
    <row r="284" spans="1:39" ht="13.5" customHeight="1" x14ac:dyDescent="0.3">
      <c r="A284" s="14" t="s">
        <v>3</v>
      </c>
      <c r="B284" s="15"/>
      <c r="C284" s="16" t="s">
        <v>4</v>
      </c>
      <c r="D284" s="17"/>
      <c r="AB284" t="str" cm="1">
        <f t="array" ref="AB284:AC284">_xlfn._xlws.FILTER(A284:Z284,A284:Z284&lt;&gt;"","")</f>
        <v>Subject Name</v>
      </c>
      <c r="AC284" t="str">
        <v>Subject Weighting for 2023/24 Admission Exercise *</v>
      </c>
      <c r="AD284" t="str">
        <v/>
      </c>
      <c r="AE284" t="str">
        <v/>
      </c>
      <c r="AF284" t="str" cm="1">
        <f t="array" ref="AF284">IF(AD284="","",SUMPRODUCT(IF(LEFT($AD$1:AD284,2)="JS",1,0)))</f>
        <v/>
      </c>
      <c r="AG284" t="str">
        <f t="shared" si="16"/>
        <v/>
      </c>
      <c r="AH284" t="str">
        <f t="shared" si="17"/>
        <v/>
      </c>
      <c r="AI284" t="str">
        <f>IF(AH284="","",MAX($AF$1:$AF284))</f>
        <v/>
      </c>
      <c r="AJ284" t="str">
        <f t="shared" si="18"/>
        <v/>
      </c>
      <c r="AK284" t="str">
        <f>IF(AJ284="","",MAX($AF$1:$AF284))</f>
        <v/>
      </c>
      <c r="AL284" t="str">
        <f t="shared" si="19"/>
        <v/>
      </c>
      <c r="AM284" t="str">
        <f>IF(AL284="","",MAX($AF$1:$AF284))</f>
        <v/>
      </c>
    </row>
    <row r="285" spans="1:39" ht="13.5" customHeight="1" x14ac:dyDescent="0.3">
      <c r="A285" s="8" t="s">
        <v>35</v>
      </c>
      <c r="B285" s="9"/>
      <c r="C285" s="10">
        <v>5</v>
      </c>
      <c r="D285" s="11"/>
      <c r="AB285" t="str" cm="1">
        <f t="array" ref="AB285:AC285">_xlfn._xlws.FILTER(A285:Z285,A285:Z285&lt;&gt;"","")</f>
        <v>French</v>
      </c>
      <c r="AC285">
        <v>5</v>
      </c>
      <c r="AD285" t="str">
        <v/>
      </c>
      <c r="AE285" t="str">
        <v/>
      </c>
      <c r="AF285" t="str" cm="1">
        <f t="array" ref="AF285">IF(AD285="","",SUMPRODUCT(IF(LEFT($AD$1:AD285,2)="JS",1,0)))</f>
        <v/>
      </c>
      <c r="AG285" t="str">
        <f t="shared" si="16"/>
        <v/>
      </c>
      <c r="AH285" t="str">
        <f t="shared" si="17"/>
        <v/>
      </c>
      <c r="AI285" t="str">
        <f>IF(AH285="","",MAX($AF$1:$AF285))</f>
        <v/>
      </c>
      <c r="AJ285" t="str">
        <f t="shared" si="18"/>
        <v/>
      </c>
      <c r="AK285" t="str">
        <f>IF(AJ285="","",MAX($AF$1:$AF285))</f>
        <v/>
      </c>
      <c r="AL285" t="str">
        <f t="shared" si="19"/>
        <v/>
      </c>
      <c r="AM285" t="str">
        <f>IF(AL285="","",MAX($AF$1:$AF285))</f>
        <v/>
      </c>
    </row>
    <row r="286" spans="1:39" ht="13.5" customHeight="1" x14ac:dyDescent="0.3">
      <c r="A286" s="8" t="s">
        <v>36</v>
      </c>
      <c r="B286" s="9"/>
      <c r="C286" s="10">
        <v>5</v>
      </c>
      <c r="D286" s="11"/>
      <c r="AB286" t="str" cm="1">
        <f t="array" ref="AB286:AC286">_xlfn._xlws.FILTER(A286:Z286,A286:Z286&lt;&gt;"","")</f>
        <v>German</v>
      </c>
      <c r="AC286">
        <v>5</v>
      </c>
      <c r="AD286" t="str">
        <v/>
      </c>
      <c r="AE286" t="str">
        <v/>
      </c>
      <c r="AF286" t="str" cm="1">
        <f t="array" ref="AF286">IF(AD286="","",SUMPRODUCT(IF(LEFT($AD$1:AD286,2)="JS",1,0)))</f>
        <v/>
      </c>
      <c r="AG286" t="str">
        <f t="shared" si="16"/>
        <v/>
      </c>
      <c r="AH286" t="str">
        <f t="shared" si="17"/>
        <v/>
      </c>
      <c r="AI286" t="str">
        <f>IF(AH286="","",MAX($AF$1:$AF286))</f>
        <v/>
      </c>
      <c r="AJ286" t="str">
        <f t="shared" si="18"/>
        <v/>
      </c>
      <c r="AK286" t="str">
        <f>IF(AJ286="","",MAX($AF$1:$AF286))</f>
        <v/>
      </c>
      <c r="AL286" t="str">
        <f t="shared" si="19"/>
        <v/>
      </c>
      <c r="AM286" t="str">
        <f>IF(AL286="","",MAX($AF$1:$AF286))</f>
        <v/>
      </c>
    </row>
    <row r="287" spans="1:39" ht="13.5" customHeight="1" x14ac:dyDescent="0.3">
      <c r="A287" s="8" t="s">
        <v>37</v>
      </c>
      <c r="B287" s="9"/>
      <c r="C287" s="10">
        <v>5</v>
      </c>
      <c r="D287" s="11"/>
      <c r="AB287" t="str" cm="1">
        <f t="array" ref="AB287:AC287">_xlfn._xlws.FILTER(A287:Z287,A287:Z287&lt;&gt;"","")</f>
        <v>Hindi</v>
      </c>
      <c r="AC287">
        <v>5</v>
      </c>
      <c r="AD287" t="str">
        <v/>
      </c>
      <c r="AE287" t="str">
        <v/>
      </c>
      <c r="AF287" t="str" cm="1">
        <f t="array" ref="AF287">IF(AD287="","",SUMPRODUCT(IF(LEFT($AD$1:AD287,2)="JS",1,0)))</f>
        <v/>
      </c>
      <c r="AG287" t="str">
        <f t="shared" si="16"/>
        <v/>
      </c>
      <c r="AH287" t="str">
        <f t="shared" si="17"/>
        <v/>
      </c>
      <c r="AI287" t="str">
        <f>IF(AH287="","",MAX($AF$1:$AF287))</f>
        <v/>
      </c>
      <c r="AJ287" t="str">
        <f t="shared" si="18"/>
        <v/>
      </c>
      <c r="AK287" t="str">
        <f>IF(AJ287="","",MAX($AF$1:$AF287))</f>
        <v/>
      </c>
      <c r="AL287" t="str">
        <f t="shared" si="19"/>
        <v/>
      </c>
      <c r="AM287" t="str">
        <f>IF(AL287="","",MAX($AF$1:$AF287))</f>
        <v/>
      </c>
    </row>
    <row r="288" spans="1:39" ht="13.5" customHeight="1" x14ac:dyDescent="0.3">
      <c r="A288" s="8" t="s">
        <v>38</v>
      </c>
      <c r="B288" s="9"/>
      <c r="C288" s="10">
        <v>5</v>
      </c>
      <c r="D288" s="11"/>
      <c r="AB288" t="str" cm="1">
        <f t="array" ref="AB288:AC288">_xlfn._xlws.FILTER(A288:Z288,A288:Z288&lt;&gt;"","")</f>
        <v>Japanese</v>
      </c>
      <c r="AC288">
        <v>5</v>
      </c>
      <c r="AD288" t="str">
        <v/>
      </c>
      <c r="AE288" t="str">
        <v/>
      </c>
      <c r="AF288" t="str" cm="1">
        <f t="array" ref="AF288">IF(AD288="","",SUMPRODUCT(IF(LEFT($AD$1:AD288,2)="JS",1,0)))</f>
        <v/>
      </c>
      <c r="AG288" t="str">
        <f t="shared" si="16"/>
        <v/>
      </c>
      <c r="AH288" t="str">
        <f t="shared" si="17"/>
        <v/>
      </c>
      <c r="AI288" t="str">
        <f>IF(AH288="","",MAX($AF$1:$AF288))</f>
        <v/>
      </c>
      <c r="AJ288" t="str">
        <f t="shared" si="18"/>
        <v/>
      </c>
      <c r="AK288" t="str">
        <f>IF(AJ288="","",MAX($AF$1:$AF288))</f>
        <v/>
      </c>
      <c r="AL288" t="str">
        <f t="shared" si="19"/>
        <v/>
      </c>
      <c r="AM288" t="str">
        <f>IF(AL288="","",MAX($AF$1:$AF288))</f>
        <v/>
      </c>
    </row>
    <row r="289" spans="1:39" ht="13.5" customHeight="1" x14ac:dyDescent="0.3">
      <c r="A289" s="8" t="s">
        <v>39</v>
      </c>
      <c r="B289" s="9"/>
      <c r="C289" s="10">
        <v>5</v>
      </c>
      <c r="D289" s="11"/>
      <c r="AB289" t="str" cm="1">
        <f t="array" ref="AB289:AC289">_xlfn._xlws.FILTER(A289:Z289,A289:Z289&lt;&gt;"","")</f>
        <v>Spanish</v>
      </c>
      <c r="AC289">
        <v>5</v>
      </c>
      <c r="AD289" t="str">
        <v/>
      </c>
      <c r="AE289" t="str">
        <v/>
      </c>
      <c r="AF289" t="str" cm="1">
        <f t="array" ref="AF289">IF(AD289="","",SUMPRODUCT(IF(LEFT($AD$1:AD289,2)="JS",1,0)))</f>
        <v/>
      </c>
      <c r="AG289" t="str">
        <f t="shared" si="16"/>
        <v/>
      </c>
      <c r="AH289" t="str">
        <f t="shared" si="17"/>
        <v/>
      </c>
      <c r="AI289" t="str">
        <f>IF(AH289="","",MAX($AF$1:$AF289))</f>
        <v/>
      </c>
      <c r="AJ289" t="str">
        <f t="shared" si="18"/>
        <v/>
      </c>
      <c r="AK289" t="str">
        <f>IF(AJ289="","",MAX($AF$1:$AF289))</f>
        <v/>
      </c>
      <c r="AL289" t="str">
        <f t="shared" si="19"/>
        <v/>
      </c>
      <c r="AM289" t="str">
        <f>IF(AL289="","",MAX($AF$1:$AF289))</f>
        <v/>
      </c>
    </row>
    <row r="290" spans="1:39" ht="13.5" customHeight="1" x14ac:dyDescent="0.3">
      <c r="A290" s="8" t="s">
        <v>40</v>
      </c>
      <c r="B290" s="9"/>
      <c r="C290" s="10">
        <v>5</v>
      </c>
      <c r="D290" s="11"/>
      <c r="AB290" t="str" cm="1">
        <f t="array" ref="AB290:AC290">_xlfn._xlws.FILTER(A290:Z290,A290:Z290&lt;&gt;"","")</f>
        <v>Urdu</v>
      </c>
      <c r="AC290">
        <v>5</v>
      </c>
      <c r="AD290" t="str">
        <v/>
      </c>
      <c r="AE290" t="str">
        <v/>
      </c>
      <c r="AF290" t="str" cm="1">
        <f t="array" ref="AF290">IF(AD290="","",SUMPRODUCT(IF(LEFT($AD$1:AD290,2)="JS",1,0)))</f>
        <v/>
      </c>
      <c r="AG290" t="str">
        <f t="shared" si="16"/>
        <v/>
      </c>
      <c r="AH290" t="str">
        <f t="shared" si="17"/>
        <v/>
      </c>
      <c r="AI290" t="str">
        <f>IF(AH290="","",MAX($AF$1:$AF290))</f>
        <v/>
      </c>
      <c r="AJ290" t="str">
        <f t="shared" si="18"/>
        <v/>
      </c>
      <c r="AK290" t="str">
        <f>IF(AJ290="","",MAX($AF$1:$AF290))</f>
        <v/>
      </c>
      <c r="AL290" t="str">
        <f t="shared" si="19"/>
        <v/>
      </c>
      <c r="AM290" t="str">
        <f>IF(AL290="","",MAX($AF$1:$AF290))</f>
        <v/>
      </c>
    </row>
    <row r="291" spans="1:39" ht="15" customHeight="1" x14ac:dyDescent="0.3">
      <c r="A291" s="18" t="s">
        <v>88</v>
      </c>
      <c r="B291" s="18"/>
      <c r="C291" s="18"/>
      <c r="D291" s="1"/>
      <c r="AB291" t="str" cm="1">
        <f t="array" ref="AB291">_xlfn._xlws.FILTER(A291:Z291,A291:Z291&lt;&gt;"","")</f>
        <v>JUPAS Code: JS3080</v>
      </c>
      <c r="AD291" t="str">
        <v>JS3080</v>
      </c>
      <c r="AE291" t="str">
        <v/>
      </c>
      <c r="AF291" cm="1">
        <f t="array" ref="AF291">IF(AD291="","",SUMPRODUCT(IF(LEFT($AD$1:AD291,2)="JS",1,0)))</f>
        <v>6</v>
      </c>
      <c r="AG291" t="str">
        <f t="shared" si="16"/>
        <v/>
      </c>
      <c r="AH291" t="str">
        <f t="shared" si="17"/>
        <v/>
      </c>
      <c r="AI291" t="str">
        <f>IF(AH291="","",MAX($AF$1:$AF291))</f>
        <v/>
      </c>
      <c r="AJ291" t="str">
        <f t="shared" si="18"/>
        <v/>
      </c>
      <c r="AK291" t="str">
        <f>IF(AJ291="","",MAX($AF$1:$AF291))</f>
        <v/>
      </c>
      <c r="AL291" t="str">
        <f t="shared" si="19"/>
        <v/>
      </c>
      <c r="AM291" t="str">
        <f>IF(AL291="","",MAX($AF$1:$AF291))</f>
        <v/>
      </c>
    </row>
    <row r="292" spans="1:39" ht="13.5" customHeight="1" x14ac:dyDescent="0.3">
      <c r="A292" s="18" t="s">
        <v>89</v>
      </c>
      <c r="B292" s="18"/>
      <c r="C292" s="18"/>
      <c r="D292" s="1"/>
      <c r="AB292" t="str" cm="1">
        <f t="array" ref="AB292">_xlfn._xlws.FILTER(A292:Z292,A292:Z292&lt;&gt;"","")</f>
        <v>Programme Title: BBA (Hons) Scheme in Management and Marketing</v>
      </c>
      <c r="AD292" t="str">
        <v/>
      </c>
      <c r="AE292" t="str">
        <v>BBA (Hons) Scheme in Management and Marketing</v>
      </c>
      <c r="AF292" t="str" cm="1">
        <f t="array" ref="AF292">IF(AD292="","",SUMPRODUCT(IF(LEFT($AD$1:AD292,2)="JS",1,0)))</f>
        <v/>
      </c>
      <c r="AG292" t="str">
        <f t="shared" si="16"/>
        <v/>
      </c>
      <c r="AH292" t="str">
        <f t="shared" si="17"/>
        <v/>
      </c>
      <c r="AI292" t="str">
        <f>IF(AH292="","",MAX($AF$1:$AF292))</f>
        <v/>
      </c>
      <c r="AJ292" t="str">
        <f t="shared" si="18"/>
        <v/>
      </c>
      <c r="AK292" t="str">
        <f>IF(AJ292="","",MAX($AF$1:$AF292))</f>
        <v/>
      </c>
      <c r="AL292" t="str">
        <f t="shared" si="19"/>
        <v/>
      </c>
      <c r="AM292" t="str">
        <f>IF(AL292="","",MAX($AF$1:$AF292))</f>
        <v/>
      </c>
    </row>
    <row r="293" spans="1:39" ht="14.5" customHeight="1" x14ac:dyDescent="0.3">
      <c r="A293" s="12"/>
      <c r="B293" s="12"/>
      <c r="C293" s="2"/>
      <c r="D293" s="2"/>
      <c r="AB293" t="str" cm="1">
        <f t="array" ref="AB293">_xlfn._xlws.FILTER(A293:Z293,A293:Z293&lt;&gt;"","")</f>
        <v/>
      </c>
      <c r="AD293" t="str">
        <v/>
      </c>
      <c r="AE293" t="str">
        <v/>
      </c>
      <c r="AF293" t="str" cm="1">
        <f t="array" ref="AF293">IF(AD293="","",SUMPRODUCT(IF(LEFT($AD$1:AD293,2)="JS",1,0)))</f>
        <v/>
      </c>
      <c r="AG293" t="str">
        <f t="shared" si="16"/>
        <v/>
      </c>
      <c r="AH293" t="str">
        <f t="shared" si="17"/>
        <v/>
      </c>
      <c r="AI293" t="str">
        <f>IF(AH293="","",MAX($AF$1:$AF293))</f>
        <v/>
      </c>
      <c r="AJ293" t="str">
        <f t="shared" si="18"/>
        <v/>
      </c>
      <c r="AK293" t="str">
        <f>IF(AJ293="","",MAX($AF$1:$AF293))</f>
        <v/>
      </c>
      <c r="AL293" t="str">
        <f t="shared" si="19"/>
        <v/>
      </c>
      <c r="AM293" t="str">
        <f>IF(AL293="","",MAX($AF$1:$AF293))</f>
        <v/>
      </c>
    </row>
    <row r="294" spans="1:39" ht="13.5" customHeight="1" x14ac:dyDescent="0.3">
      <c r="A294" s="13" t="s">
        <v>2</v>
      </c>
      <c r="B294" s="13"/>
      <c r="C294" s="13"/>
      <c r="D294" s="13"/>
      <c r="AB294" t="str" cm="1">
        <f t="array" ref="AB294">_xlfn._xlws.FILTER(A294:Z294,A294:Z294&lt;&gt;"","")</f>
        <v>Category A: Core and Elective Subjects</v>
      </c>
      <c r="AD294" t="str">
        <v/>
      </c>
      <c r="AE294" t="str">
        <v/>
      </c>
      <c r="AF294" t="str" cm="1">
        <f t="array" ref="AF294">IF(AD294="","",SUMPRODUCT(IF(LEFT($AD$1:AD294,2)="JS",1,0)))</f>
        <v/>
      </c>
      <c r="AG294" t="str">
        <f t="shared" si="16"/>
        <v/>
      </c>
      <c r="AH294" t="str">
        <f t="shared" si="17"/>
        <v/>
      </c>
      <c r="AI294" t="str">
        <f>IF(AH294="","",MAX($AF$1:$AF294))</f>
        <v/>
      </c>
      <c r="AJ294" t="str">
        <f t="shared" si="18"/>
        <v/>
      </c>
      <c r="AK294" t="str">
        <f>IF(AJ294="","",MAX($AF$1:$AF294))</f>
        <v/>
      </c>
      <c r="AL294" t="str">
        <f t="shared" si="19"/>
        <v/>
      </c>
      <c r="AM294" t="str">
        <f>IF(AL294="","",MAX($AF$1:$AF294))</f>
        <v/>
      </c>
    </row>
    <row r="295" spans="1:39" ht="13.5" customHeight="1" x14ac:dyDescent="0.3">
      <c r="A295" s="14" t="s">
        <v>3</v>
      </c>
      <c r="B295" s="15"/>
      <c r="C295" s="16" t="s">
        <v>4</v>
      </c>
      <c r="D295" s="17"/>
      <c r="AB295" t="str" cm="1">
        <f t="array" ref="AB295:AC295">_xlfn._xlws.FILTER(A295:Z295,A295:Z295&lt;&gt;"","")</f>
        <v>Subject Name</v>
      </c>
      <c r="AC295" t="str">
        <v>Subject Weighting for 2023/24 Admission Exercise *</v>
      </c>
      <c r="AD295" t="str">
        <v/>
      </c>
      <c r="AE295" t="str">
        <v/>
      </c>
      <c r="AF295" t="str" cm="1">
        <f t="array" ref="AF295">IF(AD295="","",SUMPRODUCT(IF(LEFT($AD$1:AD295,2)="JS",1,0)))</f>
        <v/>
      </c>
      <c r="AG295" t="str">
        <f t="shared" si="16"/>
        <v/>
      </c>
      <c r="AH295" t="str">
        <f t="shared" si="17"/>
        <v/>
      </c>
      <c r="AI295" t="str">
        <f>IF(AH295="","",MAX($AF$1:$AF295))</f>
        <v/>
      </c>
      <c r="AJ295" t="str">
        <f t="shared" si="18"/>
        <v/>
      </c>
      <c r="AK295" t="str">
        <f>IF(AJ295="","",MAX($AF$1:$AF295))</f>
        <v/>
      </c>
      <c r="AL295" t="str">
        <f t="shared" si="19"/>
        <v/>
      </c>
      <c r="AM295" t="str">
        <f>IF(AL295="","",MAX($AF$1:$AF295))</f>
        <v/>
      </c>
    </row>
    <row r="296" spans="1:39" ht="13.5" customHeight="1" x14ac:dyDescent="0.3">
      <c r="A296" s="8" t="s">
        <v>211</v>
      </c>
      <c r="B296" s="9"/>
      <c r="C296" s="10">
        <v>7</v>
      </c>
      <c r="D296" s="11"/>
      <c r="AB296" t="str" cm="1">
        <f t="array" ref="AB296:AC296">_xlfn._xlws.FILTER(A296:Z296,A296:Z296&lt;&gt;"","")</f>
        <v>BIO</v>
      </c>
      <c r="AC296">
        <v>7</v>
      </c>
      <c r="AD296" t="str">
        <v/>
      </c>
      <c r="AE296" t="str">
        <v/>
      </c>
      <c r="AF296" t="str" cm="1">
        <f t="array" ref="AF296">IF(AD296="","",SUMPRODUCT(IF(LEFT($AD$1:AD296,2)="JS",1,0)))</f>
        <v/>
      </c>
      <c r="AG296" t="b">
        <f t="shared" si="16"/>
        <v>1</v>
      </c>
      <c r="AH296" t="str">
        <f t="shared" si="17"/>
        <v/>
      </c>
      <c r="AI296" t="str">
        <f>IF(AH296="","",MAX($AF$1:$AF296))</f>
        <v/>
      </c>
      <c r="AJ296" t="str">
        <f t="shared" si="18"/>
        <v>BIO</v>
      </c>
      <c r="AK296">
        <f>IF(AJ296="","",MAX($AF$1:$AF296))</f>
        <v>6</v>
      </c>
      <c r="AL296" t="str">
        <f t="shared" si="19"/>
        <v/>
      </c>
      <c r="AM296" t="str">
        <f>IF(AL296="","",MAX($AF$1:$AF296))</f>
        <v/>
      </c>
    </row>
    <row r="297" spans="1:39" ht="13.5" customHeight="1" x14ac:dyDescent="0.3">
      <c r="A297" s="8" t="s">
        <v>213</v>
      </c>
      <c r="B297" s="9"/>
      <c r="C297" s="10">
        <v>7</v>
      </c>
      <c r="D297" s="11"/>
      <c r="AB297" t="str" cm="1">
        <f t="array" ref="AB297:AC297">_xlfn._xlws.FILTER(A297:Z297,A297:Z297&lt;&gt;"","")</f>
        <v>BAFS</v>
      </c>
      <c r="AC297">
        <v>7</v>
      </c>
      <c r="AD297" t="str">
        <v/>
      </c>
      <c r="AE297" t="str">
        <v/>
      </c>
      <c r="AF297" t="str" cm="1">
        <f t="array" ref="AF297">IF(AD297="","",SUMPRODUCT(IF(LEFT($AD$1:AD297,2)="JS",1,0)))</f>
        <v/>
      </c>
      <c r="AG297" t="b">
        <f t="shared" si="16"/>
        <v>1</v>
      </c>
      <c r="AH297" t="str">
        <f t="shared" si="17"/>
        <v/>
      </c>
      <c r="AI297" t="str">
        <f>IF(AH297="","",MAX($AF$1:$AF297))</f>
        <v/>
      </c>
      <c r="AJ297" t="str">
        <f t="shared" si="18"/>
        <v>BAFS</v>
      </c>
      <c r="AK297">
        <f>IF(AJ297="","",MAX($AF$1:$AF297))</f>
        <v>6</v>
      </c>
      <c r="AL297" t="str">
        <f t="shared" si="19"/>
        <v/>
      </c>
      <c r="AM297" t="str">
        <f>IF(AL297="","",MAX($AF$1:$AF297))</f>
        <v/>
      </c>
    </row>
    <row r="298" spans="1:39" ht="13.5" customHeight="1" x14ac:dyDescent="0.3">
      <c r="A298" s="8" t="s">
        <v>5</v>
      </c>
      <c r="B298" s="9"/>
      <c r="C298" s="10">
        <v>7</v>
      </c>
      <c r="D298" s="11"/>
      <c r="AB298" t="str" cm="1">
        <f t="array" ref="AB298:AC298">_xlfn._xlws.FILTER(A298:Z298,A298:Z298&lt;&gt;"","")</f>
        <v>Business, Accounting and Financial Studies (Accounting)</v>
      </c>
      <c r="AC298">
        <v>7</v>
      </c>
      <c r="AD298" t="str">
        <v/>
      </c>
      <c r="AE298" t="str">
        <v/>
      </c>
      <c r="AF298" t="str" cm="1">
        <f t="array" ref="AF298">IF(AD298="","",SUMPRODUCT(IF(LEFT($AD$1:AD298,2)="JS",1,0)))</f>
        <v/>
      </c>
      <c r="AG298" t="str">
        <f t="shared" si="16"/>
        <v/>
      </c>
      <c r="AH298" t="str">
        <f t="shared" si="17"/>
        <v/>
      </c>
      <c r="AI298" t="str">
        <f>IF(AH298="","",MAX($AF$1:$AF298))</f>
        <v/>
      </c>
      <c r="AJ298" t="str">
        <f t="shared" si="18"/>
        <v/>
      </c>
      <c r="AK298" t="str">
        <f>IF(AJ298="","",MAX($AF$1:$AF298))</f>
        <v/>
      </c>
      <c r="AL298" t="str">
        <f t="shared" si="19"/>
        <v/>
      </c>
      <c r="AM298" t="str">
        <f>IF(AL298="","",MAX($AF$1:$AF298))</f>
        <v/>
      </c>
    </row>
    <row r="299" spans="1:39" ht="13.5" customHeight="1" x14ac:dyDescent="0.3">
      <c r="A299" s="8" t="s">
        <v>6</v>
      </c>
      <c r="B299" s="9"/>
      <c r="C299" s="10">
        <v>7</v>
      </c>
      <c r="D299" s="11"/>
      <c r="AB299" t="str" cm="1">
        <f t="array" ref="AB299:AC299">_xlfn._xlws.FILTER(A299:Z299,A299:Z299&lt;&gt;"","")</f>
        <v>Business, Accounting and Financial Studies (Business Management)</v>
      </c>
      <c r="AC299">
        <v>7</v>
      </c>
      <c r="AD299" t="str">
        <v/>
      </c>
      <c r="AE299" t="str">
        <v/>
      </c>
      <c r="AF299" t="str" cm="1">
        <f t="array" ref="AF299">IF(AD299="","",SUMPRODUCT(IF(LEFT($AD$1:AD299,2)="JS",1,0)))</f>
        <v/>
      </c>
      <c r="AG299" t="str">
        <f t="shared" si="16"/>
        <v/>
      </c>
      <c r="AH299" t="str">
        <f t="shared" si="17"/>
        <v/>
      </c>
      <c r="AI299" t="str">
        <f>IF(AH299="","",MAX($AF$1:$AF299))</f>
        <v/>
      </c>
      <c r="AJ299" t="str">
        <f t="shared" si="18"/>
        <v/>
      </c>
      <c r="AK299" t="str">
        <f>IF(AJ299="","",MAX($AF$1:$AF299))</f>
        <v/>
      </c>
      <c r="AL299" t="str">
        <f t="shared" si="19"/>
        <v/>
      </c>
      <c r="AM299" t="str">
        <f>IF(AL299="","",MAX($AF$1:$AF299))</f>
        <v/>
      </c>
    </row>
    <row r="300" spans="1:39" ht="13.5" customHeight="1" x14ac:dyDescent="0.3">
      <c r="A300" s="8" t="s">
        <v>212</v>
      </c>
      <c r="B300" s="9"/>
      <c r="C300" s="10">
        <v>7</v>
      </c>
      <c r="D300" s="11"/>
      <c r="AB300" t="str" cm="1">
        <f t="array" ref="AB300:AC300">_xlfn._xlws.FILTER(A300:Z300,A300:Z300&lt;&gt;"","")</f>
        <v>CHEM</v>
      </c>
      <c r="AC300">
        <v>7</v>
      </c>
      <c r="AD300" t="str">
        <v/>
      </c>
      <c r="AE300" t="str">
        <v/>
      </c>
      <c r="AF300" t="str" cm="1">
        <f t="array" ref="AF300">IF(AD300="","",SUMPRODUCT(IF(LEFT($AD$1:AD300,2)="JS",1,0)))</f>
        <v/>
      </c>
      <c r="AG300" t="b">
        <f t="shared" si="16"/>
        <v>1</v>
      </c>
      <c r="AH300" t="str">
        <f t="shared" si="17"/>
        <v/>
      </c>
      <c r="AI300" t="str">
        <f>IF(AH300="","",MAX($AF$1:$AF300))</f>
        <v/>
      </c>
      <c r="AJ300" t="str">
        <f t="shared" si="18"/>
        <v>CHEM</v>
      </c>
      <c r="AK300">
        <f>IF(AJ300="","",MAX($AF$1:$AF300))</f>
        <v>6</v>
      </c>
      <c r="AL300" t="str">
        <f t="shared" si="19"/>
        <v/>
      </c>
      <c r="AM300" t="str">
        <f>IF(AL300="","",MAX($AF$1:$AF300))</f>
        <v/>
      </c>
    </row>
    <row r="301" spans="1:39" ht="13.5" customHeight="1" x14ac:dyDescent="0.3">
      <c r="A301" s="8" t="s">
        <v>214</v>
      </c>
      <c r="B301" s="9"/>
      <c r="C301" s="10">
        <v>7</v>
      </c>
      <c r="D301" s="11"/>
      <c r="AB301" t="str" cm="1">
        <f t="array" ref="AB301:AC301">_xlfn._xlws.FILTER(A301:Z301,A301:Z301&lt;&gt;"","")</f>
        <v>中史</v>
      </c>
      <c r="AC301">
        <v>7</v>
      </c>
      <c r="AD301" t="str">
        <v/>
      </c>
      <c r="AE301" t="str">
        <v/>
      </c>
      <c r="AF301" t="str" cm="1">
        <f t="array" ref="AF301">IF(AD301="","",SUMPRODUCT(IF(LEFT($AD$1:AD301,2)="JS",1,0)))</f>
        <v/>
      </c>
      <c r="AG301" t="b">
        <f t="shared" si="16"/>
        <v>1</v>
      </c>
      <c r="AH301" t="str">
        <f t="shared" si="17"/>
        <v/>
      </c>
      <c r="AI301" t="str">
        <f>IF(AH301="","",MAX($AF$1:$AF301))</f>
        <v/>
      </c>
      <c r="AJ301" t="str">
        <f t="shared" si="18"/>
        <v>中史</v>
      </c>
      <c r="AK301">
        <f>IF(AJ301="","",MAX($AF$1:$AF301))</f>
        <v>6</v>
      </c>
      <c r="AL301" t="str">
        <f t="shared" si="19"/>
        <v/>
      </c>
      <c r="AM301" t="str">
        <f>IF(AL301="","",MAX($AF$1:$AF301))</f>
        <v/>
      </c>
    </row>
    <row r="302" spans="1:39" ht="13.5" customHeight="1" x14ac:dyDescent="0.3">
      <c r="A302" s="8" t="s">
        <v>216</v>
      </c>
      <c r="B302" s="9"/>
      <c r="C302" s="10">
        <v>7</v>
      </c>
      <c r="D302" s="11"/>
      <c r="AB302" t="str" cm="1">
        <f t="array" ref="AB302:AC302">_xlfn._xlws.FILTER(A302:Z302,A302:Z302&lt;&gt;"","")</f>
        <v>中文</v>
      </c>
      <c r="AC302">
        <v>7</v>
      </c>
      <c r="AD302" t="str">
        <v/>
      </c>
      <c r="AE302" t="str">
        <v/>
      </c>
      <c r="AF302" t="str" cm="1">
        <f t="array" ref="AF302">IF(AD302="","",SUMPRODUCT(IF(LEFT($AD$1:AD302,2)="JS",1,0)))</f>
        <v/>
      </c>
      <c r="AG302" t="b">
        <f t="shared" si="16"/>
        <v>1</v>
      </c>
      <c r="AH302" t="str">
        <f t="shared" si="17"/>
        <v/>
      </c>
      <c r="AI302" t="str">
        <f>IF(AH302="","",MAX($AF$1:$AF302))</f>
        <v/>
      </c>
      <c r="AJ302" t="str">
        <f t="shared" si="18"/>
        <v>中文</v>
      </c>
      <c r="AK302">
        <f>IF(AJ302="","",MAX($AF$1:$AF302))</f>
        <v>6</v>
      </c>
      <c r="AL302" t="str">
        <f t="shared" si="19"/>
        <v/>
      </c>
      <c r="AM302" t="str">
        <f>IF(AL302="","",MAX($AF$1:$AF302))</f>
        <v/>
      </c>
    </row>
    <row r="303" spans="1:39" ht="13.5" customHeight="1" x14ac:dyDescent="0.3">
      <c r="A303" s="8" t="s">
        <v>7</v>
      </c>
      <c r="B303" s="9"/>
      <c r="C303" s="10">
        <v>7</v>
      </c>
      <c r="D303" s="11"/>
      <c r="AB303" t="str" cm="1">
        <f t="array" ref="AB303:AC303">_xlfn._xlws.FILTER(A303:Z303,A303:Z303&lt;&gt;"","")</f>
        <v>Chinese Literature</v>
      </c>
      <c r="AC303">
        <v>7</v>
      </c>
      <c r="AD303" t="str">
        <v/>
      </c>
      <c r="AE303" t="str">
        <v/>
      </c>
      <c r="AF303" t="str" cm="1">
        <f t="array" ref="AF303">IF(AD303="","",SUMPRODUCT(IF(LEFT($AD$1:AD303,2)="JS",1,0)))</f>
        <v/>
      </c>
      <c r="AG303" t="str">
        <f t="shared" si="16"/>
        <v/>
      </c>
      <c r="AH303" t="str">
        <f t="shared" si="17"/>
        <v/>
      </c>
      <c r="AI303" t="str">
        <f>IF(AH303="","",MAX($AF$1:$AF303))</f>
        <v/>
      </c>
      <c r="AJ303" t="str">
        <f t="shared" si="18"/>
        <v/>
      </c>
      <c r="AK303" t="str">
        <f>IF(AJ303="","",MAX($AF$1:$AF303))</f>
        <v/>
      </c>
      <c r="AL303" t="str">
        <f t="shared" si="19"/>
        <v/>
      </c>
      <c r="AM303" t="str">
        <f>IF(AL303="","",MAX($AF$1:$AF303))</f>
        <v/>
      </c>
    </row>
    <row r="304" spans="1:39" ht="13.5" customHeight="1" x14ac:dyDescent="0.3">
      <c r="A304" s="8" t="s">
        <v>8</v>
      </c>
      <c r="B304" s="9"/>
      <c r="C304" s="10">
        <v>7</v>
      </c>
      <c r="D304" s="11"/>
      <c r="AB304" t="str" cm="1">
        <f t="array" ref="AB304:AC304">_xlfn._xlws.FILTER(A304:Z304,A304:Z304&lt;&gt;"","")</f>
        <v>Combined Science: Biology + Chemistry</v>
      </c>
      <c r="AC304">
        <v>7</v>
      </c>
      <c r="AD304" t="str">
        <v/>
      </c>
      <c r="AE304" t="str">
        <v/>
      </c>
      <c r="AF304" t="str" cm="1">
        <f t="array" ref="AF304">IF(AD304="","",SUMPRODUCT(IF(LEFT($AD$1:AD304,2)="JS",1,0)))</f>
        <v/>
      </c>
      <c r="AG304" t="str">
        <f t="shared" si="16"/>
        <v/>
      </c>
      <c r="AH304" t="str">
        <f t="shared" si="17"/>
        <v/>
      </c>
      <c r="AI304" t="str">
        <f>IF(AH304="","",MAX($AF$1:$AF304))</f>
        <v/>
      </c>
      <c r="AJ304" t="str">
        <f t="shared" si="18"/>
        <v/>
      </c>
      <c r="AK304" t="str">
        <f>IF(AJ304="","",MAX($AF$1:$AF304))</f>
        <v/>
      </c>
      <c r="AL304" t="str">
        <f t="shared" si="19"/>
        <v/>
      </c>
      <c r="AM304" t="str">
        <f>IF(AL304="","",MAX($AF$1:$AF304))</f>
        <v/>
      </c>
    </row>
    <row r="305" spans="1:39" ht="13.5" customHeight="1" x14ac:dyDescent="0.3">
      <c r="A305" s="8" t="s">
        <v>9</v>
      </c>
      <c r="B305" s="9"/>
      <c r="C305" s="10">
        <v>7</v>
      </c>
      <c r="D305" s="11"/>
      <c r="AB305" t="str" cm="1">
        <f t="array" ref="AB305:AC305">_xlfn._xlws.FILTER(A305:Z305,A305:Z305&lt;&gt;"","")</f>
        <v>Combined Science: Biology + Physics</v>
      </c>
      <c r="AC305">
        <v>7</v>
      </c>
      <c r="AD305" t="str">
        <v/>
      </c>
      <c r="AE305" t="str">
        <v/>
      </c>
      <c r="AF305" t="str" cm="1">
        <f t="array" ref="AF305">IF(AD305="","",SUMPRODUCT(IF(LEFT($AD$1:AD305,2)="JS",1,0)))</f>
        <v/>
      </c>
      <c r="AG305" t="str">
        <f t="shared" si="16"/>
        <v/>
      </c>
      <c r="AH305" t="str">
        <f t="shared" si="17"/>
        <v/>
      </c>
      <c r="AI305" t="str">
        <f>IF(AH305="","",MAX($AF$1:$AF305))</f>
        <v/>
      </c>
      <c r="AJ305" t="str">
        <f t="shared" si="18"/>
        <v/>
      </c>
      <c r="AK305" t="str">
        <f>IF(AJ305="","",MAX($AF$1:$AF305))</f>
        <v/>
      </c>
      <c r="AL305" t="str">
        <f t="shared" si="19"/>
        <v/>
      </c>
      <c r="AM305" t="str">
        <f>IF(AL305="","",MAX($AF$1:$AF305))</f>
        <v/>
      </c>
    </row>
    <row r="306" spans="1:39" ht="13.5" customHeight="1" x14ac:dyDescent="0.3">
      <c r="A306" s="8" t="s">
        <v>10</v>
      </c>
      <c r="B306" s="9"/>
      <c r="C306" s="10">
        <v>7</v>
      </c>
      <c r="D306" s="11"/>
      <c r="AB306" t="str" cm="1">
        <f t="array" ref="AB306:AC306">_xlfn._xlws.FILTER(A306:Z306,A306:Z306&lt;&gt;"","")</f>
        <v>Combined Science: Physics + Chemistry</v>
      </c>
      <c r="AC306">
        <v>7</v>
      </c>
      <c r="AD306" t="str">
        <v/>
      </c>
      <c r="AE306" t="str">
        <v/>
      </c>
      <c r="AF306" t="str" cm="1">
        <f t="array" ref="AF306">IF(AD306="","",SUMPRODUCT(IF(LEFT($AD$1:AD306,2)="JS",1,0)))</f>
        <v/>
      </c>
      <c r="AG306" t="str">
        <f t="shared" si="16"/>
        <v/>
      </c>
      <c r="AH306" t="str">
        <f t="shared" si="17"/>
        <v/>
      </c>
      <c r="AI306" t="str">
        <f>IF(AH306="","",MAX($AF$1:$AF306))</f>
        <v/>
      </c>
      <c r="AJ306" t="str">
        <f t="shared" si="18"/>
        <v/>
      </c>
      <c r="AK306" t="str">
        <f>IF(AJ306="","",MAX($AF$1:$AF306))</f>
        <v/>
      </c>
      <c r="AL306" t="str">
        <f t="shared" si="19"/>
        <v/>
      </c>
      <c r="AM306" t="str">
        <f>IF(AL306="","",MAX($AF$1:$AF306))</f>
        <v/>
      </c>
    </row>
    <row r="307" spans="1:39" ht="13.5" customHeight="1" x14ac:dyDescent="0.3">
      <c r="A307" s="8" t="s">
        <v>11</v>
      </c>
      <c r="B307" s="9"/>
      <c r="C307" s="10">
        <v>5</v>
      </c>
      <c r="D307" s="11"/>
      <c r="AB307" t="str" cm="1">
        <f t="array" ref="AB307:AC307">_xlfn._xlws.FILTER(A307:Z307,A307:Z307&lt;&gt;"","")</f>
        <v>Design and Applied Technology</v>
      </c>
      <c r="AC307">
        <v>5</v>
      </c>
      <c r="AD307" t="str">
        <v/>
      </c>
      <c r="AE307" t="str">
        <v/>
      </c>
      <c r="AF307" t="str" cm="1">
        <f t="array" ref="AF307">IF(AD307="","",SUMPRODUCT(IF(LEFT($AD$1:AD307,2)="JS",1,0)))</f>
        <v/>
      </c>
      <c r="AG307" t="str">
        <f t="shared" si="16"/>
        <v/>
      </c>
      <c r="AH307" t="str">
        <f t="shared" si="17"/>
        <v/>
      </c>
      <c r="AI307" t="str">
        <f>IF(AH307="","",MAX($AF$1:$AF307))</f>
        <v/>
      </c>
      <c r="AJ307" t="str">
        <f t="shared" si="18"/>
        <v/>
      </c>
      <c r="AK307" t="str">
        <f>IF(AJ307="","",MAX($AF$1:$AF307))</f>
        <v/>
      </c>
      <c r="AL307" t="str">
        <f t="shared" si="19"/>
        <v/>
      </c>
      <c r="AM307" t="str">
        <f>IF(AL307="","",MAX($AF$1:$AF307))</f>
        <v/>
      </c>
    </row>
    <row r="308" spans="1:39" ht="13.5" customHeight="1" x14ac:dyDescent="0.3">
      <c r="A308" s="8" t="s">
        <v>217</v>
      </c>
      <c r="B308" s="9"/>
      <c r="C308" s="10">
        <v>7</v>
      </c>
      <c r="D308" s="11"/>
      <c r="AB308" t="str" cm="1">
        <f t="array" ref="AB308:AC308">_xlfn._xlws.FILTER(A308:Z308,A308:Z308&lt;&gt;"","")</f>
        <v>ECON</v>
      </c>
      <c r="AC308">
        <v>7</v>
      </c>
      <c r="AD308" t="str">
        <v/>
      </c>
      <c r="AE308" t="str">
        <v/>
      </c>
      <c r="AF308" t="str" cm="1">
        <f t="array" ref="AF308">IF(AD308="","",SUMPRODUCT(IF(LEFT($AD$1:AD308,2)="JS",1,0)))</f>
        <v/>
      </c>
      <c r="AG308" t="b">
        <f t="shared" si="16"/>
        <v>1</v>
      </c>
      <c r="AH308" t="str">
        <f t="shared" si="17"/>
        <v/>
      </c>
      <c r="AI308" t="str">
        <f>IF(AH308="","",MAX($AF$1:$AF308))</f>
        <v/>
      </c>
      <c r="AJ308" t="str">
        <f t="shared" si="18"/>
        <v>ECON</v>
      </c>
      <c r="AK308">
        <f>IF(AJ308="","",MAX($AF$1:$AF308))</f>
        <v>6</v>
      </c>
      <c r="AL308" t="str">
        <f t="shared" si="19"/>
        <v/>
      </c>
      <c r="AM308" t="str">
        <f>IF(AL308="","",MAX($AF$1:$AF308))</f>
        <v/>
      </c>
    </row>
    <row r="309" spans="1:39" ht="13.5" customHeight="1" x14ac:dyDescent="0.3">
      <c r="A309" s="8" t="s">
        <v>218</v>
      </c>
      <c r="B309" s="9"/>
      <c r="C309" s="10">
        <v>10</v>
      </c>
      <c r="D309" s="11"/>
      <c r="AB309" t="str" cm="1">
        <f t="array" ref="AB309:AC309">_xlfn._xlws.FILTER(A309:Z309,A309:Z309&lt;&gt;"","")</f>
        <v>ENG</v>
      </c>
      <c r="AC309">
        <v>10</v>
      </c>
      <c r="AD309" t="str">
        <v/>
      </c>
      <c r="AE309" t="str">
        <v/>
      </c>
      <c r="AF309" t="str" cm="1">
        <f t="array" ref="AF309">IF(AD309="","",SUMPRODUCT(IF(LEFT($AD$1:AD309,2)="JS",1,0)))</f>
        <v/>
      </c>
      <c r="AG309" t="b">
        <f t="shared" si="16"/>
        <v>1</v>
      </c>
      <c r="AH309" t="str">
        <f t="shared" si="17"/>
        <v>ENG</v>
      </c>
      <c r="AI309">
        <f>IF(AH309="","",MAX($AF$1:$AF309))</f>
        <v>6</v>
      </c>
      <c r="AJ309" t="str">
        <f t="shared" si="18"/>
        <v/>
      </c>
      <c r="AK309" t="str">
        <f>IF(AJ309="","",MAX($AF$1:$AF309))</f>
        <v/>
      </c>
      <c r="AL309" t="str">
        <f t="shared" si="19"/>
        <v/>
      </c>
      <c r="AM309" t="str">
        <f>IF(AL309="","",MAX($AF$1:$AF309))</f>
        <v/>
      </c>
    </row>
    <row r="310" spans="1:39" ht="13.5" customHeight="1" x14ac:dyDescent="0.3">
      <c r="A310" s="8" t="s">
        <v>12</v>
      </c>
      <c r="B310" s="9"/>
      <c r="C310" s="10">
        <v>5</v>
      </c>
      <c r="D310" s="11"/>
      <c r="AB310" t="str" cm="1">
        <f t="array" ref="AB310:AC310">_xlfn._xlws.FILTER(A310:Z310,A310:Z310&lt;&gt;"","")</f>
        <v>Ethics and Religious Studies</v>
      </c>
      <c r="AC310">
        <v>5</v>
      </c>
      <c r="AD310" t="str">
        <v/>
      </c>
      <c r="AE310" t="str">
        <v/>
      </c>
      <c r="AF310" t="str" cm="1">
        <f t="array" ref="AF310">IF(AD310="","",SUMPRODUCT(IF(LEFT($AD$1:AD310,2)="JS",1,0)))</f>
        <v/>
      </c>
      <c r="AG310" t="str">
        <f t="shared" si="16"/>
        <v/>
      </c>
      <c r="AH310" t="str">
        <f t="shared" si="17"/>
        <v/>
      </c>
      <c r="AI310" t="str">
        <f>IF(AH310="","",MAX($AF$1:$AF310))</f>
        <v/>
      </c>
      <c r="AJ310" t="str">
        <f t="shared" si="18"/>
        <v/>
      </c>
      <c r="AK310" t="str">
        <f>IF(AJ310="","",MAX($AF$1:$AF310))</f>
        <v/>
      </c>
      <c r="AL310" t="str">
        <f t="shared" si="19"/>
        <v/>
      </c>
      <c r="AM310" t="str">
        <f>IF(AL310="","",MAX($AF$1:$AF310))</f>
        <v/>
      </c>
    </row>
    <row r="311" spans="1:39" ht="13.5" customHeight="1" x14ac:dyDescent="0.3">
      <c r="A311" s="8" t="s">
        <v>219</v>
      </c>
      <c r="B311" s="9"/>
      <c r="C311" s="10">
        <v>7</v>
      </c>
      <c r="D311" s="11"/>
      <c r="AB311" t="str" cm="1">
        <f t="array" ref="AB311:AC311">_xlfn._xlws.FILTER(A311:Z311,A311:Z311&lt;&gt;"","")</f>
        <v>GEOG</v>
      </c>
      <c r="AC311">
        <v>7</v>
      </c>
      <c r="AD311" t="str">
        <v/>
      </c>
      <c r="AE311" t="str">
        <v/>
      </c>
      <c r="AF311" t="str" cm="1">
        <f t="array" ref="AF311">IF(AD311="","",SUMPRODUCT(IF(LEFT($AD$1:AD311,2)="JS",1,0)))</f>
        <v/>
      </c>
      <c r="AG311" t="b">
        <f t="shared" si="16"/>
        <v>1</v>
      </c>
      <c r="AH311" t="str">
        <f t="shared" si="17"/>
        <v/>
      </c>
      <c r="AI311" t="str">
        <f>IF(AH311="","",MAX($AF$1:$AF311))</f>
        <v/>
      </c>
      <c r="AJ311" t="str">
        <f t="shared" si="18"/>
        <v>GEOG</v>
      </c>
      <c r="AK311">
        <f>IF(AJ311="","",MAX($AF$1:$AF311))</f>
        <v>6</v>
      </c>
      <c r="AL311" t="str">
        <f t="shared" si="19"/>
        <v/>
      </c>
      <c r="AM311" t="str">
        <f>IF(AL311="","",MAX($AF$1:$AF311))</f>
        <v/>
      </c>
    </row>
    <row r="312" spans="1:39" ht="13.5" customHeight="1" x14ac:dyDescent="0.3">
      <c r="A312" s="8" t="s">
        <v>220</v>
      </c>
      <c r="B312" s="9"/>
      <c r="C312" s="10">
        <v>5</v>
      </c>
      <c r="D312" s="11"/>
      <c r="AB312" t="str" cm="1">
        <f t="array" ref="AB312:AC312">_xlfn._xlws.FILTER(A312:Z312,A312:Z312&lt;&gt;"","")</f>
        <v>HMSC</v>
      </c>
      <c r="AC312">
        <v>5</v>
      </c>
      <c r="AD312" t="str">
        <v/>
      </c>
      <c r="AE312" t="str">
        <v/>
      </c>
      <c r="AF312" t="str" cm="1">
        <f t="array" ref="AF312">IF(AD312="","",SUMPRODUCT(IF(LEFT($AD$1:AD312,2)="JS",1,0)))</f>
        <v/>
      </c>
      <c r="AG312" t="b">
        <f t="shared" si="16"/>
        <v>1</v>
      </c>
      <c r="AH312" t="str">
        <f t="shared" si="17"/>
        <v/>
      </c>
      <c r="AI312" t="str">
        <f>IF(AH312="","",MAX($AF$1:$AF312))</f>
        <v/>
      </c>
      <c r="AJ312" t="str">
        <f t="shared" si="18"/>
        <v/>
      </c>
      <c r="AK312" t="str">
        <f>IF(AJ312="","",MAX($AF$1:$AF312))</f>
        <v/>
      </c>
      <c r="AL312" t="str">
        <f t="shared" si="19"/>
        <v>HMSC</v>
      </c>
      <c r="AM312">
        <f>IF(AL312="","",MAX($AF$1:$AF312))</f>
        <v>6</v>
      </c>
    </row>
    <row r="313" spans="1:39" ht="13.5" customHeight="1" x14ac:dyDescent="0.3">
      <c r="A313" s="8" t="s">
        <v>221</v>
      </c>
      <c r="B313" s="9"/>
      <c r="C313" s="10">
        <v>7</v>
      </c>
      <c r="D313" s="11"/>
      <c r="AB313" t="str" cm="1">
        <f t="array" ref="AB313:AC313">_xlfn._xlws.FILTER(A313:Z313,A313:Z313&lt;&gt;"","")</f>
        <v>HIST</v>
      </c>
      <c r="AC313">
        <v>7</v>
      </c>
      <c r="AD313" t="str">
        <v/>
      </c>
      <c r="AE313" t="str">
        <v/>
      </c>
      <c r="AF313" t="str" cm="1">
        <f t="array" ref="AF313">IF(AD313="","",SUMPRODUCT(IF(LEFT($AD$1:AD313,2)="JS",1,0)))</f>
        <v/>
      </c>
      <c r="AG313" t="b">
        <f t="shared" si="16"/>
        <v>1</v>
      </c>
      <c r="AH313" t="str">
        <f t="shared" si="17"/>
        <v/>
      </c>
      <c r="AI313" t="str">
        <f>IF(AH313="","",MAX($AF$1:$AF313))</f>
        <v/>
      </c>
      <c r="AJ313" t="str">
        <f t="shared" si="18"/>
        <v>HIST</v>
      </c>
      <c r="AK313">
        <f>IF(AJ313="","",MAX($AF$1:$AF313))</f>
        <v>6</v>
      </c>
      <c r="AL313" t="str">
        <f t="shared" si="19"/>
        <v/>
      </c>
      <c r="AM313" t="str">
        <f>IF(AL313="","",MAX($AF$1:$AF313))</f>
        <v/>
      </c>
    </row>
    <row r="314" spans="1:39" ht="13.5" customHeight="1" x14ac:dyDescent="0.3">
      <c r="A314" s="8" t="s">
        <v>222</v>
      </c>
      <c r="B314" s="9"/>
      <c r="C314" s="10">
        <v>5</v>
      </c>
      <c r="D314" s="11"/>
      <c r="AB314" t="str" cm="1">
        <f t="array" ref="AB314:AC314">_xlfn._xlws.FILTER(A314:Z314,A314:Z314&lt;&gt;"","")</f>
        <v>ICT</v>
      </c>
      <c r="AC314">
        <v>5</v>
      </c>
      <c r="AD314" t="str">
        <v/>
      </c>
      <c r="AE314" t="str">
        <v/>
      </c>
      <c r="AF314" t="str" cm="1">
        <f t="array" ref="AF314">IF(AD314="","",SUMPRODUCT(IF(LEFT($AD$1:AD314,2)="JS",1,0)))</f>
        <v/>
      </c>
      <c r="AG314" t="b">
        <f t="shared" si="16"/>
        <v>1</v>
      </c>
      <c r="AH314" t="str">
        <f t="shared" si="17"/>
        <v/>
      </c>
      <c r="AI314" t="str">
        <f>IF(AH314="","",MAX($AF$1:$AF314))</f>
        <v/>
      </c>
      <c r="AJ314" t="str">
        <f t="shared" si="18"/>
        <v/>
      </c>
      <c r="AK314" t="str">
        <f>IF(AJ314="","",MAX($AF$1:$AF314))</f>
        <v/>
      </c>
      <c r="AL314" t="str">
        <f t="shared" si="19"/>
        <v>ICT</v>
      </c>
      <c r="AM314">
        <f>IF(AL314="","",MAX($AF$1:$AF314))</f>
        <v>6</v>
      </c>
    </row>
    <row r="315" spans="1:39" ht="13.5" customHeight="1" x14ac:dyDescent="0.3">
      <c r="A315" s="8" t="s">
        <v>13</v>
      </c>
      <c r="B315" s="9"/>
      <c r="C315" s="10">
        <v>7</v>
      </c>
      <c r="D315" s="11"/>
      <c r="AB315" t="str" cm="1">
        <f t="array" ref="AB315:AC315">_xlfn._xlws.FILTER(A315:Z315,A315:Z315&lt;&gt;"","")</f>
        <v>Integrated Science</v>
      </c>
      <c r="AC315">
        <v>7</v>
      </c>
      <c r="AD315" t="str">
        <v/>
      </c>
      <c r="AE315" t="str">
        <v/>
      </c>
      <c r="AF315" t="str" cm="1">
        <f t="array" ref="AF315">IF(AD315="","",SUMPRODUCT(IF(LEFT($AD$1:AD315,2)="JS",1,0)))</f>
        <v/>
      </c>
      <c r="AG315" t="str">
        <f t="shared" si="16"/>
        <v/>
      </c>
      <c r="AH315" t="str">
        <f t="shared" si="17"/>
        <v/>
      </c>
      <c r="AI315" t="str">
        <f>IF(AH315="","",MAX($AF$1:$AF315))</f>
        <v/>
      </c>
      <c r="AJ315" t="str">
        <f t="shared" si="18"/>
        <v/>
      </c>
      <c r="AK315" t="str">
        <f>IF(AJ315="","",MAX($AF$1:$AF315))</f>
        <v/>
      </c>
      <c r="AL315" t="str">
        <f t="shared" si="19"/>
        <v/>
      </c>
      <c r="AM315" t="str">
        <f>IF(AL315="","",MAX($AF$1:$AF315))</f>
        <v/>
      </c>
    </row>
    <row r="316" spans="1:39" ht="13.5" customHeight="1" x14ac:dyDescent="0.3">
      <c r="A316" s="8" t="s">
        <v>223</v>
      </c>
      <c r="B316" s="9"/>
      <c r="C316" s="10">
        <v>7</v>
      </c>
      <c r="D316" s="11"/>
      <c r="AB316" t="str" cm="1">
        <f t="array" ref="AB316:AC316">_xlfn._xlws.FILTER(A316:Z316,A316:Z316&lt;&gt;"","")</f>
        <v>通</v>
      </c>
      <c r="AC316">
        <v>7</v>
      </c>
      <c r="AD316" t="str">
        <v/>
      </c>
      <c r="AE316" t="str">
        <v/>
      </c>
      <c r="AF316" t="str" cm="1">
        <f t="array" ref="AF316">IF(AD316="","",SUMPRODUCT(IF(LEFT($AD$1:AD316,2)="JS",1,0)))</f>
        <v/>
      </c>
      <c r="AG316" t="b">
        <f t="shared" si="16"/>
        <v>1</v>
      </c>
      <c r="AH316" t="str">
        <f t="shared" si="17"/>
        <v/>
      </c>
      <c r="AI316" t="str">
        <f>IF(AH316="","",MAX($AF$1:$AF316))</f>
        <v/>
      </c>
      <c r="AJ316" t="str">
        <f t="shared" si="18"/>
        <v>通</v>
      </c>
      <c r="AK316">
        <f>IF(AJ316="","",MAX($AF$1:$AF316))</f>
        <v>6</v>
      </c>
      <c r="AL316" t="str">
        <f t="shared" si="19"/>
        <v/>
      </c>
      <c r="AM316" t="str">
        <f>IF(AL316="","",MAX($AF$1:$AF316))</f>
        <v/>
      </c>
    </row>
    <row r="317" spans="1:39" ht="13.5" customHeight="1" x14ac:dyDescent="0.3">
      <c r="A317" s="8" t="s">
        <v>14</v>
      </c>
      <c r="B317" s="9"/>
      <c r="C317" s="10">
        <v>7</v>
      </c>
      <c r="D317" s="11"/>
      <c r="AB317" t="str" cm="1">
        <f t="array" ref="AB317:AC317">_xlfn._xlws.FILTER(A317:Z317,A317:Z317&lt;&gt;"","")</f>
        <v>Literature in English</v>
      </c>
      <c r="AC317">
        <v>7</v>
      </c>
      <c r="AD317" t="str">
        <v/>
      </c>
      <c r="AE317" t="str">
        <v/>
      </c>
      <c r="AF317" t="str" cm="1">
        <f t="array" ref="AF317">IF(AD317="","",SUMPRODUCT(IF(LEFT($AD$1:AD317,2)="JS",1,0)))</f>
        <v/>
      </c>
      <c r="AG317" t="str">
        <f t="shared" si="16"/>
        <v/>
      </c>
      <c r="AH317" t="str">
        <f t="shared" si="17"/>
        <v/>
      </c>
      <c r="AI317" t="str">
        <f>IF(AH317="","",MAX($AF$1:$AF317))</f>
        <v/>
      </c>
      <c r="AJ317" t="str">
        <f t="shared" si="18"/>
        <v/>
      </c>
      <c r="AK317" t="str">
        <f>IF(AJ317="","",MAX($AF$1:$AF317))</f>
        <v/>
      </c>
      <c r="AL317" t="str">
        <f t="shared" si="19"/>
        <v/>
      </c>
      <c r="AM317" t="str">
        <f>IF(AL317="","",MAX($AF$1:$AF317))</f>
        <v/>
      </c>
    </row>
    <row r="318" spans="1:39" ht="13.5" customHeight="1" x14ac:dyDescent="0.3">
      <c r="A318" s="8" t="s">
        <v>224</v>
      </c>
      <c r="B318" s="9"/>
      <c r="C318" s="10">
        <v>10</v>
      </c>
      <c r="D318" s="11"/>
      <c r="AB318" t="str" cm="1">
        <f t="array" ref="AB318:AC318">_xlfn._xlws.FILTER(A318:Z318,A318:Z318&lt;&gt;"","")</f>
        <v>MATH</v>
      </c>
      <c r="AC318">
        <v>10</v>
      </c>
      <c r="AD318" t="str">
        <v/>
      </c>
      <c r="AE318" t="str">
        <v/>
      </c>
      <c r="AF318" t="str" cm="1">
        <f t="array" ref="AF318">IF(AD318="","",SUMPRODUCT(IF(LEFT($AD$1:AD318,2)="JS",1,0)))</f>
        <v/>
      </c>
      <c r="AG318" t="b">
        <f t="shared" si="16"/>
        <v>1</v>
      </c>
      <c r="AH318" t="str">
        <f t="shared" si="17"/>
        <v>MATH</v>
      </c>
      <c r="AI318">
        <f>IF(AH318="","",MAX($AF$1:$AF318))</f>
        <v>6</v>
      </c>
      <c r="AJ318" t="str">
        <f t="shared" si="18"/>
        <v/>
      </c>
      <c r="AK318" t="str">
        <f>IF(AJ318="","",MAX($AF$1:$AF318))</f>
        <v/>
      </c>
      <c r="AL318" t="str">
        <f t="shared" si="19"/>
        <v/>
      </c>
      <c r="AM318" t="str">
        <f>IF(AL318="","",MAX($AF$1:$AF318))</f>
        <v/>
      </c>
    </row>
    <row r="319" spans="1:39" ht="13.5" customHeight="1" x14ac:dyDescent="0.3">
      <c r="A319" s="8" t="s">
        <v>225</v>
      </c>
      <c r="B319" s="9"/>
      <c r="C319" s="10">
        <v>7</v>
      </c>
      <c r="D319" s="11"/>
      <c r="AB319" t="str" cm="1">
        <f t="array" ref="AB319:AC319">_xlfn._xlws.FILTER(A319:Z319,A319:Z319&lt;&gt;"","")</f>
        <v>M2</v>
      </c>
      <c r="AC319">
        <v>7</v>
      </c>
      <c r="AD319" t="str">
        <v/>
      </c>
      <c r="AE319" t="str">
        <v/>
      </c>
      <c r="AF319" t="str" cm="1">
        <f t="array" ref="AF319">IF(AD319="","",SUMPRODUCT(IF(LEFT($AD$1:AD319,2)="JS",1,0)))</f>
        <v/>
      </c>
      <c r="AG319" t="b">
        <f t="shared" si="16"/>
        <v>1</v>
      </c>
      <c r="AH319" t="str">
        <f t="shared" si="17"/>
        <v/>
      </c>
      <c r="AI319" t="str">
        <f>IF(AH319="","",MAX($AF$1:$AF319))</f>
        <v/>
      </c>
      <c r="AJ319" t="str">
        <f t="shared" si="18"/>
        <v>M2</v>
      </c>
      <c r="AK319">
        <f>IF(AJ319="","",MAX($AF$1:$AF319))</f>
        <v>6</v>
      </c>
      <c r="AL319" t="str">
        <f t="shared" si="19"/>
        <v/>
      </c>
      <c r="AM319" t="str">
        <f>IF(AL319="","",MAX($AF$1:$AF319))</f>
        <v/>
      </c>
    </row>
    <row r="320" spans="1:39" ht="13.5" customHeight="1" x14ac:dyDescent="0.3">
      <c r="A320" s="8" t="s">
        <v>15</v>
      </c>
      <c r="B320" s="9"/>
      <c r="C320" s="10">
        <v>7</v>
      </c>
      <c r="D320" s="11"/>
      <c r="AB320" t="str" cm="1">
        <f t="array" ref="AB320:AC320">_xlfn._xlws.FILTER(A320:Z320,A320:Z320&lt;&gt;"","")</f>
        <v>Mathematics (Extended part - Calculus and Statistics)</v>
      </c>
      <c r="AC320">
        <v>7</v>
      </c>
      <c r="AD320" t="str">
        <v/>
      </c>
      <c r="AE320" t="str">
        <v/>
      </c>
      <c r="AF320" t="str" cm="1">
        <f t="array" ref="AF320">IF(AD320="","",SUMPRODUCT(IF(LEFT($AD$1:AD320,2)="JS",1,0)))</f>
        <v/>
      </c>
      <c r="AG320" t="str">
        <f t="shared" si="16"/>
        <v/>
      </c>
      <c r="AH320" t="str">
        <f t="shared" si="17"/>
        <v/>
      </c>
      <c r="AI320" t="str">
        <f>IF(AH320="","",MAX($AF$1:$AF320))</f>
        <v/>
      </c>
      <c r="AJ320" t="str">
        <f t="shared" si="18"/>
        <v/>
      </c>
      <c r="AK320" t="str">
        <f>IF(AJ320="","",MAX($AF$1:$AF320))</f>
        <v/>
      </c>
      <c r="AL320" t="str">
        <f t="shared" si="19"/>
        <v/>
      </c>
      <c r="AM320" t="str">
        <f>IF(AL320="","",MAX($AF$1:$AF320))</f>
        <v/>
      </c>
    </row>
    <row r="321" spans="1:39" ht="13.5" customHeight="1" x14ac:dyDescent="0.3">
      <c r="A321" s="8" t="s">
        <v>16</v>
      </c>
      <c r="B321" s="9"/>
      <c r="C321" s="10">
        <v>5</v>
      </c>
      <c r="D321" s="11"/>
      <c r="AB321" t="str" cm="1">
        <f t="array" ref="AB321:AC321">_xlfn._xlws.FILTER(A321:Z321,A321:Z321&lt;&gt;"","")</f>
        <v>Music</v>
      </c>
      <c r="AC321">
        <v>5</v>
      </c>
      <c r="AD321" t="str">
        <v/>
      </c>
      <c r="AE321" t="str">
        <v/>
      </c>
      <c r="AF321" t="str" cm="1">
        <f t="array" ref="AF321">IF(AD321="","",SUMPRODUCT(IF(LEFT($AD$1:AD321,2)="JS",1,0)))</f>
        <v/>
      </c>
      <c r="AG321" t="str">
        <f t="shared" ref="AG321:AG384" si="20">IF(ISNUMBER(MATCH(AB321,$AV$3:$AV$18,0)),TRUE,"")</f>
        <v/>
      </c>
      <c r="AH321" t="str">
        <f t="shared" si="17"/>
        <v/>
      </c>
      <c r="AI321" t="str">
        <f>IF(AH321="","",MAX($AF$1:$AF321))</f>
        <v/>
      </c>
      <c r="AJ321" t="str">
        <f t="shared" si="18"/>
        <v/>
      </c>
      <c r="AK321" t="str">
        <f>IF(AJ321="","",MAX($AF$1:$AF321))</f>
        <v/>
      </c>
      <c r="AL321" t="str">
        <f t="shared" si="19"/>
        <v/>
      </c>
      <c r="AM321" t="str">
        <f>IF(AL321="","",MAX($AF$1:$AF321))</f>
        <v/>
      </c>
    </row>
    <row r="322" spans="1:39" ht="13.5" customHeight="1" x14ac:dyDescent="0.3">
      <c r="A322" s="8" t="s">
        <v>17</v>
      </c>
      <c r="B322" s="9"/>
      <c r="C322" s="10">
        <v>5</v>
      </c>
      <c r="D322" s="11"/>
      <c r="AB322" t="str" cm="1">
        <f t="array" ref="AB322:AC322">_xlfn._xlws.FILTER(A322:Z322,A322:Z322&lt;&gt;"","")</f>
        <v>Physical Education</v>
      </c>
      <c r="AC322">
        <v>5</v>
      </c>
      <c r="AD322" t="str">
        <v/>
      </c>
      <c r="AE322" t="str">
        <v/>
      </c>
      <c r="AF322" t="str" cm="1">
        <f t="array" ref="AF322">IF(AD322="","",SUMPRODUCT(IF(LEFT($AD$1:AD322,2)="JS",1,0)))</f>
        <v/>
      </c>
      <c r="AG322" t="str">
        <f t="shared" si="20"/>
        <v/>
      </c>
      <c r="AH322" t="str">
        <f t="shared" ref="AH322:AH385" si="21">IF(AND(AC322=10,AG322=TRUE),AB322,"")</f>
        <v/>
      </c>
      <c r="AI322" t="str">
        <f>IF(AH322="","",MAX($AF$1:$AF322))</f>
        <v/>
      </c>
      <c r="AJ322" t="str">
        <f t="shared" ref="AJ322:AJ385" si="22">IF(AND(AC322=7,AG322=TRUE),AB322,"")</f>
        <v/>
      </c>
      <c r="AK322" t="str">
        <f>IF(AJ322="","",MAX($AF$1:$AF322))</f>
        <v/>
      </c>
      <c r="AL322" t="str">
        <f t="shared" ref="AL322:AL385" si="23">IF(AND(AC322=5,AG322=TRUE),AB322,"")</f>
        <v/>
      </c>
      <c r="AM322" t="str">
        <f>IF(AL322="","",MAX($AF$1:$AF322))</f>
        <v/>
      </c>
    </row>
    <row r="323" spans="1:39" ht="13.5" customHeight="1" x14ac:dyDescent="0.3">
      <c r="A323" s="8" t="s">
        <v>226</v>
      </c>
      <c r="B323" s="9"/>
      <c r="C323" s="10">
        <v>7</v>
      </c>
      <c r="D323" s="11"/>
      <c r="AB323" t="str" cm="1">
        <f t="array" ref="AB323:AC323">_xlfn._xlws.FILTER(A323:Z323,A323:Z323&lt;&gt;"","")</f>
        <v>PHY</v>
      </c>
      <c r="AC323">
        <v>7</v>
      </c>
      <c r="AD323" t="str">
        <v/>
      </c>
      <c r="AE323" t="str">
        <v/>
      </c>
      <c r="AF323" t="str" cm="1">
        <f t="array" ref="AF323">IF(AD323="","",SUMPRODUCT(IF(LEFT($AD$1:AD323,2)="JS",1,0)))</f>
        <v/>
      </c>
      <c r="AG323" t="b">
        <f t="shared" si="20"/>
        <v>1</v>
      </c>
      <c r="AH323" t="str">
        <f t="shared" si="21"/>
        <v/>
      </c>
      <c r="AI323" t="str">
        <f>IF(AH323="","",MAX($AF$1:$AF323))</f>
        <v/>
      </c>
      <c r="AJ323" t="str">
        <f t="shared" si="22"/>
        <v>PHY</v>
      </c>
      <c r="AK323">
        <f>IF(AJ323="","",MAX($AF$1:$AF323))</f>
        <v>6</v>
      </c>
      <c r="AL323" t="str">
        <f t="shared" si="23"/>
        <v/>
      </c>
      <c r="AM323" t="str">
        <f>IF(AL323="","",MAX($AF$1:$AF323))</f>
        <v/>
      </c>
    </row>
    <row r="324" spans="1:39" ht="13.5" customHeight="1" x14ac:dyDescent="0.3">
      <c r="A324" s="8" t="s">
        <v>18</v>
      </c>
      <c r="B324" s="9"/>
      <c r="C324" s="10">
        <v>5</v>
      </c>
      <c r="D324" s="11"/>
      <c r="AB324" t="str" cm="1">
        <f t="array" ref="AB324:AC324">_xlfn._xlws.FILTER(A324:Z324,A324:Z324&lt;&gt;"","")</f>
        <v>Technology and Living (Fashion, Clothing and Textiles)</v>
      </c>
      <c r="AC324">
        <v>5</v>
      </c>
      <c r="AD324" t="str">
        <v/>
      </c>
      <c r="AE324" t="str">
        <v/>
      </c>
      <c r="AF324" t="str" cm="1">
        <f t="array" ref="AF324">IF(AD324="","",SUMPRODUCT(IF(LEFT($AD$1:AD324,2)="JS",1,0)))</f>
        <v/>
      </c>
      <c r="AG324" t="str">
        <f t="shared" si="20"/>
        <v/>
      </c>
      <c r="AH324" t="str">
        <f t="shared" si="21"/>
        <v/>
      </c>
      <c r="AI324" t="str">
        <f>IF(AH324="","",MAX($AF$1:$AF324))</f>
        <v/>
      </c>
      <c r="AJ324" t="str">
        <f t="shared" si="22"/>
        <v/>
      </c>
      <c r="AK324" t="str">
        <f>IF(AJ324="","",MAX($AF$1:$AF324))</f>
        <v/>
      </c>
      <c r="AL324" t="str">
        <f t="shared" si="23"/>
        <v/>
      </c>
      <c r="AM324" t="str">
        <f>IF(AL324="","",MAX($AF$1:$AF324))</f>
        <v/>
      </c>
    </row>
    <row r="325" spans="1:39" ht="13.5" customHeight="1" x14ac:dyDescent="0.3">
      <c r="A325" s="8" t="s">
        <v>19</v>
      </c>
      <c r="B325" s="9"/>
      <c r="C325" s="10">
        <v>5</v>
      </c>
      <c r="D325" s="11"/>
      <c r="AB325" t="str" cm="1">
        <f t="array" ref="AB325:AC325">_xlfn._xlws.FILTER(A325:Z325,A325:Z325&lt;&gt;"","")</f>
        <v>Technology and Living (Food Science and Technology)</v>
      </c>
      <c r="AC325">
        <v>5</v>
      </c>
      <c r="AD325" t="str">
        <v/>
      </c>
      <c r="AE325" t="str">
        <v/>
      </c>
      <c r="AF325" t="str" cm="1">
        <f t="array" ref="AF325">IF(AD325="","",SUMPRODUCT(IF(LEFT($AD$1:AD325,2)="JS",1,0)))</f>
        <v/>
      </c>
      <c r="AG325" t="str">
        <f t="shared" si="20"/>
        <v/>
      </c>
      <c r="AH325" t="str">
        <f t="shared" si="21"/>
        <v/>
      </c>
      <c r="AI325" t="str">
        <f>IF(AH325="","",MAX($AF$1:$AF325))</f>
        <v/>
      </c>
      <c r="AJ325" t="str">
        <f t="shared" si="22"/>
        <v/>
      </c>
      <c r="AK325" t="str">
        <f>IF(AJ325="","",MAX($AF$1:$AF325))</f>
        <v/>
      </c>
      <c r="AL325" t="str">
        <f t="shared" si="23"/>
        <v/>
      </c>
      <c r="AM325" t="str">
        <f>IF(AL325="","",MAX($AF$1:$AF325))</f>
        <v/>
      </c>
    </row>
    <row r="326" spans="1:39" ht="13.5" customHeight="1" x14ac:dyDescent="0.3">
      <c r="A326" s="8" t="s">
        <v>20</v>
      </c>
      <c r="B326" s="9"/>
      <c r="C326" s="10">
        <v>5</v>
      </c>
      <c r="D326" s="11"/>
      <c r="AB326" t="str" cm="1">
        <f t="array" ref="AB326:AC326">_xlfn._xlws.FILTER(A326:Z326,A326:Z326&lt;&gt;"","")</f>
        <v>Tourism and Hospitality Studies</v>
      </c>
      <c r="AC326">
        <v>5</v>
      </c>
      <c r="AD326" t="str">
        <v/>
      </c>
      <c r="AE326" t="str">
        <v/>
      </c>
      <c r="AF326" t="str" cm="1">
        <f t="array" ref="AF326">IF(AD326="","",SUMPRODUCT(IF(LEFT($AD$1:AD326,2)="JS",1,0)))</f>
        <v/>
      </c>
      <c r="AG326" t="str">
        <f t="shared" si="20"/>
        <v/>
      </c>
      <c r="AH326" t="str">
        <f t="shared" si="21"/>
        <v/>
      </c>
      <c r="AI326" t="str">
        <f>IF(AH326="","",MAX($AF$1:$AF326))</f>
        <v/>
      </c>
      <c r="AJ326" t="str">
        <f t="shared" si="22"/>
        <v/>
      </c>
      <c r="AK326" t="str">
        <f>IF(AJ326="","",MAX($AF$1:$AF326))</f>
        <v/>
      </c>
      <c r="AL326" t="str">
        <f t="shared" si="23"/>
        <v/>
      </c>
      <c r="AM326" t="str">
        <f>IF(AL326="","",MAX($AF$1:$AF326))</f>
        <v/>
      </c>
    </row>
    <row r="327" spans="1:39" ht="13.5" customHeight="1" x14ac:dyDescent="0.3">
      <c r="A327" s="8" t="s">
        <v>210</v>
      </c>
      <c r="B327" s="9"/>
      <c r="C327" s="10">
        <v>5</v>
      </c>
      <c r="D327" s="11"/>
      <c r="AB327" t="str" cm="1">
        <f t="array" ref="AB327:AC327">_xlfn._xlws.FILTER(A327:Z327,A327:Z327&lt;&gt;"","")</f>
        <v>VA</v>
      </c>
      <c r="AC327">
        <v>5</v>
      </c>
      <c r="AD327" t="str">
        <v/>
      </c>
      <c r="AE327" t="str">
        <v/>
      </c>
      <c r="AF327" t="str" cm="1">
        <f t="array" ref="AF327">IF(AD327="","",SUMPRODUCT(IF(LEFT($AD$1:AD327,2)="JS",1,0)))</f>
        <v/>
      </c>
      <c r="AG327" t="b">
        <f t="shared" si="20"/>
        <v>1</v>
      </c>
      <c r="AH327" t="str">
        <f t="shared" si="21"/>
        <v/>
      </c>
      <c r="AI327" t="str">
        <f>IF(AH327="","",MAX($AF$1:$AF327))</f>
        <v/>
      </c>
      <c r="AJ327" t="str">
        <f t="shared" si="22"/>
        <v/>
      </c>
      <c r="AK327" t="str">
        <f>IF(AJ327="","",MAX($AF$1:$AF327))</f>
        <v/>
      </c>
      <c r="AL327" t="str">
        <f t="shared" si="23"/>
        <v>VA</v>
      </c>
      <c r="AM327">
        <f>IF(AL327="","",MAX($AF$1:$AF327))</f>
        <v>6</v>
      </c>
    </row>
    <row r="328" spans="1:39" ht="14.5" customHeight="1" x14ac:dyDescent="0.3">
      <c r="A328" s="12"/>
      <c r="B328" s="12"/>
      <c r="C328" s="2"/>
      <c r="D328" s="2"/>
      <c r="AB328" t="str" cm="1">
        <f t="array" ref="AB328">_xlfn._xlws.FILTER(A328:Z328,A328:Z328&lt;&gt;"","")</f>
        <v/>
      </c>
      <c r="AD328" t="str">
        <v/>
      </c>
      <c r="AE328" t="str">
        <v/>
      </c>
      <c r="AF328" t="str" cm="1">
        <f t="array" ref="AF328">IF(AD328="","",SUMPRODUCT(IF(LEFT($AD$1:AD328,2)="JS",1,0)))</f>
        <v/>
      </c>
      <c r="AG328" t="str">
        <f t="shared" si="20"/>
        <v/>
      </c>
      <c r="AH328" t="str">
        <f t="shared" si="21"/>
        <v/>
      </c>
      <c r="AI328" t="str">
        <f>IF(AH328="","",MAX($AF$1:$AF328))</f>
        <v/>
      </c>
      <c r="AJ328" t="str">
        <f t="shared" si="22"/>
        <v/>
      </c>
      <c r="AK328" t="str">
        <f>IF(AJ328="","",MAX($AF$1:$AF328))</f>
        <v/>
      </c>
      <c r="AL328" t="str">
        <f t="shared" si="23"/>
        <v/>
      </c>
      <c r="AM328" t="str">
        <f>IF(AL328="","",MAX($AF$1:$AF328))</f>
        <v/>
      </c>
    </row>
    <row r="329" spans="1:39" ht="13.5" customHeight="1" x14ac:dyDescent="0.3">
      <c r="A329" s="13" t="s">
        <v>34</v>
      </c>
      <c r="B329" s="13"/>
      <c r="C329" s="13"/>
      <c r="D329" s="13"/>
      <c r="AB329" t="str" cm="1">
        <f t="array" ref="AB329">_xlfn._xlws.FILTER(A329:Z329,A329:Z329&lt;&gt;"","")</f>
        <v>Category C: Other Language Subjects</v>
      </c>
      <c r="AD329" t="str">
        <v/>
      </c>
      <c r="AE329" t="str">
        <v/>
      </c>
      <c r="AF329" t="str" cm="1">
        <f t="array" ref="AF329">IF(AD329="","",SUMPRODUCT(IF(LEFT($AD$1:AD329,2)="JS",1,0)))</f>
        <v/>
      </c>
      <c r="AG329" t="str">
        <f t="shared" si="20"/>
        <v/>
      </c>
      <c r="AH329" t="str">
        <f t="shared" si="21"/>
        <v/>
      </c>
      <c r="AI329" t="str">
        <f>IF(AH329="","",MAX($AF$1:$AF329))</f>
        <v/>
      </c>
      <c r="AJ329" t="str">
        <f t="shared" si="22"/>
        <v/>
      </c>
      <c r="AK329" t="str">
        <f>IF(AJ329="","",MAX($AF$1:$AF329))</f>
        <v/>
      </c>
      <c r="AL329" t="str">
        <f t="shared" si="23"/>
        <v/>
      </c>
      <c r="AM329" t="str">
        <f>IF(AL329="","",MAX($AF$1:$AF329))</f>
        <v/>
      </c>
    </row>
    <row r="330" spans="1:39" ht="13.5" customHeight="1" x14ac:dyDescent="0.3">
      <c r="A330" s="14" t="s">
        <v>3</v>
      </c>
      <c r="B330" s="15"/>
      <c r="C330" s="16" t="s">
        <v>4</v>
      </c>
      <c r="D330" s="17"/>
      <c r="AB330" t="str" cm="1">
        <f t="array" ref="AB330:AC330">_xlfn._xlws.FILTER(A330:Z330,A330:Z330&lt;&gt;"","")</f>
        <v>Subject Name</v>
      </c>
      <c r="AC330" t="str">
        <v>Subject Weighting for 2023/24 Admission Exercise *</v>
      </c>
      <c r="AD330" t="str">
        <v/>
      </c>
      <c r="AE330" t="str">
        <v/>
      </c>
      <c r="AF330" t="str" cm="1">
        <f t="array" ref="AF330">IF(AD330="","",SUMPRODUCT(IF(LEFT($AD$1:AD330,2)="JS",1,0)))</f>
        <v/>
      </c>
      <c r="AG330" t="str">
        <f t="shared" si="20"/>
        <v/>
      </c>
      <c r="AH330" t="str">
        <f t="shared" si="21"/>
        <v/>
      </c>
      <c r="AI330" t="str">
        <f>IF(AH330="","",MAX($AF$1:$AF330))</f>
        <v/>
      </c>
      <c r="AJ330" t="str">
        <f t="shared" si="22"/>
        <v/>
      </c>
      <c r="AK330" t="str">
        <f>IF(AJ330="","",MAX($AF$1:$AF330))</f>
        <v/>
      </c>
      <c r="AL330" t="str">
        <f t="shared" si="23"/>
        <v/>
      </c>
      <c r="AM330" t="str">
        <f>IF(AL330="","",MAX($AF$1:$AF330))</f>
        <v/>
      </c>
    </row>
    <row r="331" spans="1:39" ht="13.5" customHeight="1" x14ac:dyDescent="0.3">
      <c r="A331" s="8" t="s">
        <v>35</v>
      </c>
      <c r="B331" s="9"/>
      <c r="C331" s="10">
        <v>5</v>
      </c>
      <c r="D331" s="11"/>
      <c r="AB331" t="str" cm="1">
        <f t="array" ref="AB331:AC331">_xlfn._xlws.FILTER(A331:Z331,A331:Z331&lt;&gt;"","")</f>
        <v>French</v>
      </c>
      <c r="AC331">
        <v>5</v>
      </c>
      <c r="AD331" t="str">
        <v/>
      </c>
      <c r="AE331" t="str">
        <v/>
      </c>
      <c r="AF331" t="str" cm="1">
        <f t="array" ref="AF331">IF(AD331="","",SUMPRODUCT(IF(LEFT($AD$1:AD331,2)="JS",1,0)))</f>
        <v/>
      </c>
      <c r="AG331" t="str">
        <f t="shared" si="20"/>
        <v/>
      </c>
      <c r="AH331" t="str">
        <f t="shared" si="21"/>
        <v/>
      </c>
      <c r="AI331" t="str">
        <f>IF(AH331="","",MAX($AF$1:$AF331))</f>
        <v/>
      </c>
      <c r="AJ331" t="str">
        <f t="shared" si="22"/>
        <v/>
      </c>
      <c r="AK331" t="str">
        <f>IF(AJ331="","",MAX($AF$1:$AF331))</f>
        <v/>
      </c>
      <c r="AL331" t="str">
        <f t="shared" si="23"/>
        <v/>
      </c>
      <c r="AM331" t="str">
        <f>IF(AL331="","",MAX($AF$1:$AF331))</f>
        <v/>
      </c>
    </row>
    <row r="332" spans="1:39" ht="13.5" customHeight="1" x14ac:dyDescent="0.3">
      <c r="A332" s="8" t="s">
        <v>36</v>
      </c>
      <c r="B332" s="9"/>
      <c r="C332" s="10">
        <v>5</v>
      </c>
      <c r="D332" s="11"/>
      <c r="AB332" t="str" cm="1">
        <f t="array" ref="AB332:AC332">_xlfn._xlws.FILTER(A332:Z332,A332:Z332&lt;&gt;"","")</f>
        <v>German</v>
      </c>
      <c r="AC332">
        <v>5</v>
      </c>
      <c r="AD332" t="str">
        <v/>
      </c>
      <c r="AE332" t="str">
        <v/>
      </c>
      <c r="AF332" t="str" cm="1">
        <f t="array" ref="AF332">IF(AD332="","",SUMPRODUCT(IF(LEFT($AD$1:AD332,2)="JS",1,0)))</f>
        <v/>
      </c>
      <c r="AG332" t="str">
        <f t="shared" si="20"/>
        <v/>
      </c>
      <c r="AH332" t="str">
        <f t="shared" si="21"/>
        <v/>
      </c>
      <c r="AI332" t="str">
        <f>IF(AH332="","",MAX($AF$1:$AF332))</f>
        <v/>
      </c>
      <c r="AJ332" t="str">
        <f t="shared" si="22"/>
        <v/>
      </c>
      <c r="AK332" t="str">
        <f>IF(AJ332="","",MAX($AF$1:$AF332))</f>
        <v/>
      </c>
      <c r="AL332" t="str">
        <f t="shared" si="23"/>
        <v/>
      </c>
      <c r="AM332" t="str">
        <f>IF(AL332="","",MAX($AF$1:$AF332))</f>
        <v/>
      </c>
    </row>
    <row r="333" spans="1:39" ht="13.5" customHeight="1" x14ac:dyDescent="0.3">
      <c r="A333" s="8" t="s">
        <v>37</v>
      </c>
      <c r="B333" s="9"/>
      <c r="C333" s="10">
        <v>5</v>
      </c>
      <c r="D333" s="11"/>
      <c r="AB333" t="str" cm="1">
        <f t="array" ref="AB333:AC333">_xlfn._xlws.FILTER(A333:Z333,A333:Z333&lt;&gt;"","")</f>
        <v>Hindi</v>
      </c>
      <c r="AC333">
        <v>5</v>
      </c>
      <c r="AD333" t="str">
        <v/>
      </c>
      <c r="AE333" t="str">
        <v/>
      </c>
      <c r="AF333" t="str" cm="1">
        <f t="array" ref="AF333">IF(AD333="","",SUMPRODUCT(IF(LEFT($AD$1:AD333,2)="JS",1,0)))</f>
        <v/>
      </c>
      <c r="AG333" t="str">
        <f t="shared" si="20"/>
        <v/>
      </c>
      <c r="AH333" t="str">
        <f t="shared" si="21"/>
        <v/>
      </c>
      <c r="AI333" t="str">
        <f>IF(AH333="","",MAX($AF$1:$AF333))</f>
        <v/>
      </c>
      <c r="AJ333" t="str">
        <f t="shared" si="22"/>
        <v/>
      </c>
      <c r="AK333" t="str">
        <f>IF(AJ333="","",MAX($AF$1:$AF333))</f>
        <v/>
      </c>
      <c r="AL333" t="str">
        <f t="shared" si="23"/>
        <v/>
      </c>
      <c r="AM333" t="str">
        <f>IF(AL333="","",MAX($AF$1:$AF333))</f>
        <v/>
      </c>
    </row>
    <row r="334" spans="1:39" ht="13.5" customHeight="1" x14ac:dyDescent="0.3">
      <c r="A334" s="8" t="s">
        <v>38</v>
      </c>
      <c r="B334" s="9"/>
      <c r="C334" s="10">
        <v>5</v>
      </c>
      <c r="D334" s="11"/>
      <c r="AB334" t="str" cm="1">
        <f t="array" ref="AB334:AC334">_xlfn._xlws.FILTER(A334:Z334,A334:Z334&lt;&gt;"","")</f>
        <v>Japanese</v>
      </c>
      <c r="AC334">
        <v>5</v>
      </c>
      <c r="AD334" t="str">
        <v/>
      </c>
      <c r="AE334" t="str">
        <v/>
      </c>
      <c r="AF334" t="str" cm="1">
        <f t="array" ref="AF334">IF(AD334="","",SUMPRODUCT(IF(LEFT($AD$1:AD334,2)="JS",1,0)))</f>
        <v/>
      </c>
      <c r="AG334" t="str">
        <f t="shared" si="20"/>
        <v/>
      </c>
      <c r="AH334" t="str">
        <f t="shared" si="21"/>
        <v/>
      </c>
      <c r="AI334" t="str">
        <f>IF(AH334="","",MAX($AF$1:$AF334))</f>
        <v/>
      </c>
      <c r="AJ334" t="str">
        <f t="shared" si="22"/>
        <v/>
      </c>
      <c r="AK334" t="str">
        <f>IF(AJ334="","",MAX($AF$1:$AF334))</f>
        <v/>
      </c>
      <c r="AL334" t="str">
        <f t="shared" si="23"/>
        <v/>
      </c>
      <c r="AM334" t="str">
        <f>IF(AL334="","",MAX($AF$1:$AF334))</f>
        <v/>
      </c>
    </row>
    <row r="335" spans="1:39" ht="13.5" customHeight="1" x14ac:dyDescent="0.3">
      <c r="A335" s="8" t="s">
        <v>39</v>
      </c>
      <c r="B335" s="9"/>
      <c r="C335" s="10">
        <v>5</v>
      </c>
      <c r="D335" s="11"/>
      <c r="AB335" t="str" cm="1">
        <f t="array" ref="AB335:AC335">_xlfn._xlws.FILTER(A335:Z335,A335:Z335&lt;&gt;"","")</f>
        <v>Spanish</v>
      </c>
      <c r="AC335">
        <v>5</v>
      </c>
      <c r="AD335" t="str">
        <v/>
      </c>
      <c r="AE335" t="str">
        <v/>
      </c>
      <c r="AF335" t="str" cm="1">
        <f t="array" ref="AF335">IF(AD335="","",SUMPRODUCT(IF(LEFT($AD$1:AD335,2)="JS",1,0)))</f>
        <v/>
      </c>
      <c r="AG335" t="str">
        <f t="shared" si="20"/>
        <v/>
      </c>
      <c r="AH335" t="str">
        <f t="shared" si="21"/>
        <v/>
      </c>
      <c r="AI335" t="str">
        <f>IF(AH335="","",MAX($AF$1:$AF335))</f>
        <v/>
      </c>
      <c r="AJ335" t="str">
        <f t="shared" si="22"/>
        <v/>
      </c>
      <c r="AK335" t="str">
        <f>IF(AJ335="","",MAX($AF$1:$AF335))</f>
        <v/>
      </c>
      <c r="AL335" t="str">
        <f t="shared" si="23"/>
        <v/>
      </c>
      <c r="AM335" t="str">
        <f>IF(AL335="","",MAX($AF$1:$AF335))</f>
        <v/>
      </c>
    </row>
    <row r="336" spans="1:39" ht="13.5" customHeight="1" x14ac:dyDescent="0.3">
      <c r="A336" s="8" t="s">
        <v>40</v>
      </c>
      <c r="B336" s="9"/>
      <c r="C336" s="10">
        <v>5</v>
      </c>
      <c r="D336" s="11"/>
      <c r="AB336" t="str" cm="1">
        <f t="array" ref="AB336:AC336">_xlfn._xlws.FILTER(A336:Z336,A336:Z336&lt;&gt;"","")</f>
        <v>Urdu</v>
      </c>
      <c r="AC336">
        <v>5</v>
      </c>
      <c r="AD336" t="str">
        <v/>
      </c>
      <c r="AE336" t="str">
        <v/>
      </c>
      <c r="AF336" t="str" cm="1">
        <f t="array" ref="AF336">IF(AD336="","",SUMPRODUCT(IF(LEFT($AD$1:AD336,2)="JS",1,0)))</f>
        <v/>
      </c>
      <c r="AG336" t="str">
        <f t="shared" si="20"/>
        <v/>
      </c>
      <c r="AH336" t="str">
        <f t="shared" si="21"/>
        <v/>
      </c>
      <c r="AI336" t="str">
        <f>IF(AH336="","",MAX($AF$1:$AF336))</f>
        <v/>
      </c>
      <c r="AJ336" t="str">
        <f t="shared" si="22"/>
        <v/>
      </c>
      <c r="AK336" t="str">
        <f>IF(AJ336="","",MAX($AF$1:$AF336))</f>
        <v/>
      </c>
      <c r="AL336" t="str">
        <f t="shared" si="23"/>
        <v/>
      </c>
      <c r="AM336" t="str">
        <f>IF(AL336="","",MAX($AF$1:$AF336))</f>
        <v/>
      </c>
    </row>
    <row r="337" spans="1:39" ht="15" customHeight="1" x14ac:dyDescent="0.3">
      <c r="A337" s="18" t="s">
        <v>90</v>
      </c>
      <c r="B337" s="18"/>
      <c r="C337" s="18"/>
      <c r="D337" s="1"/>
      <c r="AB337" t="str" cm="1">
        <f t="array" ref="AB337">_xlfn._xlws.FILTER(A337:Z337,A337:Z337&lt;&gt;"","")</f>
        <v>JUPAS Code: JS3100</v>
      </c>
      <c r="AD337" t="str">
        <v>JS3100</v>
      </c>
      <c r="AE337" t="str">
        <v/>
      </c>
      <c r="AF337" cm="1">
        <f t="array" ref="AF337">IF(AD337="","",SUMPRODUCT(IF(LEFT($AD$1:AD337,2)="JS",1,0)))</f>
        <v>7</v>
      </c>
      <c r="AG337" t="str">
        <f t="shared" si="20"/>
        <v/>
      </c>
      <c r="AH337" t="str">
        <f t="shared" si="21"/>
        <v/>
      </c>
      <c r="AI337" t="str">
        <f>IF(AH337="","",MAX($AF$1:$AF337))</f>
        <v/>
      </c>
      <c r="AJ337" t="str">
        <f t="shared" si="22"/>
        <v/>
      </c>
      <c r="AK337" t="str">
        <f>IF(AJ337="","",MAX($AF$1:$AF337))</f>
        <v/>
      </c>
      <c r="AL337" t="str">
        <f t="shared" si="23"/>
        <v/>
      </c>
      <c r="AM337" t="str">
        <f>IF(AL337="","",MAX($AF$1:$AF337))</f>
        <v/>
      </c>
    </row>
    <row r="338" spans="1:39" ht="13.5" customHeight="1" x14ac:dyDescent="0.3">
      <c r="A338" s="18" t="s">
        <v>91</v>
      </c>
      <c r="B338" s="18"/>
      <c r="C338" s="18"/>
      <c r="D338" s="1"/>
      <c r="AB338" t="str" cm="1">
        <f t="array" ref="AB338">_xlfn._xlws.FILTER(A338:Z338,A338:Z338&lt;&gt;"","")</f>
        <v>Programme Title: BSc (Hons) Scheme in Building and Real Estate</v>
      </c>
      <c r="AD338" t="str">
        <v/>
      </c>
      <c r="AE338" t="str">
        <v>BSc (Hons) Scheme in Building and Real Estate</v>
      </c>
      <c r="AF338" t="str" cm="1">
        <f t="array" ref="AF338">IF(AD338="","",SUMPRODUCT(IF(LEFT($AD$1:AD338,2)="JS",1,0)))</f>
        <v/>
      </c>
      <c r="AG338" t="str">
        <f t="shared" si="20"/>
        <v/>
      </c>
      <c r="AH338" t="str">
        <f t="shared" si="21"/>
        <v/>
      </c>
      <c r="AI338" t="str">
        <f>IF(AH338="","",MAX($AF$1:$AF338))</f>
        <v/>
      </c>
      <c r="AJ338" t="str">
        <f t="shared" si="22"/>
        <v/>
      </c>
      <c r="AK338" t="str">
        <f>IF(AJ338="","",MAX($AF$1:$AF338))</f>
        <v/>
      </c>
      <c r="AL338" t="str">
        <f t="shared" si="23"/>
        <v/>
      </c>
      <c r="AM338" t="str">
        <f>IF(AL338="","",MAX($AF$1:$AF338))</f>
        <v/>
      </c>
    </row>
    <row r="339" spans="1:39" ht="14.5" customHeight="1" x14ac:dyDescent="0.3">
      <c r="A339" s="12"/>
      <c r="B339" s="12"/>
      <c r="C339" s="2"/>
      <c r="D339" s="2"/>
      <c r="AB339" t="str" cm="1">
        <f t="array" ref="AB339">_xlfn._xlws.FILTER(A339:Z339,A339:Z339&lt;&gt;"","")</f>
        <v/>
      </c>
      <c r="AD339" t="str">
        <v/>
      </c>
      <c r="AE339" t="str">
        <v/>
      </c>
      <c r="AF339" t="str" cm="1">
        <f t="array" ref="AF339">IF(AD339="","",SUMPRODUCT(IF(LEFT($AD$1:AD339,2)="JS",1,0)))</f>
        <v/>
      </c>
      <c r="AG339" t="str">
        <f t="shared" si="20"/>
        <v/>
      </c>
      <c r="AH339" t="str">
        <f t="shared" si="21"/>
        <v/>
      </c>
      <c r="AI339" t="str">
        <f>IF(AH339="","",MAX($AF$1:$AF339))</f>
        <v/>
      </c>
      <c r="AJ339" t="str">
        <f t="shared" si="22"/>
        <v/>
      </c>
      <c r="AK339" t="str">
        <f>IF(AJ339="","",MAX($AF$1:$AF339))</f>
        <v/>
      </c>
      <c r="AL339" t="str">
        <f t="shared" si="23"/>
        <v/>
      </c>
      <c r="AM339" t="str">
        <f>IF(AL339="","",MAX($AF$1:$AF339))</f>
        <v/>
      </c>
    </row>
    <row r="340" spans="1:39" ht="13.5" customHeight="1" x14ac:dyDescent="0.3">
      <c r="A340" s="13" t="s">
        <v>2</v>
      </c>
      <c r="B340" s="13"/>
      <c r="C340" s="13"/>
      <c r="D340" s="13"/>
      <c r="AB340" t="str" cm="1">
        <f t="array" ref="AB340">_xlfn._xlws.FILTER(A340:Z340,A340:Z340&lt;&gt;"","")</f>
        <v>Category A: Core and Elective Subjects</v>
      </c>
      <c r="AD340" t="str">
        <v/>
      </c>
      <c r="AE340" t="str">
        <v/>
      </c>
      <c r="AF340" t="str" cm="1">
        <f t="array" ref="AF340">IF(AD340="","",SUMPRODUCT(IF(LEFT($AD$1:AD340,2)="JS",1,0)))</f>
        <v/>
      </c>
      <c r="AG340" t="str">
        <f t="shared" si="20"/>
        <v/>
      </c>
      <c r="AH340" t="str">
        <f t="shared" si="21"/>
        <v/>
      </c>
      <c r="AI340" t="str">
        <f>IF(AH340="","",MAX($AF$1:$AF340))</f>
        <v/>
      </c>
      <c r="AJ340" t="str">
        <f t="shared" si="22"/>
        <v/>
      </c>
      <c r="AK340" t="str">
        <f>IF(AJ340="","",MAX($AF$1:$AF340))</f>
        <v/>
      </c>
      <c r="AL340" t="str">
        <f t="shared" si="23"/>
        <v/>
      </c>
      <c r="AM340" t="str">
        <f>IF(AL340="","",MAX($AF$1:$AF340))</f>
        <v/>
      </c>
    </row>
    <row r="341" spans="1:39" ht="13.5" customHeight="1" x14ac:dyDescent="0.3">
      <c r="A341" s="14" t="s">
        <v>3</v>
      </c>
      <c r="B341" s="15"/>
      <c r="C341" s="16" t="s">
        <v>4</v>
      </c>
      <c r="D341" s="17"/>
      <c r="AB341" t="str" cm="1">
        <f t="array" ref="AB341:AC341">_xlfn._xlws.FILTER(A341:Z341,A341:Z341&lt;&gt;"","")</f>
        <v>Subject Name</v>
      </c>
      <c r="AC341" t="str">
        <v>Subject Weighting for 2023/24 Admission Exercise *</v>
      </c>
      <c r="AD341" t="str">
        <v/>
      </c>
      <c r="AE341" t="str">
        <v/>
      </c>
      <c r="AF341" t="str" cm="1">
        <f t="array" ref="AF341">IF(AD341="","",SUMPRODUCT(IF(LEFT($AD$1:AD341,2)="JS",1,0)))</f>
        <v/>
      </c>
      <c r="AG341" t="str">
        <f t="shared" si="20"/>
        <v/>
      </c>
      <c r="AH341" t="str">
        <f t="shared" si="21"/>
        <v/>
      </c>
      <c r="AI341" t="str">
        <f>IF(AH341="","",MAX($AF$1:$AF341))</f>
        <v/>
      </c>
      <c r="AJ341" t="str">
        <f t="shared" si="22"/>
        <v/>
      </c>
      <c r="AK341" t="str">
        <f>IF(AJ341="","",MAX($AF$1:$AF341))</f>
        <v/>
      </c>
      <c r="AL341" t="str">
        <f t="shared" si="23"/>
        <v/>
      </c>
      <c r="AM341" t="str">
        <f>IF(AL341="","",MAX($AF$1:$AF341))</f>
        <v/>
      </c>
    </row>
    <row r="342" spans="1:39" ht="13.5" customHeight="1" x14ac:dyDescent="0.3">
      <c r="A342" s="8" t="s">
        <v>211</v>
      </c>
      <c r="B342" s="9"/>
      <c r="C342" s="10">
        <v>7</v>
      </c>
      <c r="D342" s="11"/>
      <c r="AB342" t="str" cm="1">
        <f t="array" ref="AB342:AC342">_xlfn._xlws.FILTER(A342:Z342,A342:Z342&lt;&gt;"","")</f>
        <v>BIO</v>
      </c>
      <c r="AC342">
        <v>7</v>
      </c>
      <c r="AD342" t="str">
        <v/>
      </c>
      <c r="AE342" t="str">
        <v/>
      </c>
      <c r="AF342" t="str" cm="1">
        <f t="array" ref="AF342">IF(AD342="","",SUMPRODUCT(IF(LEFT($AD$1:AD342,2)="JS",1,0)))</f>
        <v/>
      </c>
      <c r="AG342" t="b">
        <f t="shared" si="20"/>
        <v>1</v>
      </c>
      <c r="AH342" t="str">
        <f t="shared" si="21"/>
        <v/>
      </c>
      <c r="AI342" t="str">
        <f>IF(AH342="","",MAX($AF$1:$AF342))</f>
        <v/>
      </c>
      <c r="AJ342" t="str">
        <f t="shared" si="22"/>
        <v>BIO</v>
      </c>
      <c r="AK342">
        <f>IF(AJ342="","",MAX($AF$1:$AF342))</f>
        <v>7</v>
      </c>
      <c r="AL342" t="str">
        <f t="shared" si="23"/>
        <v/>
      </c>
      <c r="AM342" t="str">
        <f>IF(AL342="","",MAX($AF$1:$AF342))</f>
        <v/>
      </c>
    </row>
    <row r="343" spans="1:39" ht="13.5" customHeight="1" x14ac:dyDescent="0.3">
      <c r="A343" s="8" t="s">
        <v>213</v>
      </c>
      <c r="B343" s="9"/>
      <c r="C343" s="10">
        <v>7</v>
      </c>
      <c r="D343" s="11"/>
      <c r="AB343" t="str" cm="1">
        <f t="array" ref="AB343:AC343">_xlfn._xlws.FILTER(A343:Z343,A343:Z343&lt;&gt;"","")</f>
        <v>BAFS</v>
      </c>
      <c r="AC343">
        <v>7</v>
      </c>
      <c r="AD343" t="str">
        <v/>
      </c>
      <c r="AE343" t="str">
        <v/>
      </c>
      <c r="AF343" t="str" cm="1">
        <f t="array" ref="AF343">IF(AD343="","",SUMPRODUCT(IF(LEFT($AD$1:AD343,2)="JS",1,0)))</f>
        <v/>
      </c>
      <c r="AG343" t="b">
        <f t="shared" si="20"/>
        <v>1</v>
      </c>
      <c r="AH343" t="str">
        <f t="shared" si="21"/>
        <v/>
      </c>
      <c r="AI343" t="str">
        <f>IF(AH343="","",MAX($AF$1:$AF343))</f>
        <v/>
      </c>
      <c r="AJ343" t="str">
        <f t="shared" si="22"/>
        <v>BAFS</v>
      </c>
      <c r="AK343">
        <f>IF(AJ343="","",MAX($AF$1:$AF343))</f>
        <v>7</v>
      </c>
      <c r="AL343" t="str">
        <f t="shared" si="23"/>
        <v/>
      </c>
      <c r="AM343" t="str">
        <f>IF(AL343="","",MAX($AF$1:$AF343))</f>
        <v/>
      </c>
    </row>
    <row r="344" spans="1:39" ht="13.5" customHeight="1" x14ac:dyDescent="0.3">
      <c r="A344" s="8" t="s">
        <v>5</v>
      </c>
      <c r="B344" s="9"/>
      <c r="C344" s="10">
        <v>7</v>
      </c>
      <c r="D344" s="11"/>
      <c r="AB344" t="str" cm="1">
        <f t="array" ref="AB344:AC344">_xlfn._xlws.FILTER(A344:Z344,A344:Z344&lt;&gt;"","")</f>
        <v>Business, Accounting and Financial Studies (Accounting)</v>
      </c>
      <c r="AC344">
        <v>7</v>
      </c>
      <c r="AD344" t="str">
        <v/>
      </c>
      <c r="AE344" t="str">
        <v/>
      </c>
      <c r="AF344" t="str" cm="1">
        <f t="array" ref="AF344">IF(AD344="","",SUMPRODUCT(IF(LEFT($AD$1:AD344,2)="JS",1,0)))</f>
        <v/>
      </c>
      <c r="AG344" t="str">
        <f t="shared" si="20"/>
        <v/>
      </c>
      <c r="AH344" t="str">
        <f t="shared" si="21"/>
        <v/>
      </c>
      <c r="AI344" t="str">
        <f>IF(AH344="","",MAX($AF$1:$AF344))</f>
        <v/>
      </c>
      <c r="AJ344" t="str">
        <f t="shared" si="22"/>
        <v/>
      </c>
      <c r="AK344" t="str">
        <f>IF(AJ344="","",MAX($AF$1:$AF344))</f>
        <v/>
      </c>
      <c r="AL344" t="str">
        <f t="shared" si="23"/>
        <v/>
      </c>
      <c r="AM344" t="str">
        <f>IF(AL344="","",MAX($AF$1:$AF344))</f>
        <v/>
      </c>
    </row>
    <row r="345" spans="1:39" ht="13.5" customHeight="1" x14ac:dyDescent="0.3">
      <c r="A345" s="8" t="s">
        <v>6</v>
      </c>
      <c r="B345" s="9"/>
      <c r="C345" s="10">
        <v>7</v>
      </c>
      <c r="D345" s="11"/>
      <c r="AB345" t="str" cm="1">
        <f t="array" ref="AB345:AC345">_xlfn._xlws.FILTER(A345:Z345,A345:Z345&lt;&gt;"","")</f>
        <v>Business, Accounting and Financial Studies (Business Management)</v>
      </c>
      <c r="AC345">
        <v>7</v>
      </c>
      <c r="AD345" t="str">
        <v/>
      </c>
      <c r="AE345" t="str">
        <v/>
      </c>
      <c r="AF345" t="str" cm="1">
        <f t="array" ref="AF345">IF(AD345="","",SUMPRODUCT(IF(LEFT($AD$1:AD345,2)="JS",1,0)))</f>
        <v/>
      </c>
      <c r="AG345" t="str">
        <f t="shared" si="20"/>
        <v/>
      </c>
      <c r="AH345" t="str">
        <f t="shared" si="21"/>
        <v/>
      </c>
      <c r="AI345" t="str">
        <f>IF(AH345="","",MAX($AF$1:$AF345))</f>
        <v/>
      </c>
      <c r="AJ345" t="str">
        <f t="shared" si="22"/>
        <v/>
      </c>
      <c r="AK345" t="str">
        <f>IF(AJ345="","",MAX($AF$1:$AF345))</f>
        <v/>
      </c>
      <c r="AL345" t="str">
        <f t="shared" si="23"/>
        <v/>
      </c>
      <c r="AM345" t="str">
        <f>IF(AL345="","",MAX($AF$1:$AF345))</f>
        <v/>
      </c>
    </row>
    <row r="346" spans="1:39" ht="13.5" customHeight="1" x14ac:dyDescent="0.3">
      <c r="A346" s="8" t="s">
        <v>212</v>
      </c>
      <c r="B346" s="9"/>
      <c r="C346" s="10">
        <v>7</v>
      </c>
      <c r="D346" s="11"/>
      <c r="AB346" t="str" cm="1">
        <f t="array" ref="AB346:AC346">_xlfn._xlws.FILTER(A346:Z346,A346:Z346&lt;&gt;"","")</f>
        <v>CHEM</v>
      </c>
      <c r="AC346">
        <v>7</v>
      </c>
      <c r="AD346" t="str">
        <v/>
      </c>
      <c r="AE346" t="str">
        <v/>
      </c>
      <c r="AF346" t="str" cm="1">
        <f t="array" ref="AF346">IF(AD346="","",SUMPRODUCT(IF(LEFT($AD$1:AD346,2)="JS",1,0)))</f>
        <v/>
      </c>
      <c r="AG346" t="b">
        <f t="shared" si="20"/>
        <v>1</v>
      </c>
      <c r="AH346" t="str">
        <f t="shared" si="21"/>
        <v/>
      </c>
      <c r="AI346" t="str">
        <f>IF(AH346="","",MAX($AF$1:$AF346))</f>
        <v/>
      </c>
      <c r="AJ346" t="str">
        <f t="shared" si="22"/>
        <v>CHEM</v>
      </c>
      <c r="AK346">
        <f>IF(AJ346="","",MAX($AF$1:$AF346))</f>
        <v>7</v>
      </c>
      <c r="AL346" t="str">
        <f t="shared" si="23"/>
        <v/>
      </c>
      <c r="AM346" t="str">
        <f>IF(AL346="","",MAX($AF$1:$AF346))</f>
        <v/>
      </c>
    </row>
    <row r="347" spans="1:39" ht="13.5" customHeight="1" x14ac:dyDescent="0.3">
      <c r="A347" s="8" t="s">
        <v>214</v>
      </c>
      <c r="B347" s="9"/>
      <c r="C347" s="10">
        <v>7</v>
      </c>
      <c r="D347" s="11"/>
      <c r="AB347" t="str" cm="1">
        <f t="array" ref="AB347:AC347">_xlfn._xlws.FILTER(A347:Z347,A347:Z347&lt;&gt;"","")</f>
        <v>中史</v>
      </c>
      <c r="AC347">
        <v>7</v>
      </c>
      <c r="AD347" t="str">
        <v/>
      </c>
      <c r="AE347" t="str">
        <v/>
      </c>
      <c r="AF347" t="str" cm="1">
        <f t="array" ref="AF347">IF(AD347="","",SUMPRODUCT(IF(LEFT($AD$1:AD347,2)="JS",1,0)))</f>
        <v/>
      </c>
      <c r="AG347" t="b">
        <f t="shared" si="20"/>
        <v>1</v>
      </c>
      <c r="AH347" t="str">
        <f t="shared" si="21"/>
        <v/>
      </c>
      <c r="AI347" t="str">
        <f>IF(AH347="","",MAX($AF$1:$AF347))</f>
        <v/>
      </c>
      <c r="AJ347" t="str">
        <f t="shared" si="22"/>
        <v>中史</v>
      </c>
      <c r="AK347">
        <f>IF(AJ347="","",MAX($AF$1:$AF347))</f>
        <v>7</v>
      </c>
      <c r="AL347" t="str">
        <f t="shared" si="23"/>
        <v/>
      </c>
      <c r="AM347" t="str">
        <f>IF(AL347="","",MAX($AF$1:$AF347))</f>
        <v/>
      </c>
    </row>
    <row r="348" spans="1:39" ht="13.5" customHeight="1" x14ac:dyDescent="0.3">
      <c r="A348" s="8" t="s">
        <v>216</v>
      </c>
      <c r="B348" s="9"/>
      <c r="C348" s="10">
        <v>7</v>
      </c>
      <c r="D348" s="11"/>
      <c r="AB348" t="str" cm="1">
        <f t="array" ref="AB348:AC348">_xlfn._xlws.FILTER(A348:Z348,A348:Z348&lt;&gt;"","")</f>
        <v>中文</v>
      </c>
      <c r="AC348">
        <v>7</v>
      </c>
      <c r="AD348" t="str">
        <v/>
      </c>
      <c r="AE348" t="str">
        <v/>
      </c>
      <c r="AF348" t="str" cm="1">
        <f t="array" ref="AF348">IF(AD348="","",SUMPRODUCT(IF(LEFT($AD$1:AD348,2)="JS",1,0)))</f>
        <v/>
      </c>
      <c r="AG348" t="b">
        <f t="shared" si="20"/>
        <v>1</v>
      </c>
      <c r="AH348" t="str">
        <f t="shared" si="21"/>
        <v/>
      </c>
      <c r="AI348" t="str">
        <f>IF(AH348="","",MAX($AF$1:$AF348))</f>
        <v/>
      </c>
      <c r="AJ348" t="str">
        <f t="shared" si="22"/>
        <v>中文</v>
      </c>
      <c r="AK348">
        <f>IF(AJ348="","",MAX($AF$1:$AF348))</f>
        <v>7</v>
      </c>
      <c r="AL348" t="str">
        <f t="shared" si="23"/>
        <v/>
      </c>
      <c r="AM348" t="str">
        <f>IF(AL348="","",MAX($AF$1:$AF348))</f>
        <v/>
      </c>
    </row>
    <row r="349" spans="1:39" ht="13.5" customHeight="1" x14ac:dyDescent="0.3">
      <c r="A349" s="8" t="s">
        <v>7</v>
      </c>
      <c r="B349" s="9"/>
      <c r="C349" s="10">
        <v>7</v>
      </c>
      <c r="D349" s="11"/>
      <c r="AB349" t="str" cm="1">
        <f t="array" ref="AB349:AC349">_xlfn._xlws.FILTER(A349:Z349,A349:Z349&lt;&gt;"","")</f>
        <v>Chinese Literature</v>
      </c>
      <c r="AC349">
        <v>7</v>
      </c>
      <c r="AD349" t="str">
        <v/>
      </c>
      <c r="AE349" t="str">
        <v/>
      </c>
      <c r="AF349" t="str" cm="1">
        <f t="array" ref="AF349">IF(AD349="","",SUMPRODUCT(IF(LEFT($AD$1:AD349,2)="JS",1,0)))</f>
        <v/>
      </c>
      <c r="AG349" t="str">
        <f t="shared" si="20"/>
        <v/>
      </c>
      <c r="AH349" t="str">
        <f t="shared" si="21"/>
        <v/>
      </c>
      <c r="AI349" t="str">
        <f>IF(AH349="","",MAX($AF$1:$AF349))</f>
        <v/>
      </c>
      <c r="AJ349" t="str">
        <f t="shared" si="22"/>
        <v/>
      </c>
      <c r="AK349" t="str">
        <f>IF(AJ349="","",MAX($AF$1:$AF349))</f>
        <v/>
      </c>
      <c r="AL349" t="str">
        <f t="shared" si="23"/>
        <v/>
      </c>
      <c r="AM349" t="str">
        <f>IF(AL349="","",MAX($AF$1:$AF349))</f>
        <v/>
      </c>
    </row>
    <row r="350" spans="1:39" ht="13.5" customHeight="1" x14ac:dyDescent="0.3">
      <c r="A350" s="8" t="s">
        <v>8</v>
      </c>
      <c r="B350" s="9"/>
      <c r="C350" s="10">
        <v>7</v>
      </c>
      <c r="D350" s="11"/>
      <c r="AB350" t="str" cm="1">
        <f t="array" ref="AB350:AC350">_xlfn._xlws.FILTER(A350:Z350,A350:Z350&lt;&gt;"","")</f>
        <v>Combined Science: Biology + Chemistry</v>
      </c>
      <c r="AC350">
        <v>7</v>
      </c>
      <c r="AD350" t="str">
        <v/>
      </c>
      <c r="AE350" t="str">
        <v/>
      </c>
      <c r="AF350" t="str" cm="1">
        <f t="array" ref="AF350">IF(AD350="","",SUMPRODUCT(IF(LEFT($AD$1:AD350,2)="JS",1,0)))</f>
        <v/>
      </c>
      <c r="AG350" t="str">
        <f t="shared" si="20"/>
        <v/>
      </c>
      <c r="AH350" t="str">
        <f t="shared" si="21"/>
        <v/>
      </c>
      <c r="AI350" t="str">
        <f>IF(AH350="","",MAX($AF$1:$AF350))</f>
        <v/>
      </c>
      <c r="AJ350" t="str">
        <f t="shared" si="22"/>
        <v/>
      </c>
      <c r="AK350" t="str">
        <f>IF(AJ350="","",MAX($AF$1:$AF350))</f>
        <v/>
      </c>
      <c r="AL350" t="str">
        <f t="shared" si="23"/>
        <v/>
      </c>
      <c r="AM350" t="str">
        <f>IF(AL350="","",MAX($AF$1:$AF350))</f>
        <v/>
      </c>
    </row>
    <row r="351" spans="1:39" ht="13.5" customHeight="1" x14ac:dyDescent="0.3">
      <c r="A351" s="8" t="s">
        <v>9</v>
      </c>
      <c r="B351" s="9"/>
      <c r="C351" s="10">
        <v>7</v>
      </c>
      <c r="D351" s="11"/>
      <c r="AB351" t="str" cm="1">
        <f t="array" ref="AB351:AC351">_xlfn._xlws.FILTER(A351:Z351,A351:Z351&lt;&gt;"","")</f>
        <v>Combined Science: Biology + Physics</v>
      </c>
      <c r="AC351">
        <v>7</v>
      </c>
      <c r="AD351" t="str">
        <v/>
      </c>
      <c r="AE351" t="str">
        <v/>
      </c>
      <c r="AF351" t="str" cm="1">
        <f t="array" ref="AF351">IF(AD351="","",SUMPRODUCT(IF(LEFT($AD$1:AD351,2)="JS",1,0)))</f>
        <v/>
      </c>
      <c r="AG351" t="str">
        <f t="shared" si="20"/>
        <v/>
      </c>
      <c r="AH351" t="str">
        <f t="shared" si="21"/>
        <v/>
      </c>
      <c r="AI351" t="str">
        <f>IF(AH351="","",MAX($AF$1:$AF351))</f>
        <v/>
      </c>
      <c r="AJ351" t="str">
        <f t="shared" si="22"/>
        <v/>
      </c>
      <c r="AK351" t="str">
        <f>IF(AJ351="","",MAX($AF$1:$AF351))</f>
        <v/>
      </c>
      <c r="AL351" t="str">
        <f t="shared" si="23"/>
        <v/>
      </c>
      <c r="AM351" t="str">
        <f>IF(AL351="","",MAX($AF$1:$AF351))</f>
        <v/>
      </c>
    </row>
    <row r="352" spans="1:39" ht="13.5" customHeight="1" x14ac:dyDescent="0.3">
      <c r="A352" s="8" t="s">
        <v>10</v>
      </c>
      <c r="B352" s="9"/>
      <c r="C352" s="10">
        <v>7</v>
      </c>
      <c r="D352" s="11"/>
      <c r="AB352" t="str" cm="1">
        <f t="array" ref="AB352:AC352">_xlfn._xlws.FILTER(A352:Z352,A352:Z352&lt;&gt;"","")</f>
        <v>Combined Science: Physics + Chemistry</v>
      </c>
      <c r="AC352">
        <v>7</v>
      </c>
      <c r="AD352" t="str">
        <v/>
      </c>
      <c r="AE352" t="str">
        <v/>
      </c>
      <c r="AF352" t="str" cm="1">
        <f t="array" ref="AF352">IF(AD352="","",SUMPRODUCT(IF(LEFT($AD$1:AD352,2)="JS",1,0)))</f>
        <v/>
      </c>
      <c r="AG352" t="str">
        <f t="shared" si="20"/>
        <v/>
      </c>
      <c r="AH352" t="str">
        <f t="shared" si="21"/>
        <v/>
      </c>
      <c r="AI352" t="str">
        <f>IF(AH352="","",MAX($AF$1:$AF352))</f>
        <v/>
      </c>
      <c r="AJ352" t="str">
        <f t="shared" si="22"/>
        <v/>
      </c>
      <c r="AK352" t="str">
        <f>IF(AJ352="","",MAX($AF$1:$AF352))</f>
        <v/>
      </c>
      <c r="AL352" t="str">
        <f t="shared" si="23"/>
        <v/>
      </c>
      <c r="AM352" t="str">
        <f>IF(AL352="","",MAX($AF$1:$AF352))</f>
        <v/>
      </c>
    </row>
    <row r="353" spans="1:39" ht="13.5" customHeight="1" x14ac:dyDescent="0.3">
      <c r="A353" s="8" t="s">
        <v>11</v>
      </c>
      <c r="B353" s="9"/>
      <c r="C353" s="10">
        <v>7</v>
      </c>
      <c r="D353" s="11"/>
      <c r="AB353" t="str" cm="1">
        <f t="array" ref="AB353:AC353">_xlfn._xlws.FILTER(A353:Z353,A353:Z353&lt;&gt;"","")</f>
        <v>Design and Applied Technology</v>
      </c>
      <c r="AC353">
        <v>7</v>
      </c>
      <c r="AD353" t="str">
        <v/>
      </c>
      <c r="AE353" t="str">
        <v/>
      </c>
      <c r="AF353" t="str" cm="1">
        <f t="array" ref="AF353">IF(AD353="","",SUMPRODUCT(IF(LEFT($AD$1:AD353,2)="JS",1,0)))</f>
        <v/>
      </c>
      <c r="AG353" t="str">
        <f t="shared" si="20"/>
        <v/>
      </c>
      <c r="AH353" t="str">
        <f t="shared" si="21"/>
        <v/>
      </c>
      <c r="AI353" t="str">
        <f>IF(AH353="","",MAX($AF$1:$AF353))</f>
        <v/>
      </c>
      <c r="AJ353" t="str">
        <f t="shared" si="22"/>
        <v/>
      </c>
      <c r="AK353" t="str">
        <f>IF(AJ353="","",MAX($AF$1:$AF353))</f>
        <v/>
      </c>
      <c r="AL353" t="str">
        <f t="shared" si="23"/>
        <v/>
      </c>
      <c r="AM353" t="str">
        <f>IF(AL353="","",MAX($AF$1:$AF353))</f>
        <v/>
      </c>
    </row>
    <row r="354" spans="1:39" ht="13.5" customHeight="1" x14ac:dyDescent="0.3">
      <c r="A354" s="8" t="s">
        <v>217</v>
      </c>
      <c r="B354" s="9"/>
      <c r="C354" s="10">
        <v>7</v>
      </c>
      <c r="D354" s="11"/>
      <c r="AB354" t="str" cm="1">
        <f t="array" ref="AB354:AC354">_xlfn._xlws.FILTER(A354:Z354,A354:Z354&lt;&gt;"","")</f>
        <v>ECON</v>
      </c>
      <c r="AC354">
        <v>7</v>
      </c>
      <c r="AD354" t="str">
        <v/>
      </c>
      <c r="AE354" t="str">
        <v/>
      </c>
      <c r="AF354" t="str" cm="1">
        <f t="array" ref="AF354">IF(AD354="","",SUMPRODUCT(IF(LEFT($AD$1:AD354,2)="JS",1,0)))</f>
        <v/>
      </c>
      <c r="AG354" t="b">
        <f t="shared" si="20"/>
        <v>1</v>
      </c>
      <c r="AH354" t="str">
        <f t="shared" si="21"/>
        <v/>
      </c>
      <c r="AI354" t="str">
        <f>IF(AH354="","",MAX($AF$1:$AF354))</f>
        <v/>
      </c>
      <c r="AJ354" t="str">
        <f t="shared" si="22"/>
        <v>ECON</v>
      </c>
      <c r="AK354">
        <f>IF(AJ354="","",MAX($AF$1:$AF354))</f>
        <v>7</v>
      </c>
      <c r="AL354" t="str">
        <f t="shared" si="23"/>
        <v/>
      </c>
      <c r="AM354" t="str">
        <f>IF(AL354="","",MAX($AF$1:$AF354))</f>
        <v/>
      </c>
    </row>
    <row r="355" spans="1:39" ht="13.5" customHeight="1" x14ac:dyDescent="0.3">
      <c r="A355" s="8" t="s">
        <v>218</v>
      </c>
      <c r="B355" s="9"/>
      <c r="C355" s="10">
        <v>10</v>
      </c>
      <c r="D355" s="11"/>
      <c r="AB355" t="str" cm="1">
        <f t="array" ref="AB355:AC355">_xlfn._xlws.FILTER(A355:Z355,A355:Z355&lt;&gt;"","")</f>
        <v>ENG</v>
      </c>
      <c r="AC355">
        <v>10</v>
      </c>
      <c r="AD355" t="str">
        <v/>
      </c>
      <c r="AE355" t="str">
        <v/>
      </c>
      <c r="AF355" t="str" cm="1">
        <f t="array" ref="AF355">IF(AD355="","",SUMPRODUCT(IF(LEFT($AD$1:AD355,2)="JS",1,0)))</f>
        <v/>
      </c>
      <c r="AG355" t="b">
        <f t="shared" si="20"/>
        <v>1</v>
      </c>
      <c r="AH355" t="str">
        <f t="shared" si="21"/>
        <v>ENG</v>
      </c>
      <c r="AI355">
        <f>IF(AH355="","",MAX($AF$1:$AF355))</f>
        <v>7</v>
      </c>
      <c r="AJ355" t="str">
        <f t="shared" si="22"/>
        <v/>
      </c>
      <c r="AK355" t="str">
        <f>IF(AJ355="","",MAX($AF$1:$AF355))</f>
        <v/>
      </c>
      <c r="AL355" t="str">
        <f t="shared" si="23"/>
        <v/>
      </c>
      <c r="AM355" t="str">
        <f>IF(AL355="","",MAX($AF$1:$AF355))</f>
        <v/>
      </c>
    </row>
    <row r="356" spans="1:39" ht="13.5" customHeight="1" x14ac:dyDescent="0.3">
      <c r="A356" s="8" t="s">
        <v>12</v>
      </c>
      <c r="B356" s="9"/>
      <c r="C356" s="10">
        <v>5</v>
      </c>
      <c r="D356" s="11"/>
      <c r="AB356" t="str" cm="1">
        <f t="array" ref="AB356:AC356">_xlfn._xlws.FILTER(A356:Z356,A356:Z356&lt;&gt;"","")</f>
        <v>Ethics and Religious Studies</v>
      </c>
      <c r="AC356">
        <v>5</v>
      </c>
      <c r="AD356" t="str">
        <v/>
      </c>
      <c r="AE356" t="str">
        <v/>
      </c>
      <c r="AF356" t="str" cm="1">
        <f t="array" ref="AF356">IF(AD356="","",SUMPRODUCT(IF(LEFT($AD$1:AD356,2)="JS",1,0)))</f>
        <v/>
      </c>
      <c r="AG356" t="str">
        <f t="shared" si="20"/>
        <v/>
      </c>
      <c r="AH356" t="str">
        <f t="shared" si="21"/>
        <v/>
      </c>
      <c r="AI356" t="str">
        <f>IF(AH356="","",MAX($AF$1:$AF356))</f>
        <v/>
      </c>
      <c r="AJ356" t="str">
        <f t="shared" si="22"/>
        <v/>
      </c>
      <c r="AK356" t="str">
        <f>IF(AJ356="","",MAX($AF$1:$AF356))</f>
        <v/>
      </c>
      <c r="AL356" t="str">
        <f t="shared" si="23"/>
        <v/>
      </c>
      <c r="AM356" t="str">
        <f>IF(AL356="","",MAX($AF$1:$AF356))</f>
        <v/>
      </c>
    </row>
    <row r="357" spans="1:39" ht="13.5" customHeight="1" x14ac:dyDescent="0.3">
      <c r="A357" s="8" t="s">
        <v>219</v>
      </c>
      <c r="B357" s="9"/>
      <c r="C357" s="10">
        <v>7</v>
      </c>
      <c r="D357" s="11"/>
      <c r="AB357" t="str" cm="1">
        <f t="array" ref="AB357:AC357">_xlfn._xlws.FILTER(A357:Z357,A357:Z357&lt;&gt;"","")</f>
        <v>GEOG</v>
      </c>
      <c r="AC357">
        <v>7</v>
      </c>
      <c r="AD357" t="str">
        <v/>
      </c>
      <c r="AE357" t="str">
        <v/>
      </c>
      <c r="AF357" t="str" cm="1">
        <f t="array" ref="AF357">IF(AD357="","",SUMPRODUCT(IF(LEFT($AD$1:AD357,2)="JS",1,0)))</f>
        <v/>
      </c>
      <c r="AG357" t="b">
        <f t="shared" si="20"/>
        <v>1</v>
      </c>
      <c r="AH357" t="str">
        <f t="shared" si="21"/>
        <v/>
      </c>
      <c r="AI357" t="str">
        <f>IF(AH357="","",MAX($AF$1:$AF357))</f>
        <v/>
      </c>
      <c r="AJ357" t="str">
        <f t="shared" si="22"/>
        <v>GEOG</v>
      </c>
      <c r="AK357">
        <f>IF(AJ357="","",MAX($AF$1:$AF357))</f>
        <v>7</v>
      </c>
      <c r="AL357" t="str">
        <f t="shared" si="23"/>
        <v/>
      </c>
      <c r="AM357" t="str">
        <f>IF(AL357="","",MAX($AF$1:$AF357))</f>
        <v/>
      </c>
    </row>
    <row r="358" spans="1:39" ht="13.5" customHeight="1" x14ac:dyDescent="0.3">
      <c r="A358" s="8" t="s">
        <v>220</v>
      </c>
      <c r="B358" s="9"/>
      <c r="C358" s="10">
        <v>7</v>
      </c>
      <c r="D358" s="11"/>
      <c r="AB358" t="str" cm="1">
        <f t="array" ref="AB358:AC358">_xlfn._xlws.FILTER(A358:Z358,A358:Z358&lt;&gt;"","")</f>
        <v>HMSC</v>
      </c>
      <c r="AC358">
        <v>7</v>
      </c>
      <c r="AD358" t="str">
        <v/>
      </c>
      <c r="AE358" t="str">
        <v/>
      </c>
      <c r="AF358" t="str" cm="1">
        <f t="array" ref="AF358">IF(AD358="","",SUMPRODUCT(IF(LEFT($AD$1:AD358,2)="JS",1,0)))</f>
        <v/>
      </c>
      <c r="AG358" t="b">
        <f t="shared" si="20"/>
        <v>1</v>
      </c>
      <c r="AH358" t="str">
        <f t="shared" si="21"/>
        <v/>
      </c>
      <c r="AI358" t="str">
        <f>IF(AH358="","",MAX($AF$1:$AF358))</f>
        <v/>
      </c>
      <c r="AJ358" t="str">
        <f t="shared" si="22"/>
        <v>HMSC</v>
      </c>
      <c r="AK358">
        <f>IF(AJ358="","",MAX($AF$1:$AF358))</f>
        <v>7</v>
      </c>
      <c r="AL358" t="str">
        <f t="shared" si="23"/>
        <v/>
      </c>
      <c r="AM358" t="str">
        <f>IF(AL358="","",MAX($AF$1:$AF358))</f>
        <v/>
      </c>
    </row>
    <row r="359" spans="1:39" ht="13.5" customHeight="1" x14ac:dyDescent="0.3">
      <c r="A359" s="8" t="s">
        <v>221</v>
      </c>
      <c r="B359" s="9"/>
      <c r="C359" s="10">
        <v>7</v>
      </c>
      <c r="D359" s="11"/>
      <c r="AB359" t="str" cm="1">
        <f t="array" ref="AB359:AC359">_xlfn._xlws.FILTER(A359:Z359,A359:Z359&lt;&gt;"","")</f>
        <v>HIST</v>
      </c>
      <c r="AC359">
        <v>7</v>
      </c>
      <c r="AD359" t="str">
        <v/>
      </c>
      <c r="AE359" t="str">
        <v/>
      </c>
      <c r="AF359" t="str" cm="1">
        <f t="array" ref="AF359">IF(AD359="","",SUMPRODUCT(IF(LEFT($AD$1:AD359,2)="JS",1,0)))</f>
        <v/>
      </c>
      <c r="AG359" t="b">
        <f t="shared" si="20"/>
        <v>1</v>
      </c>
      <c r="AH359" t="str">
        <f t="shared" si="21"/>
        <v/>
      </c>
      <c r="AI359" t="str">
        <f>IF(AH359="","",MAX($AF$1:$AF359))</f>
        <v/>
      </c>
      <c r="AJ359" t="str">
        <f t="shared" si="22"/>
        <v>HIST</v>
      </c>
      <c r="AK359">
        <f>IF(AJ359="","",MAX($AF$1:$AF359))</f>
        <v>7</v>
      </c>
      <c r="AL359" t="str">
        <f t="shared" si="23"/>
        <v/>
      </c>
      <c r="AM359" t="str">
        <f>IF(AL359="","",MAX($AF$1:$AF359))</f>
        <v/>
      </c>
    </row>
    <row r="360" spans="1:39" ht="13.5" customHeight="1" x14ac:dyDescent="0.3">
      <c r="A360" s="8" t="s">
        <v>222</v>
      </c>
      <c r="B360" s="9"/>
      <c r="C360" s="10">
        <v>7</v>
      </c>
      <c r="D360" s="11"/>
      <c r="AB360" t="str" cm="1">
        <f t="array" ref="AB360:AC360">_xlfn._xlws.FILTER(A360:Z360,A360:Z360&lt;&gt;"","")</f>
        <v>ICT</v>
      </c>
      <c r="AC360">
        <v>7</v>
      </c>
      <c r="AD360" t="str">
        <v/>
      </c>
      <c r="AE360" t="str">
        <v/>
      </c>
      <c r="AF360" t="str" cm="1">
        <f t="array" ref="AF360">IF(AD360="","",SUMPRODUCT(IF(LEFT($AD$1:AD360,2)="JS",1,0)))</f>
        <v/>
      </c>
      <c r="AG360" t="b">
        <f t="shared" si="20"/>
        <v>1</v>
      </c>
      <c r="AH360" t="str">
        <f t="shared" si="21"/>
        <v/>
      </c>
      <c r="AI360" t="str">
        <f>IF(AH360="","",MAX($AF$1:$AF360))</f>
        <v/>
      </c>
      <c r="AJ360" t="str">
        <f t="shared" si="22"/>
        <v>ICT</v>
      </c>
      <c r="AK360">
        <f>IF(AJ360="","",MAX($AF$1:$AF360))</f>
        <v>7</v>
      </c>
      <c r="AL360" t="str">
        <f t="shared" si="23"/>
        <v/>
      </c>
      <c r="AM360" t="str">
        <f>IF(AL360="","",MAX($AF$1:$AF360))</f>
        <v/>
      </c>
    </row>
    <row r="361" spans="1:39" ht="13.5" customHeight="1" x14ac:dyDescent="0.3">
      <c r="A361" s="8" t="s">
        <v>13</v>
      </c>
      <c r="B361" s="9"/>
      <c r="C361" s="10">
        <v>7</v>
      </c>
      <c r="D361" s="11"/>
      <c r="AB361" t="str" cm="1">
        <f t="array" ref="AB361:AC361">_xlfn._xlws.FILTER(A361:Z361,A361:Z361&lt;&gt;"","")</f>
        <v>Integrated Science</v>
      </c>
      <c r="AC361">
        <v>7</v>
      </c>
      <c r="AD361" t="str">
        <v/>
      </c>
      <c r="AE361" t="str">
        <v/>
      </c>
      <c r="AF361" t="str" cm="1">
        <f t="array" ref="AF361">IF(AD361="","",SUMPRODUCT(IF(LEFT($AD$1:AD361,2)="JS",1,0)))</f>
        <v/>
      </c>
      <c r="AG361" t="str">
        <f t="shared" si="20"/>
        <v/>
      </c>
      <c r="AH361" t="str">
        <f t="shared" si="21"/>
        <v/>
      </c>
      <c r="AI361" t="str">
        <f>IF(AH361="","",MAX($AF$1:$AF361))</f>
        <v/>
      </c>
      <c r="AJ361" t="str">
        <f t="shared" si="22"/>
        <v/>
      </c>
      <c r="AK361" t="str">
        <f>IF(AJ361="","",MAX($AF$1:$AF361))</f>
        <v/>
      </c>
      <c r="AL361" t="str">
        <f t="shared" si="23"/>
        <v/>
      </c>
      <c r="AM361" t="str">
        <f>IF(AL361="","",MAX($AF$1:$AF361))</f>
        <v/>
      </c>
    </row>
    <row r="362" spans="1:39" ht="13.5" customHeight="1" x14ac:dyDescent="0.3">
      <c r="A362" s="8" t="s">
        <v>223</v>
      </c>
      <c r="B362" s="9"/>
      <c r="C362" s="10">
        <v>7</v>
      </c>
      <c r="D362" s="11"/>
      <c r="AB362" t="str" cm="1">
        <f t="array" ref="AB362:AC362">_xlfn._xlws.FILTER(A362:Z362,A362:Z362&lt;&gt;"","")</f>
        <v>通</v>
      </c>
      <c r="AC362">
        <v>7</v>
      </c>
      <c r="AD362" t="str">
        <v/>
      </c>
      <c r="AE362" t="str">
        <v/>
      </c>
      <c r="AF362" t="str" cm="1">
        <f t="array" ref="AF362">IF(AD362="","",SUMPRODUCT(IF(LEFT($AD$1:AD362,2)="JS",1,0)))</f>
        <v/>
      </c>
      <c r="AG362" t="b">
        <f t="shared" si="20"/>
        <v>1</v>
      </c>
      <c r="AH362" t="str">
        <f t="shared" si="21"/>
        <v/>
      </c>
      <c r="AI362" t="str">
        <f>IF(AH362="","",MAX($AF$1:$AF362))</f>
        <v/>
      </c>
      <c r="AJ362" t="str">
        <f t="shared" si="22"/>
        <v>通</v>
      </c>
      <c r="AK362">
        <f>IF(AJ362="","",MAX($AF$1:$AF362))</f>
        <v>7</v>
      </c>
      <c r="AL362" t="str">
        <f t="shared" si="23"/>
        <v/>
      </c>
      <c r="AM362" t="str">
        <f>IF(AL362="","",MAX($AF$1:$AF362))</f>
        <v/>
      </c>
    </row>
    <row r="363" spans="1:39" ht="13.5" customHeight="1" x14ac:dyDescent="0.3">
      <c r="A363" s="8" t="s">
        <v>14</v>
      </c>
      <c r="B363" s="9"/>
      <c r="C363" s="10">
        <v>7</v>
      </c>
      <c r="D363" s="11"/>
      <c r="AB363" t="str" cm="1">
        <f t="array" ref="AB363:AC363">_xlfn._xlws.FILTER(A363:Z363,A363:Z363&lt;&gt;"","")</f>
        <v>Literature in English</v>
      </c>
      <c r="AC363">
        <v>7</v>
      </c>
      <c r="AD363" t="str">
        <v/>
      </c>
      <c r="AE363" t="str">
        <v/>
      </c>
      <c r="AF363" t="str" cm="1">
        <f t="array" ref="AF363">IF(AD363="","",SUMPRODUCT(IF(LEFT($AD$1:AD363,2)="JS",1,0)))</f>
        <v/>
      </c>
      <c r="AG363" t="str">
        <f t="shared" si="20"/>
        <v/>
      </c>
      <c r="AH363" t="str">
        <f t="shared" si="21"/>
        <v/>
      </c>
      <c r="AI363" t="str">
        <f>IF(AH363="","",MAX($AF$1:$AF363))</f>
        <v/>
      </c>
      <c r="AJ363" t="str">
        <f t="shared" si="22"/>
        <v/>
      </c>
      <c r="AK363" t="str">
        <f>IF(AJ363="","",MAX($AF$1:$AF363))</f>
        <v/>
      </c>
      <c r="AL363" t="str">
        <f t="shared" si="23"/>
        <v/>
      </c>
      <c r="AM363" t="str">
        <f>IF(AL363="","",MAX($AF$1:$AF363))</f>
        <v/>
      </c>
    </row>
    <row r="364" spans="1:39" ht="13.5" customHeight="1" x14ac:dyDescent="0.3">
      <c r="A364" s="8" t="s">
        <v>224</v>
      </c>
      <c r="B364" s="9"/>
      <c r="C364" s="10">
        <v>7</v>
      </c>
      <c r="D364" s="11"/>
      <c r="AB364" t="str" cm="1">
        <f t="array" ref="AB364:AC364">_xlfn._xlws.FILTER(A364:Z364,A364:Z364&lt;&gt;"","")</f>
        <v>MATH</v>
      </c>
      <c r="AC364">
        <v>7</v>
      </c>
      <c r="AD364" t="str">
        <v/>
      </c>
      <c r="AE364" t="str">
        <v/>
      </c>
      <c r="AF364" t="str" cm="1">
        <f t="array" ref="AF364">IF(AD364="","",SUMPRODUCT(IF(LEFT($AD$1:AD364,2)="JS",1,0)))</f>
        <v/>
      </c>
      <c r="AG364" t="b">
        <f t="shared" si="20"/>
        <v>1</v>
      </c>
      <c r="AH364" t="str">
        <f t="shared" si="21"/>
        <v/>
      </c>
      <c r="AI364" t="str">
        <f>IF(AH364="","",MAX($AF$1:$AF364))</f>
        <v/>
      </c>
      <c r="AJ364" t="str">
        <f t="shared" si="22"/>
        <v>MATH</v>
      </c>
      <c r="AK364">
        <f>IF(AJ364="","",MAX($AF$1:$AF364))</f>
        <v>7</v>
      </c>
      <c r="AL364" t="str">
        <f t="shared" si="23"/>
        <v/>
      </c>
      <c r="AM364" t="str">
        <f>IF(AL364="","",MAX($AF$1:$AF364))</f>
        <v/>
      </c>
    </row>
    <row r="365" spans="1:39" ht="13.5" customHeight="1" x14ac:dyDescent="0.3">
      <c r="A365" s="8" t="s">
        <v>225</v>
      </c>
      <c r="B365" s="9"/>
      <c r="C365" s="10">
        <v>7</v>
      </c>
      <c r="D365" s="11"/>
      <c r="AB365" t="str" cm="1">
        <f t="array" ref="AB365:AC365">_xlfn._xlws.FILTER(A365:Z365,A365:Z365&lt;&gt;"","")</f>
        <v>M2</v>
      </c>
      <c r="AC365">
        <v>7</v>
      </c>
      <c r="AD365" t="str">
        <v/>
      </c>
      <c r="AE365" t="str">
        <v/>
      </c>
      <c r="AF365" t="str" cm="1">
        <f t="array" ref="AF365">IF(AD365="","",SUMPRODUCT(IF(LEFT($AD$1:AD365,2)="JS",1,0)))</f>
        <v/>
      </c>
      <c r="AG365" t="b">
        <f t="shared" si="20"/>
        <v>1</v>
      </c>
      <c r="AH365" t="str">
        <f t="shared" si="21"/>
        <v/>
      </c>
      <c r="AI365" t="str">
        <f>IF(AH365="","",MAX($AF$1:$AF365))</f>
        <v/>
      </c>
      <c r="AJ365" t="str">
        <f t="shared" si="22"/>
        <v>M2</v>
      </c>
      <c r="AK365">
        <f>IF(AJ365="","",MAX($AF$1:$AF365))</f>
        <v>7</v>
      </c>
      <c r="AL365" t="str">
        <f t="shared" si="23"/>
        <v/>
      </c>
      <c r="AM365" t="str">
        <f>IF(AL365="","",MAX($AF$1:$AF365))</f>
        <v/>
      </c>
    </row>
    <row r="366" spans="1:39" ht="13.5" customHeight="1" x14ac:dyDescent="0.3">
      <c r="A366" s="8" t="s">
        <v>15</v>
      </c>
      <c r="B366" s="9"/>
      <c r="C366" s="10">
        <v>7</v>
      </c>
      <c r="D366" s="11"/>
      <c r="AB366" t="str" cm="1">
        <f t="array" ref="AB366:AC366">_xlfn._xlws.FILTER(A366:Z366,A366:Z366&lt;&gt;"","")</f>
        <v>Mathematics (Extended part - Calculus and Statistics)</v>
      </c>
      <c r="AC366">
        <v>7</v>
      </c>
      <c r="AD366" t="str">
        <v/>
      </c>
      <c r="AE366" t="str">
        <v/>
      </c>
      <c r="AF366" t="str" cm="1">
        <f t="array" ref="AF366">IF(AD366="","",SUMPRODUCT(IF(LEFT($AD$1:AD366,2)="JS",1,0)))</f>
        <v/>
      </c>
      <c r="AG366" t="str">
        <f t="shared" si="20"/>
        <v/>
      </c>
      <c r="AH366" t="str">
        <f t="shared" si="21"/>
        <v/>
      </c>
      <c r="AI366" t="str">
        <f>IF(AH366="","",MAX($AF$1:$AF366))</f>
        <v/>
      </c>
      <c r="AJ366" t="str">
        <f t="shared" si="22"/>
        <v/>
      </c>
      <c r="AK366" t="str">
        <f>IF(AJ366="","",MAX($AF$1:$AF366))</f>
        <v/>
      </c>
      <c r="AL366" t="str">
        <f t="shared" si="23"/>
        <v/>
      </c>
      <c r="AM366" t="str">
        <f>IF(AL366="","",MAX($AF$1:$AF366))</f>
        <v/>
      </c>
    </row>
    <row r="367" spans="1:39" ht="13.5" customHeight="1" x14ac:dyDescent="0.3">
      <c r="A367" s="8" t="s">
        <v>16</v>
      </c>
      <c r="B367" s="9"/>
      <c r="C367" s="10">
        <v>5</v>
      </c>
      <c r="D367" s="11"/>
      <c r="AB367" t="str" cm="1">
        <f t="array" ref="AB367:AC367">_xlfn._xlws.FILTER(A367:Z367,A367:Z367&lt;&gt;"","")</f>
        <v>Music</v>
      </c>
      <c r="AC367">
        <v>5</v>
      </c>
      <c r="AD367" t="str">
        <v/>
      </c>
      <c r="AE367" t="str">
        <v/>
      </c>
      <c r="AF367" t="str" cm="1">
        <f t="array" ref="AF367">IF(AD367="","",SUMPRODUCT(IF(LEFT($AD$1:AD367,2)="JS",1,0)))</f>
        <v/>
      </c>
      <c r="AG367" t="str">
        <f t="shared" si="20"/>
        <v/>
      </c>
      <c r="AH367" t="str">
        <f t="shared" si="21"/>
        <v/>
      </c>
      <c r="AI367" t="str">
        <f>IF(AH367="","",MAX($AF$1:$AF367))</f>
        <v/>
      </c>
      <c r="AJ367" t="str">
        <f t="shared" si="22"/>
        <v/>
      </c>
      <c r="AK367" t="str">
        <f>IF(AJ367="","",MAX($AF$1:$AF367))</f>
        <v/>
      </c>
      <c r="AL367" t="str">
        <f t="shared" si="23"/>
        <v/>
      </c>
      <c r="AM367" t="str">
        <f>IF(AL367="","",MAX($AF$1:$AF367))</f>
        <v/>
      </c>
    </row>
    <row r="368" spans="1:39" ht="13.5" customHeight="1" x14ac:dyDescent="0.3">
      <c r="A368" s="8" t="s">
        <v>17</v>
      </c>
      <c r="B368" s="9"/>
      <c r="C368" s="10">
        <v>5</v>
      </c>
      <c r="D368" s="11"/>
      <c r="AB368" t="str" cm="1">
        <f t="array" ref="AB368:AC368">_xlfn._xlws.FILTER(A368:Z368,A368:Z368&lt;&gt;"","")</f>
        <v>Physical Education</v>
      </c>
      <c r="AC368">
        <v>5</v>
      </c>
      <c r="AD368" t="str">
        <v/>
      </c>
      <c r="AE368" t="str">
        <v/>
      </c>
      <c r="AF368" t="str" cm="1">
        <f t="array" ref="AF368">IF(AD368="","",SUMPRODUCT(IF(LEFT($AD$1:AD368,2)="JS",1,0)))</f>
        <v/>
      </c>
      <c r="AG368" t="str">
        <f t="shared" si="20"/>
        <v/>
      </c>
      <c r="AH368" t="str">
        <f t="shared" si="21"/>
        <v/>
      </c>
      <c r="AI368" t="str">
        <f>IF(AH368="","",MAX($AF$1:$AF368))</f>
        <v/>
      </c>
      <c r="AJ368" t="str">
        <f t="shared" si="22"/>
        <v/>
      </c>
      <c r="AK368" t="str">
        <f>IF(AJ368="","",MAX($AF$1:$AF368))</f>
        <v/>
      </c>
      <c r="AL368" t="str">
        <f t="shared" si="23"/>
        <v/>
      </c>
      <c r="AM368" t="str">
        <f>IF(AL368="","",MAX($AF$1:$AF368))</f>
        <v/>
      </c>
    </row>
    <row r="369" spans="1:39" ht="13.5" customHeight="1" x14ac:dyDescent="0.3">
      <c r="A369" s="8" t="s">
        <v>226</v>
      </c>
      <c r="B369" s="9"/>
      <c r="C369" s="10">
        <v>7</v>
      </c>
      <c r="D369" s="11"/>
      <c r="AB369" t="str" cm="1">
        <f t="array" ref="AB369:AC369">_xlfn._xlws.FILTER(A369:Z369,A369:Z369&lt;&gt;"","")</f>
        <v>PHY</v>
      </c>
      <c r="AC369">
        <v>7</v>
      </c>
      <c r="AD369" t="str">
        <v/>
      </c>
      <c r="AE369" t="str">
        <v/>
      </c>
      <c r="AF369" t="str" cm="1">
        <f t="array" ref="AF369">IF(AD369="","",SUMPRODUCT(IF(LEFT($AD$1:AD369,2)="JS",1,0)))</f>
        <v/>
      </c>
      <c r="AG369" t="b">
        <f t="shared" si="20"/>
        <v>1</v>
      </c>
      <c r="AH369" t="str">
        <f t="shared" si="21"/>
        <v/>
      </c>
      <c r="AI369" t="str">
        <f>IF(AH369="","",MAX($AF$1:$AF369))</f>
        <v/>
      </c>
      <c r="AJ369" t="str">
        <f t="shared" si="22"/>
        <v>PHY</v>
      </c>
      <c r="AK369">
        <f>IF(AJ369="","",MAX($AF$1:$AF369))</f>
        <v>7</v>
      </c>
      <c r="AL369" t="str">
        <f t="shared" si="23"/>
        <v/>
      </c>
      <c r="AM369" t="str">
        <f>IF(AL369="","",MAX($AF$1:$AF369))</f>
        <v/>
      </c>
    </row>
    <row r="370" spans="1:39" ht="13.5" customHeight="1" x14ac:dyDescent="0.3">
      <c r="A370" s="8" t="s">
        <v>18</v>
      </c>
      <c r="B370" s="9"/>
      <c r="C370" s="10">
        <v>5</v>
      </c>
      <c r="D370" s="11"/>
      <c r="AB370" t="str" cm="1">
        <f t="array" ref="AB370:AC370">_xlfn._xlws.FILTER(A370:Z370,A370:Z370&lt;&gt;"","")</f>
        <v>Technology and Living (Fashion, Clothing and Textiles)</v>
      </c>
      <c r="AC370">
        <v>5</v>
      </c>
      <c r="AD370" t="str">
        <v/>
      </c>
      <c r="AE370" t="str">
        <v/>
      </c>
      <c r="AF370" t="str" cm="1">
        <f t="array" ref="AF370">IF(AD370="","",SUMPRODUCT(IF(LEFT($AD$1:AD370,2)="JS",1,0)))</f>
        <v/>
      </c>
      <c r="AG370" t="str">
        <f t="shared" si="20"/>
        <v/>
      </c>
      <c r="AH370" t="str">
        <f t="shared" si="21"/>
        <v/>
      </c>
      <c r="AI370" t="str">
        <f>IF(AH370="","",MAX($AF$1:$AF370))</f>
        <v/>
      </c>
      <c r="AJ370" t="str">
        <f t="shared" si="22"/>
        <v/>
      </c>
      <c r="AK370" t="str">
        <f>IF(AJ370="","",MAX($AF$1:$AF370))</f>
        <v/>
      </c>
      <c r="AL370" t="str">
        <f t="shared" si="23"/>
        <v/>
      </c>
      <c r="AM370" t="str">
        <f>IF(AL370="","",MAX($AF$1:$AF370))</f>
        <v/>
      </c>
    </row>
    <row r="371" spans="1:39" ht="13.5" customHeight="1" x14ac:dyDescent="0.3">
      <c r="A371" s="8" t="s">
        <v>19</v>
      </c>
      <c r="B371" s="9"/>
      <c r="C371" s="10">
        <v>5</v>
      </c>
      <c r="D371" s="11"/>
      <c r="AB371" t="str" cm="1">
        <f t="array" ref="AB371:AC371">_xlfn._xlws.FILTER(A371:Z371,A371:Z371&lt;&gt;"","")</f>
        <v>Technology and Living (Food Science and Technology)</v>
      </c>
      <c r="AC371">
        <v>5</v>
      </c>
      <c r="AD371" t="str">
        <v/>
      </c>
      <c r="AE371" t="str">
        <v/>
      </c>
      <c r="AF371" t="str" cm="1">
        <f t="array" ref="AF371">IF(AD371="","",SUMPRODUCT(IF(LEFT($AD$1:AD371,2)="JS",1,0)))</f>
        <v/>
      </c>
      <c r="AG371" t="str">
        <f t="shared" si="20"/>
        <v/>
      </c>
      <c r="AH371" t="str">
        <f t="shared" si="21"/>
        <v/>
      </c>
      <c r="AI371" t="str">
        <f>IF(AH371="","",MAX($AF$1:$AF371))</f>
        <v/>
      </c>
      <c r="AJ371" t="str">
        <f t="shared" si="22"/>
        <v/>
      </c>
      <c r="AK371" t="str">
        <f>IF(AJ371="","",MAX($AF$1:$AF371))</f>
        <v/>
      </c>
      <c r="AL371" t="str">
        <f t="shared" si="23"/>
        <v/>
      </c>
      <c r="AM371" t="str">
        <f>IF(AL371="","",MAX($AF$1:$AF371))</f>
        <v/>
      </c>
    </row>
    <row r="372" spans="1:39" ht="13.5" customHeight="1" x14ac:dyDescent="0.3">
      <c r="A372" s="8" t="s">
        <v>20</v>
      </c>
      <c r="B372" s="9"/>
      <c r="C372" s="10">
        <v>7</v>
      </c>
      <c r="D372" s="11"/>
      <c r="AB372" t="str" cm="1">
        <f t="array" ref="AB372:AC372">_xlfn._xlws.FILTER(A372:Z372,A372:Z372&lt;&gt;"","")</f>
        <v>Tourism and Hospitality Studies</v>
      </c>
      <c r="AC372">
        <v>7</v>
      </c>
      <c r="AD372" t="str">
        <v/>
      </c>
      <c r="AE372" t="str">
        <v/>
      </c>
      <c r="AF372" t="str" cm="1">
        <f t="array" ref="AF372">IF(AD372="","",SUMPRODUCT(IF(LEFT($AD$1:AD372,2)="JS",1,0)))</f>
        <v/>
      </c>
      <c r="AG372" t="str">
        <f t="shared" si="20"/>
        <v/>
      </c>
      <c r="AH372" t="str">
        <f t="shared" si="21"/>
        <v/>
      </c>
      <c r="AI372" t="str">
        <f>IF(AH372="","",MAX($AF$1:$AF372))</f>
        <v/>
      </c>
      <c r="AJ372" t="str">
        <f t="shared" si="22"/>
        <v/>
      </c>
      <c r="AK372" t="str">
        <f>IF(AJ372="","",MAX($AF$1:$AF372))</f>
        <v/>
      </c>
      <c r="AL372" t="str">
        <f t="shared" si="23"/>
        <v/>
      </c>
      <c r="AM372" t="str">
        <f>IF(AL372="","",MAX($AF$1:$AF372))</f>
        <v/>
      </c>
    </row>
    <row r="373" spans="1:39" ht="13.5" customHeight="1" x14ac:dyDescent="0.3">
      <c r="A373" s="8" t="s">
        <v>210</v>
      </c>
      <c r="B373" s="9"/>
      <c r="C373" s="10">
        <v>5</v>
      </c>
      <c r="D373" s="11"/>
      <c r="AB373" t="str" cm="1">
        <f t="array" ref="AB373:AC373">_xlfn._xlws.FILTER(A373:Z373,A373:Z373&lt;&gt;"","")</f>
        <v>VA</v>
      </c>
      <c r="AC373">
        <v>5</v>
      </c>
      <c r="AD373" t="str">
        <v/>
      </c>
      <c r="AE373" t="str">
        <v/>
      </c>
      <c r="AF373" t="str" cm="1">
        <f t="array" ref="AF373">IF(AD373="","",SUMPRODUCT(IF(LEFT($AD$1:AD373,2)="JS",1,0)))</f>
        <v/>
      </c>
      <c r="AG373" t="b">
        <f t="shared" si="20"/>
        <v>1</v>
      </c>
      <c r="AH373" t="str">
        <f t="shared" si="21"/>
        <v/>
      </c>
      <c r="AI373" t="str">
        <f>IF(AH373="","",MAX($AF$1:$AF373))</f>
        <v/>
      </c>
      <c r="AJ373" t="str">
        <f t="shared" si="22"/>
        <v/>
      </c>
      <c r="AK373" t="str">
        <f>IF(AJ373="","",MAX($AF$1:$AF373))</f>
        <v/>
      </c>
      <c r="AL373" t="str">
        <f t="shared" si="23"/>
        <v>VA</v>
      </c>
      <c r="AM373">
        <f>IF(AL373="","",MAX($AF$1:$AF373))</f>
        <v>7</v>
      </c>
    </row>
    <row r="374" spans="1:39" ht="14.5" customHeight="1" x14ac:dyDescent="0.3">
      <c r="A374" s="12"/>
      <c r="B374" s="12"/>
      <c r="C374" s="2"/>
      <c r="D374" s="2"/>
      <c r="AB374" t="str" cm="1">
        <f t="array" ref="AB374">_xlfn._xlws.FILTER(A374:Z374,A374:Z374&lt;&gt;"","")</f>
        <v/>
      </c>
      <c r="AD374" t="str">
        <v/>
      </c>
      <c r="AE374" t="str">
        <v/>
      </c>
      <c r="AF374" t="str" cm="1">
        <f t="array" ref="AF374">IF(AD374="","",SUMPRODUCT(IF(LEFT($AD$1:AD374,2)="JS",1,0)))</f>
        <v/>
      </c>
      <c r="AG374" t="str">
        <f t="shared" si="20"/>
        <v/>
      </c>
      <c r="AH374" t="str">
        <f t="shared" si="21"/>
        <v/>
      </c>
      <c r="AI374" t="str">
        <f>IF(AH374="","",MAX($AF$1:$AF374))</f>
        <v/>
      </c>
      <c r="AJ374" t="str">
        <f t="shared" si="22"/>
        <v/>
      </c>
      <c r="AK374" t="str">
        <f>IF(AJ374="","",MAX($AF$1:$AF374))</f>
        <v/>
      </c>
      <c r="AL374" t="str">
        <f t="shared" si="23"/>
        <v/>
      </c>
      <c r="AM374" t="str">
        <f>IF(AL374="","",MAX($AF$1:$AF374))</f>
        <v/>
      </c>
    </row>
    <row r="375" spans="1:39" ht="13.5" customHeight="1" x14ac:dyDescent="0.3">
      <c r="A375" s="13" t="s">
        <v>34</v>
      </c>
      <c r="B375" s="13"/>
      <c r="C375" s="13"/>
      <c r="D375" s="13"/>
      <c r="AB375" t="str" cm="1">
        <f t="array" ref="AB375">_xlfn._xlws.FILTER(A375:Z375,A375:Z375&lt;&gt;"","")</f>
        <v>Category C: Other Language Subjects</v>
      </c>
      <c r="AD375" t="str">
        <v/>
      </c>
      <c r="AE375" t="str">
        <v/>
      </c>
      <c r="AF375" t="str" cm="1">
        <f t="array" ref="AF375">IF(AD375="","",SUMPRODUCT(IF(LEFT($AD$1:AD375,2)="JS",1,0)))</f>
        <v/>
      </c>
      <c r="AG375" t="str">
        <f t="shared" si="20"/>
        <v/>
      </c>
      <c r="AH375" t="str">
        <f t="shared" si="21"/>
        <v/>
      </c>
      <c r="AI375" t="str">
        <f>IF(AH375="","",MAX($AF$1:$AF375))</f>
        <v/>
      </c>
      <c r="AJ375" t="str">
        <f t="shared" si="22"/>
        <v/>
      </c>
      <c r="AK375" t="str">
        <f>IF(AJ375="","",MAX($AF$1:$AF375))</f>
        <v/>
      </c>
      <c r="AL375" t="str">
        <f t="shared" si="23"/>
        <v/>
      </c>
      <c r="AM375" t="str">
        <f>IF(AL375="","",MAX($AF$1:$AF375))</f>
        <v/>
      </c>
    </row>
    <row r="376" spans="1:39" ht="13.5" customHeight="1" x14ac:dyDescent="0.3">
      <c r="A376" s="14" t="s">
        <v>3</v>
      </c>
      <c r="B376" s="15"/>
      <c r="C376" s="16" t="s">
        <v>4</v>
      </c>
      <c r="D376" s="17"/>
      <c r="AB376" t="str" cm="1">
        <f t="array" ref="AB376:AC376">_xlfn._xlws.FILTER(A376:Z376,A376:Z376&lt;&gt;"","")</f>
        <v>Subject Name</v>
      </c>
      <c r="AC376" t="str">
        <v>Subject Weighting for 2023/24 Admission Exercise *</v>
      </c>
      <c r="AD376" t="str">
        <v/>
      </c>
      <c r="AE376" t="str">
        <v/>
      </c>
      <c r="AF376" t="str" cm="1">
        <f t="array" ref="AF376">IF(AD376="","",SUMPRODUCT(IF(LEFT($AD$1:AD376,2)="JS",1,0)))</f>
        <v/>
      </c>
      <c r="AG376" t="str">
        <f t="shared" si="20"/>
        <v/>
      </c>
      <c r="AH376" t="str">
        <f t="shared" si="21"/>
        <v/>
      </c>
      <c r="AI376" t="str">
        <f>IF(AH376="","",MAX($AF$1:$AF376))</f>
        <v/>
      </c>
      <c r="AJ376" t="str">
        <f t="shared" si="22"/>
        <v/>
      </c>
      <c r="AK376" t="str">
        <f>IF(AJ376="","",MAX($AF$1:$AF376))</f>
        <v/>
      </c>
      <c r="AL376" t="str">
        <f t="shared" si="23"/>
        <v/>
      </c>
      <c r="AM376" t="str">
        <f>IF(AL376="","",MAX($AF$1:$AF376))</f>
        <v/>
      </c>
    </row>
    <row r="377" spans="1:39" ht="13.5" customHeight="1" x14ac:dyDescent="0.3">
      <c r="A377" s="8" t="s">
        <v>35</v>
      </c>
      <c r="B377" s="9"/>
      <c r="C377" s="10">
        <v>5</v>
      </c>
      <c r="D377" s="11"/>
      <c r="AB377" t="str" cm="1">
        <f t="array" ref="AB377:AC377">_xlfn._xlws.FILTER(A377:Z377,A377:Z377&lt;&gt;"","")</f>
        <v>French</v>
      </c>
      <c r="AC377">
        <v>5</v>
      </c>
      <c r="AD377" t="str">
        <v/>
      </c>
      <c r="AE377" t="str">
        <v/>
      </c>
      <c r="AF377" t="str" cm="1">
        <f t="array" ref="AF377">IF(AD377="","",SUMPRODUCT(IF(LEFT($AD$1:AD377,2)="JS",1,0)))</f>
        <v/>
      </c>
      <c r="AG377" t="str">
        <f t="shared" si="20"/>
        <v/>
      </c>
      <c r="AH377" t="str">
        <f t="shared" si="21"/>
        <v/>
      </c>
      <c r="AI377" t="str">
        <f>IF(AH377="","",MAX($AF$1:$AF377))</f>
        <v/>
      </c>
      <c r="AJ377" t="str">
        <f t="shared" si="22"/>
        <v/>
      </c>
      <c r="AK377" t="str">
        <f>IF(AJ377="","",MAX($AF$1:$AF377))</f>
        <v/>
      </c>
      <c r="AL377" t="str">
        <f t="shared" si="23"/>
        <v/>
      </c>
      <c r="AM377" t="str">
        <f>IF(AL377="","",MAX($AF$1:$AF377))</f>
        <v/>
      </c>
    </row>
    <row r="378" spans="1:39" ht="13.5" customHeight="1" x14ac:dyDescent="0.3">
      <c r="A378" s="8" t="s">
        <v>36</v>
      </c>
      <c r="B378" s="9"/>
      <c r="C378" s="10">
        <v>5</v>
      </c>
      <c r="D378" s="11"/>
      <c r="AB378" t="str" cm="1">
        <f t="array" ref="AB378:AC378">_xlfn._xlws.FILTER(A378:Z378,A378:Z378&lt;&gt;"","")</f>
        <v>German</v>
      </c>
      <c r="AC378">
        <v>5</v>
      </c>
      <c r="AD378" t="str">
        <v/>
      </c>
      <c r="AE378" t="str">
        <v/>
      </c>
      <c r="AF378" t="str" cm="1">
        <f t="array" ref="AF378">IF(AD378="","",SUMPRODUCT(IF(LEFT($AD$1:AD378,2)="JS",1,0)))</f>
        <v/>
      </c>
      <c r="AG378" t="str">
        <f t="shared" si="20"/>
        <v/>
      </c>
      <c r="AH378" t="str">
        <f t="shared" si="21"/>
        <v/>
      </c>
      <c r="AI378" t="str">
        <f>IF(AH378="","",MAX($AF$1:$AF378))</f>
        <v/>
      </c>
      <c r="AJ378" t="str">
        <f t="shared" si="22"/>
        <v/>
      </c>
      <c r="AK378" t="str">
        <f>IF(AJ378="","",MAX($AF$1:$AF378))</f>
        <v/>
      </c>
      <c r="AL378" t="str">
        <f t="shared" si="23"/>
        <v/>
      </c>
      <c r="AM378" t="str">
        <f>IF(AL378="","",MAX($AF$1:$AF378))</f>
        <v/>
      </c>
    </row>
    <row r="379" spans="1:39" ht="13.5" customHeight="1" x14ac:dyDescent="0.3">
      <c r="A379" s="8" t="s">
        <v>37</v>
      </c>
      <c r="B379" s="9"/>
      <c r="C379" s="10">
        <v>5</v>
      </c>
      <c r="D379" s="11"/>
      <c r="AB379" t="str" cm="1">
        <f t="array" ref="AB379:AC379">_xlfn._xlws.FILTER(A379:Z379,A379:Z379&lt;&gt;"","")</f>
        <v>Hindi</v>
      </c>
      <c r="AC379">
        <v>5</v>
      </c>
      <c r="AD379" t="str">
        <v/>
      </c>
      <c r="AE379" t="str">
        <v/>
      </c>
      <c r="AF379" t="str" cm="1">
        <f t="array" ref="AF379">IF(AD379="","",SUMPRODUCT(IF(LEFT($AD$1:AD379,2)="JS",1,0)))</f>
        <v/>
      </c>
      <c r="AG379" t="str">
        <f t="shared" si="20"/>
        <v/>
      </c>
      <c r="AH379" t="str">
        <f t="shared" si="21"/>
        <v/>
      </c>
      <c r="AI379" t="str">
        <f>IF(AH379="","",MAX($AF$1:$AF379))</f>
        <v/>
      </c>
      <c r="AJ379" t="str">
        <f t="shared" si="22"/>
        <v/>
      </c>
      <c r="AK379" t="str">
        <f>IF(AJ379="","",MAX($AF$1:$AF379))</f>
        <v/>
      </c>
      <c r="AL379" t="str">
        <f t="shared" si="23"/>
        <v/>
      </c>
      <c r="AM379" t="str">
        <f>IF(AL379="","",MAX($AF$1:$AF379))</f>
        <v/>
      </c>
    </row>
    <row r="380" spans="1:39" ht="13.5" customHeight="1" x14ac:dyDescent="0.3">
      <c r="A380" s="8" t="s">
        <v>38</v>
      </c>
      <c r="B380" s="9"/>
      <c r="C380" s="10">
        <v>5</v>
      </c>
      <c r="D380" s="11"/>
      <c r="AB380" t="str" cm="1">
        <f t="array" ref="AB380:AC380">_xlfn._xlws.FILTER(A380:Z380,A380:Z380&lt;&gt;"","")</f>
        <v>Japanese</v>
      </c>
      <c r="AC380">
        <v>5</v>
      </c>
      <c r="AD380" t="str">
        <v/>
      </c>
      <c r="AE380" t="str">
        <v/>
      </c>
      <c r="AF380" t="str" cm="1">
        <f t="array" ref="AF380">IF(AD380="","",SUMPRODUCT(IF(LEFT($AD$1:AD380,2)="JS",1,0)))</f>
        <v/>
      </c>
      <c r="AG380" t="str">
        <f t="shared" si="20"/>
        <v/>
      </c>
      <c r="AH380" t="str">
        <f t="shared" si="21"/>
        <v/>
      </c>
      <c r="AI380" t="str">
        <f>IF(AH380="","",MAX($AF$1:$AF380))</f>
        <v/>
      </c>
      <c r="AJ380" t="str">
        <f t="shared" si="22"/>
        <v/>
      </c>
      <c r="AK380" t="str">
        <f>IF(AJ380="","",MAX($AF$1:$AF380))</f>
        <v/>
      </c>
      <c r="AL380" t="str">
        <f t="shared" si="23"/>
        <v/>
      </c>
      <c r="AM380" t="str">
        <f>IF(AL380="","",MAX($AF$1:$AF380))</f>
        <v/>
      </c>
    </row>
    <row r="381" spans="1:39" ht="13.5" customHeight="1" x14ac:dyDescent="0.3">
      <c r="A381" s="8" t="s">
        <v>39</v>
      </c>
      <c r="B381" s="9"/>
      <c r="C381" s="10">
        <v>5</v>
      </c>
      <c r="D381" s="11"/>
      <c r="AB381" t="str" cm="1">
        <f t="array" ref="AB381:AC381">_xlfn._xlws.FILTER(A381:Z381,A381:Z381&lt;&gt;"","")</f>
        <v>Spanish</v>
      </c>
      <c r="AC381">
        <v>5</v>
      </c>
      <c r="AD381" t="str">
        <v/>
      </c>
      <c r="AE381" t="str">
        <v/>
      </c>
      <c r="AF381" t="str" cm="1">
        <f t="array" ref="AF381">IF(AD381="","",SUMPRODUCT(IF(LEFT($AD$1:AD381,2)="JS",1,0)))</f>
        <v/>
      </c>
      <c r="AG381" t="str">
        <f t="shared" si="20"/>
        <v/>
      </c>
      <c r="AH381" t="str">
        <f t="shared" si="21"/>
        <v/>
      </c>
      <c r="AI381" t="str">
        <f>IF(AH381="","",MAX($AF$1:$AF381))</f>
        <v/>
      </c>
      <c r="AJ381" t="str">
        <f t="shared" si="22"/>
        <v/>
      </c>
      <c r="AK381" t="str">
        <f>IF(AJ381="","",MAX($AF$1:$AF381))</f>
        <v/>
      </c>
      <c r="AL381" t="str">
        <f t="shared" si="23"/>
        <v/>
      </c>
      <c r="AM381" t="str">
        <f>IF(AL381="","",MAX($AF$1:$AF381))</f>
        <v/>
      </c>
    </row>
    <row r="382" spans="1:39" ht="13.5" customHeight="1" x14ac:dyDescent="0.3">
      <c r="A382" s="8" t="s">
        <v>40</v>
      </c>
      <c r="B382" s="9"/>
      <c r="C382" s="10">
        <v>5</v>
      </c>
      <c r="D382" s="11"/>
      <c r="AB382" t="str" cm="1">
        <f t="array" ref="AB382:AC382">_xlfn._xlws.FILTER(A382:Z382,A382:Z382&lt;&gt;"","")</f>
        <v>Urdu</v>
      </c>
      <c r="AC382">
        <v>5</v>
      </c>
      <c r="AD382" t="str">
        <v/>
      </c>
      <c r="AE382" t="str">
        <v/>
      </c>
      <c r="AF382" t="str" cm="1">
        <f t="array" ref="AF382">IF(AD382="","",SUMPRODUCT(IF(LEFT($AD$1:AD382,2)="JS",1,0)))</f>
        <v/>
      </c>
      <c r="AG382" t="str">
        <f t="shared" si="20"/>
        <v/>
      </c>
      <c r="AH382" t="str">
        <f t="shared" si="21"/>
        <v/>
      </c>
      <c r="AI382" t="str">
        <f>IF(AH382="","",MAX($AF$1:$AF382))</f>
        <v/>
      </c>
      <c r="AJ382" t="str">
        <f t="shared" si="22"/>
        <v/>
      </c>
      <c r="AK382" t="str">
        <f>IF(AJ382="","",MAX($AF$1:$AF382))</f>
        <v/>
      </c>
      <c r="AL382" t="str">
        <f t="shared" si="23"/>
        <v/>
      </c>
      <c r="AM382" t="str">
        <f>IF(AL382="","",MAX($AF$1:$AF382))</f>
        <v/>
      </c>
    </row>
    <row r="383" spans="1:39" ht="15" customHeight="1" x14ac:dyDescent="0.3">
      <c r="A383" s="18" t="s">
        <v>92</v>
      </c>
      <c r="B383" s="18"/>
      <c r="C383" s="18"/>
      <c r="D383" s="1"/>
      <c r="AB383" t="str" cm="1">
        <f t="array" ref="AB383">_xlfn._xlws.FILTER(A383:Z383,A383:Z383&lt;&gt;"","")</f>
        <v>JUPAS Code: JS3110</v>
      </c>
      <c r="AD383" t="str">
        <v>JS3110</v>
      </c>
      <c r="AE383" t="str">
        <v/>
      </c>
      <c r="AF383" cm="1">
        <f t="array" ref="AF383">IF(AD383="","",SUMPRODUCT(IF(LEFT($AD$1:AD383,2)="JS",1,0)))</f>
        <v>8</v>
      </c>
      <c r="AG383" t="str">
        <f t="shared" si="20"/>
        <v/>
      </c>
      <c r="AH383" t="str">
        <f t="shared" si="21"/>
        <v/>
      </c>
      <c r="AI383" t="str">
        <f>IF(AH383="","",MAX($AF$1:$AF383))</f>
        <v/>
      </c>
      <c r="AJ383" t="str">
        <f t="shared" si="22"/>
        <v/>
      </c>
      <c r="AK383" t="str">
        <f>IF(AJ383="","",MAX($AF$1:$AF383))</f>
        <v/>
      </c>
      <c r="AL383" t="str">
        <f t="shared" si="23"/>
        <v/>
      </c>
      <c r="AM383" t="str">
        <f>IF(AL383="","",MAX($AF$1:$AF383))</f>
        <v/>
      </c>
    </row>
    <row r="384" spans="1:39" ht="13.5" customHeight="1" x14ac:dyDescent="0.3">
      <c r="A384" s="18" t="s">
        <v>93</v>
      </c>
      <c r="B384" s="18"/>
      <c r="C384" s="18"/>
      <c r="D384" s="1"/>
      <c r="AB384" t="str" cm="1">
        <f t="array" ref="AB384">_xlfn._xlws.FILTER(A384:Z384,A384:Z384&lt;&gt;"","")</f>
        <v>Programme Title: BEng (Hons) Scheme in Building Sciences and Engineering</v>
      </c>
      <c r="AD384" t="str">
        <v/>
      </c>
      <c r="AE384" t="str">
        <v>BEng (Hons) Scheme in Building Sciences and Engineering</v>
      </c>
      <c r="AF384" t="str" cm="1">
        <f t="array" ref="AF384">IF(AD384="","",SUMPRODUCT(IF(LEFT($AD$1:AD384,2)="JS",1,0)))</f>
        <v/>
      </c>
      <c r="AG384" t="str">
        <f t="shared" si="20"/>
        <v/>
      </c>
      <c r="AH384" t="str">
        <f t="shared" si="21"/>
        <v/>
      </c>
      <c r="AI384" t="str">
        <f>IF(AH384="","",MAX($AF$1:$AF384))</f>
        <v/>
      </c>
      <c r="AJ384" t="str">
        <f t="shared" si="22"/>
        <v/>
      </c>
      <c r="AK384" t="str">
        <f>IF(AJ384="","",MAX($AF$1:$AF384))</f>
        <v/>
      </c>
      <c r="AL384" t="str">
        <f t="shared" si="23"/>
        <v/>
      </c>
      <c r="AM384" t="str">
        <f>IF(AL384="","",MAX($AF$1:$AF384))</f>
        <v/>
      </c>
    </row>
    <row r="385" spans="1:39" ht="14.5" customHeight="1" x14ac:dyDescent="0.3">
      <c r="A385" s="12"/>
      <c r="B385" s="12"/>
      <c r="C385" s="2"/>
      <c r="D385" s="2"/>
      <c r="AB385" t="str" cm="1">
        <f t="array" ref="AB385">_xlfn._xlws.FILTER(A385:Z385,A385:Z385&lt;&gt;"","")</f>
        <v/>
      </c>
      <c r="AD385" t="str">
        <v/>
      </c>
      <c r="AE385" t="str">
        <v/>
      </c>
      <c r="AF385" t="str" cm="1">
        <f t="array" ref="AF385">IF(AD385="","",SUMPRODUCT(IF(LEFT($AD$1:AD385,2)="JS",1,0)))</f>
        <v/>
      </c>
      <c r="AG385" t="str">
        <f t="shared" ref="AG385:AG448" si="24">IF(ISNUMBER(MATCH(AB385,$AV$3:$AV$18,0)),TRUE,"")</f>
        <v/>
      </c>
      <c r="AH385" t="str">
        <f t="shared" si="21"/>
        <v/>
      </c>
      <c r="AI385" t="str">
        <f>IF(AH385="","",MAX($AF$1:$AF385))</f>
        <v/>
      </c>
      <c r="AJ385" t="str">
        <f t="shared" si="22"/>
        <v/>
      </c>
      <c r="AK385" t="str">
        <f>IF(AJ385="","",MAX($AF$1:$AF385))</f>
        <v/>
      </c>
      <c r="AL385" t="str">
        <f t="shared" si="23"/>
        <v/>
      </c>
      <c r="AM385" t="str">
        <f>IF(AL385="","",MAX($AF$1:$AF385))</f>
        <v/>
      </c>
    </row>
    <row r="386" spans="1:39" ht="13.5" customHeight="1" x14ac:dyDescent="0.3">
      <c r="A386" s="13" t="s">
        <v>2</v>
      </c>
      <c r="B386" s="13"/>
      <c r="C386" s="13"/>
      <c r="D386" s="13"/>
      <c r="AB386" t="str" cm="1">
        <f t="array" ref="AB386">_xlfn._xlws.FILTER(A386:Z386,A386:Z386&lt;&gt;"","")</f>
        <v>Category A: Core and Elective Subjects</v>
      </c>
      <c r="AD386" t="str">
        <v/>
      </c>
      <c r="AE386" t="str">
        <v/>
      </c>
      <c r="AF386" t="str" cm="1">
        <f t="array" ref="AF386">IF(AD386="","",SUMPRODUCT(IF(LEFT($AD$1:AD386,2)="JS",1,0)))</f>
        <v/>
      </c>
      <c r="AG386" t="str">
        <f t="shared" si="24"/>
        <v/>
      </c>
      <c r="AH386" t="str">
        <f t="shared" ref="AH386:AH449" si="25">IF(AND(AC386=10,AG386=TRUE),AB386,"")</f>
        <v/>
      </c>
      <c r="AI386" t="str">
        <f>IF(AH386="","",MAX($AF$1:$AF386))</f>
        <v/>
      </c>
      <c r="AJ386" t="str">
        <f t="shared" ref="AJ386:AJ449" si="26">IF(AND(AC386=7,AG386=TRUE),AB386,"")</f>
        <v/>
      </c>
      <c r="AK386" t="str">
        <f>IF(AJ386="","",MAX($AF$1:$AF386))</f>
        <v/>
      </c>
      <c r="AL386" t="str">
        <f t="shared" ref="AL386:AL449" si="27">IF(AND(AC386=5,AG386=TRUE),AB386,"")</f>
        <v/>
      </c>
      <c r="AM386" t="str">
        <f>IF(AL386="","",MAX($AF$1:$AF386))</f>
        <v/>
      </c>
    </row>
    <row r="387" spans="1:39" ht="13.5" customHeight="1" x14ac:dyDescent="0.3">
      <c r="A387" s="14" t="s">
        <v>3</v>
      </c>
      <c r="B387" s="15"/>
      <c r="C387" s="16" t="s">
        <v>4</v>
      </c>
      <c r="D387" s="17"/>
      <c r="AB387" t="str" cm="1">
        <f t="array" ref="AB387:AC387">_xlfn._xlws.FILTER(A387:Z387,A387:Z387&lt;&gt;"","")</f>
        <v>Subject Name</v>
      </c>
      <c r="AC387" t="str">
        <v>Subject Weighting for 2023/24 Admission Exercise *</v>
      </c>
      <c r="AD387" t="str">
        <v/>
      </c>
      <c r="AE387" t="str">
        <v/>
      </c>
      <c r="AF387" t="str" cm="1">
        <f t="array" ref="AF387">IF(AD387="","",SUMPRODUCT(IF(LEFT($AD$1:AD387,2)="JS",1,0)))</f>
        <v/>
      </c>
      <c r="AG387" t="str">
        <f t="shared" si="24"/>
        <v/>
      </c>
      <c r="AH387" t="str">
        <f t="shared" si="25"/>
        <v/>
      </c>
      <c r="AI387" t="str">
        <f>IF(AH387="","",MAX($AF$1:$AF387))</f>
        <v/>
      </c>
      <c r="AJ387" t="str">
        <f t="shared" si="26"/>
        <v/>
      </c>
      <c r="AK387" t="str">
        <f>IF(AJ387="","",MAX($AF$1:$AF387))</f>
        <v/>
      </c>
      <c r="AL387" t="str">
        <f t="shared" si="27"/>
        <v/>
      </c>
      <c r="AM387" t="str">
        <f>IF(AL387="","",MAX($AF$1:$AF387))</f>
        <v/>
      </c>
    </row>
    <row r="388" spans="1:39" ht="13.5" customHeight="1" x14ac:dyDescent="0.3">
      <c r="A388" s="8" t="s">
        <v>211</v>
      </c>
      <c r="B388" s="9"/>
      <c r="C388" s="10">
        <v>7</v>
      </c>
      <c r="D388" s="11"/>
      <c r="AB388" t="str" cm="1">
        <f t="array" ref="AB388:AC388">_xlfn._xlws.FILTER(A388:Z388,A388:Z388&lt;&gt;"","")</f>
        <v>BIO</v>
      </c>
      <c r="AC388">
        <v>7</v>
      </c>
      <c r="AD388" t="str">
        <v/>
      </c>
      <c r="AE388" t="str">
        <v/>
      </c>
      <c r="AF388" t="str" cm="1">
        <f t="array" ref="AF388">IF(AD388="","",SUMPRODUCT(IF(LEFT($AD$1:AD388,2)="JS",1,0)))</f>
        <v/>
      </c>
      <c r="AG388" t="b">
        <f t="shared" si="24"/>
        <v>1</v>
      </c>
      <c r="AH388" t="str">
        <f t="shared" si="25"/>
        <v/>
      </c>
      <c r="AI388" t="str">
        <f>IF(AH388="","",MAX($AF$1:$AF388))</f>
        <v/>
      </c>
      <c r="AJ388" t="str">
        <f t="shared" si="26"/>
        <v>BIO</v>
      </c>
      <c r="AK388">
        <f>IF(AJ388="","",MAX($AF$1:$AF388))</f>
        <v>8</v>
      </c>
      <c r="AL388" t="str">
        <f t="shared" si="27"/>
        <v/>
      </c>
      <c r="AM388" t="str">
        <f>IF(AL388="","",MAX($AF$1:$AF388))</f>
        <v/>
      </c>
    </row>
    <row r="389" spans="1:39" ht="13.5" customHeight="1" x14ac:dyDescent="0.3">
      <c r="A389" s="8" t="s">
        <v>213</v>
      </c>
      <c r="B389" s="9"/>
      <c r="C389" s="10">
        <v>7</v>
      </c>
      <c r="D389" s="11"/>
      <c r="AB389" t="str" cm="1">
        <f t="array" ref="AB389:AC389">_xlfn._xlws.FILTER(A389:Z389,A389:Z389&lt;&gt;"","")</f>
        <v>BAFS</v>
      </c>
      <c r="AC389">
        <v>7</v>
      </c>
      <c r="AD389" t="str">
        <v/>
      </c>
      <c r="AE389" t="str">
        <v/>
      </c>
      <c r="AF389" t="str" cm="1">
        <f t="array" ref="AF389">IF(AD389="","",SUMPRODUCT(IF(LEFT($AD$1:AD389,2)="JS",1,0)))</f>
        <v/>
      </c>
      <c r="AG389" t="b">
        <f t="shared" si="24"/>
        <v>1</v>
      </c>
      <c r="AH389" t="str">
        <f t="shared" si="25"/>
        <v/>
      </c>
      <c r="AI389" t="str">
        <f>IF(AH389="","",MAX($AF$1:$AF389))</f>
        <v/>
      </c>
      <c r="AJ389" t="str">
        <f t="shared" si="26"/>
        <v>BAFS</v>
      </c>
      <c r="AK389">
        <f>IF(AJ389="","",MAX($AF$1:$AF389))</f>
        <v>8</v>
      </c>
      <c r="AL389" t="str">
        <f t="shared" si="27"/>
        <v/>
      </c>
      <c r="AM389" t="str">
        <f>IF(AL389="","",MAX($AF$1:$AF389))</f>
        <v/>
      </c>
    </row>
    <row r="390" spans="1:39" ht="13.5" customHeight="1" x14ac:dyDescent="0.3">
      <c r="A390" s="8" t="s">
        <v>5</v>
      </c>
      <c r="B390" s="9"/>
      <c r="C390" s="10">
        <v>7</v>
      </c>
      <c r="D390" s="11"/>
      <c r="AB390" t="str" cm="1">
        <f t="array" ref="AB390:AC390">_xlfn._xlws.FILTER(A390:Z390,A390:Z390&lt;&gt;"","")</f>
        <v>Business, Accounting and Financial Studies (Accounting)</v>
      </c>
      <c r="AC390">
        <v>7</v>
      </c>
      <c r="AD390" t="str">
        <v/>
      </c>
      <c r="AE390" t="str">
        <v/>
      </c>
      <c r="AF390" t="str" cm="1">
        <f t="array" ref="AF390">IF(AD390="","",SUMPRODUCT(IF(LEFT($AD$1:AD390,2)="JS",1,0)))</f>
        <v/>
      </c>
      <c r="AG390" t="str">
        <f t="shared" si="24"/>
        <v/>
      </c>
      <c r="AH390" t="str">
        <f t="shared" si="25"/>
        <v/>
      </c>
      <c r="AI390" t="str">
        <f>IF(AH390="","",MAX($AF$1:$AF390))</f>
        <v/>
      </c>
      <c r="AJ390" t="str">
        <f t="shared" si="26"/>
        <v/>
      </c>
      <c r="AK390" t="str">
        <f>IF(AJ390="","",MAX($AF$1:$AF390))</f>
        <v/>
      </c>
      <c r="AL390" t="str">
        <f t="shared" si="27"/>
        <v/>
      </c>
      <c r="AM390" t="str">
        <f>IF(AL390="","",MAX($AF$1:$AF390))</f>
        <v/>
      </c>
    </row>
    <row r="391" spans="1:39" ht="13.5" customHeight="1" x14ac:dyDescent="0.3">
      <c r="A391" s="8" t="s">
        <v>6</v>
      </c>
      <c r="B391" s="9"/>
      <c r="C391" s="10">
        <v>7</v>
      </c>
      <c r="D391" s="11"/>
      <c r="AB391" t="str" cm="1">
        <f t="array" ref="AB391:AC391">_xlfn._xlws.FILTER(A391:Z391,A391:Z391&lt;&gt;"","")</f>
        <v>Business, Accounting and Financial Studies (Business Management)</v>
      </c>
      <c r="AC391">
        <v>7</v>
      </c>
      <c r="AD391" t="str">
        <v/>
      </c>
      <c r="AE391" t="str">
        <v/>
      </c>
      <c r="AF391" t="str" cm="1">
        <f t="array" ref="AF391">IF(AD391="","",SUMPRODUCT(IF(LEFT($AD$1:AD391,2)="JS",1,0)))</f>
        <v/>
      </c>
      <c r="AG391" t="str">
        <f t="shared" si="24"/>
        <v/>
      </c>
      <c r="AH391" t="str">
        <f t="shared" si="25"/>
        <v/>
      </c>
      <c r="AI391" t="str">
        <f>IF(AH391="","",MAX($AF$1:$AF391))</f>
        <v/>
      </c>
      <c r="AJ391" t="str">
        <f t="shared" si="26"/>
        <v/>
      </c>
      <c r="AK391" t="str">
        <f>IF(AJ391="","",MAX($AF$1:$AF391))</f>
        <v/>
      </c>
      <c r="AL391" t="str">
        <f t="shared" si="27"/>
        <v/>
      </c>
      <c r="AM391" t="str">
        <f>IF(AL391="","",MAX($AF$1:$AF391))</f>
        <v/>
      </c>
    </row>
    <row r="392" spans="1:39" ht="13.5" customHeight="1" x14ac:dyDescent="0.3">
      <c r="A392" s="8" t="s">
        <v>212</v>
      </c>
      <c r="B392" s="9"/>
      <c r="C392" s="10">
        <v>7</v>
      </c>
      <c r="D392" s="11"/>
      <c r="AB392" t="str" cm="1">
        <f t="array" ref="AB392:AC392">_xlfn._xlws.FILTER(A392:Z392,A392:Z392&lt;&gt;"","")</f>
        <v>CHEM</v>
      </c>
      <c r="AC392">
        <v>7</v>
      </c>
      <c r="AD392" t="str">
        <v/>
      </c>
      <c r="AE392" t="str">
        <v/>
      </c>
      <c r="AF392" t="str" cm="1">
        <f t="array" ref="AF392">IF(AD392="","",SUMPRODUCT(IF(LEFT($AD$1:AD392,2)="JS",1,0)))</f>
        <v/>
      </c>
      <c r="AG392" t="b">
        <f t="shared" si="24"/>
        <v>1</v>
      </c>
      <c r="AH392" t="str">
        <f t="shared" si="25"/>
        <v/>
      </c>
      <c r="AI392" t="str">
        <f>IF(AH392="","",MAX($AF$1:$AF392))</f>
        <v/>
      </c>
      <c r="AJ392" t="str">
        <f t="shared" si="26"/>
        <v>CHEM</v>
      </c>
      <c r="AK392">
        <f>IF(AJ392="","",MAX($AF$1:$AF392))</f>
        <v>8</v>
      </c>
      <c r="AL392" t="str">
        <f t="shared" si="27"/>
        <v/>
      </c>
      <c r="AM392" t="str">
        <f>IF(AL392="","",MAX($AF$1:$AF392))</f>
        <v/>
      </c>
    </row>
    <row r="393" spans="1:39" ht="13.5" customHeight="1" x14ac:dyDescent="0.3">
      <c r="A393" s="8" t="s">
        <v>214</v>
      </c>
      <c r="B393" s="9"/>
      <c r="C393" s="10">
        <v>5</v>
      </c>
      <c r="D393" s="11"/>
      <c r="AB393" t="str" cm="1">
        <f t="array" ref="AB393:AC393">_xlfn._xlws.FILTER(A393:Z393,A393:Z393&lt;&gt;"","")</f>
        <v>中史</v>
      </c>
      <c r="AC393">
        <v>5</v>
      </c>
      <c r="AD393" t="str">
        <v/>
      </c>
      <c r="AE393" t="str">
        <v/>
      </c>
      <c r="AF393" t="str" cm="1">
        <f t="array" ref="AF393">IF(AD393="","",SUMPRODUCT(IF(LEFT($AD$1:AD393,2)="JS",1,0)))</f>
        <v/>
      </c>
      <c r="AG393" t="b">
        <f t="shared" si="24"/>
        <v>1</v>
      </c>
      <c r="AH393" t="str">
        <f t="shared" si="25"/>
        <v/>
      </c>
      <c r="AI393" t="str">
        <f>IF(AH393="","",MAX($AF$1:$AF393))</f>
        <v/>
      </c>
      <c r="AJ393" t="str">
        <f t="shared" si="26"/>
        <v/>
      </c>
      <c r="AK393" t="str">
        <f>IF(AJ393="","",MAX($AF$1:$AF393))</f>
        <v/>
      </c>
      <c r="AL393" t="str">
        <f t="shared" si="27"/>
        <v>中史</v>
      </c>
      <c r="AM393">
        <f>IF(AL393="","",MAX($AF$1:$AF393))</f>
        <v>8</v>
      </c>
    </row>
    <row r="394" spans="1:39" ht="13.5" customHeight="1" x14ac:dyDescent="0.3">
      <c r="A394" s="8" t="s">
        <v>216</v>
      </c>
      <c r="B394" s="9"/>
      <c r="C394" s="10">
        <v>7</v>
      </c>
      <c r="D394" s="11"/>
      <c r="AB394" t="str" cm="1">
        <f t="array" ref="AB394:AC394">_xlfn._xlws.FILTER(A394:Z394,A394:Z394&lt;&gt;"","")</f>
        <v>中文</v>
      </c>
      <c r="AC394">
        <v>7</v>
      </c>
      <c r="AD394" t="str">
        <v/>
      </c>
      <c r="AE394" t="str">
        <v/>
      </c>
      <c r="AF394" t="str" cm="1">
        <f t="array" ref="AF394">IF(AD394="","",SUMPRODUCT(IF(LEFT($AD$1:AD394,2)="JS",1,0)))</f>
        <v/>
      </c>
      <c r="AG394" t="b">
        <f t="shared" si="24"/>
        <v>1</v>
      </c>
      <c r="AH394" t="str">
        <f t="shared" si="25"/>
        <v/>
      </c>
      <c r="AI394" t="str">
        <f>IF(AH394="","",MAX($AF$1:$AF394))</f>
        <v/>
      </c>
      <c r="AJ394" t="str">
        <f t="shared" si="26"/>
        <v>中文</v>
      </c>
      <c r="AK394">
        <f>IF(AJ394="","",MAX($AF$1:$AF394))</f>
        <v>8</v>
      </c>
      <c r="AL394" t="str">
        <f t="shared" si="27"/>
        <v/>
      </c>
      <c r="AM394" t="str">
        <f>IF(AL394="","",MAX($AF$1:$AF394))</f>
        <v/>
      </c>
    </row>
    <row r="395" spans="1:39" ht="13.5" customHeight="1" x14ac:dyDescent="0.3">
      <c r="A395" s="8" t="s">
        <v>7</v>
      </c>
      <c r="B395" s="9"/>
      <c r="C395" s="10">
        <v>5</v>
      </c>
      <c r="D395" s="11"/>
      <c r="AB395" t="str" cm="1">
        <f t="array" ref="AB395:AC395">_xlfn._xlws.FILTER(A395:Z395,A395:Z395&lt;&gt;"","")</f>
        <v>Chinese Literature</v>
      </c>
      <c r="AC395">
        <v>5</v>
      </c>
      <c r="AD395" t="str">
        <v/>
      </c>
      <c r="AE395" t="str">
        <v/>
      </c>
      <c r="AF395" t="str" cm="1">
        <f t="array" ref="AF395">IF(AD395="","",SUMPRODUCT(IF(LEFT($AD$1:AD395,2)="JS",1,0)))</f>
        <v/>
      </c>
      <c r="AG395" t="str">
        <f t="shared" si="24"/>
        <v/>
      </c>
      <c r="AH395" t="str">
        <f t="shared" si="25"/>
        <v/>
      </c>
      <c r="AI395" t="str">
        <f>IF(AH395="","",MAX($AF$1:$AF395))</f>
        <v/>
      </c>
      <c r="AJ395" t="str">
        <f t="shared" si="26"/>
        <v/>
      </c>
      <c r="AK395" t="str">
        <f>IF(AJ395="","",MAX($AF$1:$AF395))</f>
        <v/>
      </c>
      <c r="AL395" t="str">
        <f t="shared" si="27"/>
        <v/>
      </c>
      <c r="AM395" t="str">
        <f>IF(AL395="","",MAX($AF$1:$AF395))</f>
        <v/>
      </c>
    </row>
    <row r="396" spans="1:39" ht="13.5" customHeight="1" x14ac:dyDescent="0.3">
      <c r="A396" s="8" t="s">
        <v>8</v>
      </c>
      <c r="B396" s="9"/>
      <c r="C396" s="10">
        <v>7</v>
      </c>
      <c r="D396" s="11"/>
      <c r="AB396" t="str" cm="1">
        <f t="array" ref="AB396:AC396">_xlfn._xlws.FILTER(A396:Z396,A396:Z396&lt;&gt;"","")</f>
        <v>Combined Science: Biology + Chemistry</v>
      </c>
      <c r="AC396">
        <v>7</v>
      </c>
      <c r="AD396" t="str">
        <v/>
      </c>
      <c r="AE396" t="str">
        <v/>
      </c>
      <c r="AF396" t="str" cm="1">
        <f t="array" ref="AF396">IF(AD396="","",SUMPRODUCT(IF(LEFT($AD$1:AD396,2)="JS",1,0)))</f>
        <v/>
      </c>
      <c r="AG396" t="str">
        <f t="shared" si="24"/>
        <v/>
      </c>
      <c r="AH396" t="str">
        <f t="shared" si="25"/>
        <v/>
      </c>
      <c r="AI396" t="str">
        <f>IF(AH396="","",MAX($AF$1:$AF396))</f>
        <v/>
      </c>
      <c r="AJ396" t="str">
        <f t="shared" si="26"/>
        <v/>
      </c>
      <c r="AK396" t="str">
        <f>IF(AJ396="","",MAX($AF$1:$AF396))</f>
        <v/>
      </c>
      <c r="AL396" t="str">
        <f t="shared" si="27"/>
        <v/>
      </c>
      <c r="AM396" t="str">
        <f>IF(AL396="","",MAX($AF$1:$AF396))</f>
        <v/>
      </c>
    </row>
    <row r="397" spans="1:39" ht="13.5" customHeight="1" x14ac:dyDescent="0.3">
      <c r="A397" s="8" t="s">
        <v>9</v>
      </c>
      <c r="B397" s="9"/>
      <c r="C397" s="10">
        <v>10</v>
      </c>
      <c r="D397" s="11"/>
      <c r="AB397" t="str" cm="1">
        <f t="array" ref="AB397:AC397">_xlfn._xlws.FILTER(A397:Z397,A397:Z397&lt;&gt;"","")</f>
        <v>Combined Science: Biology + Physics</v>
      </c>
      <c r="AC397">
        <v>10</v>
      </c>
      <c r="AD397" t="str">
        <v/>
      </c>
      <c r="AE397" t="str">
        <v/>
      </c>
      <c r="AF397" t="str" cm="1">
        <f t="array" ref="AF397">IF(AD397="","",SUMPRODUCT(IF(LEFT($AD$1:AD397,2)="JS",1,0)))</f>
        <v/>
      </c>
      <c r="AG397" t="str">
        <f t="shared" si="24"/>
        <v/>
      </c>
      <c r="AH397" t="str">
        <f t="shared" si="25"/>
        <v/>
      </c>
      <c r="AI397" t="str">
        <f>IF(AH397="","",MAX($AF$1:$AF397))</f>
        <v/>
      </c>
      <c r="AJ397" t="str">
        <f t="shared" si="26"/>
        <v/>
      </c>
      <c r="AK397" t="str">
        <f>IF(AJ397="","",MAX($AF$1:$AF397))</f>
        <v/>
      </c>
      <c r="AL397" t="str">
        <f t="shared" si="27"/>
        <v/>
      </c>
      <c r="AM397" t="str">
        <f>IF(AL397="","",MAX($AF$1:$AF397))</f>
        <v/>
      </c>
    </row>
    <row r="398" spans="1:39" ht="13.5" customHeight="1" x14ac:dyDescent="0.3">
      <c r="A398" s="8" t="s">
        <v>10</v>
      </c>
      <c r="B398" s="9"/>
      <c r="C398" s="10">
        <v>10</v>
      </c>
      <c r="D398" s="11"/>
      <c r="AB398" t="str" cm="1">
        <f t="array" ref="AB398:AC398">_xlfn._xlws.FILTER(A398:Z398,A398:Z398&lt;&gt;"","")</f>
        <v>Combined Science: Physics + Chemistry</v>
      </c>
      <c r="AC398">
        <v>10</v>
      </c>
      <c r="AD398" t="str">
        <v/>
      </c>
      <c r="AE398" t="str">
        <v/>
      </c>
      <c r="AF398" t="str" cm="1">
        <f t="array" ref="AF398">IF(AD398="","",SUMPRODUCT(IF(LEFT($AD$1:AD398,2)="JS",1,0)))</f>
        <v/>
      </c>
      <c r="AG398" t="str">
        <f t="shared" si="24"/>
        <v/>
      </c>
      <c r="AH398" t="str">
        <f t="shared" si="25"/>
        <v/>
      </c>
      <c r="AI398" t="str">
        <f>IF(AH398="","",MAX($AF$1:$AF398))</f>
        <v/>
      </c>
      <c r="AJ398" t="str">
        <f t="shared" si="26"/>
        <v/>
      </c>
      <c r="AK398" t="str">
        <f>IF(AJ398="","",MAX($AF$1:$AF398))</f>
        <v/>
      </c>
      <c r="AL398" t="str">
        <f t="shared" si="27"/>
        <v/>
      </c>
      <c r="AM398" t="str">
        <f>IF(AL398="","",MAX($AF$1:$AF398))</f>
        <v/>
      </c>
    </row>
    <row r="399" spans="1:39" ht="13.5" customHeight="1" x14ac:dyDescent="0.3">
      <c r="A399" s="8" t="s">
        <v>11</v>
      </c>
      <c r="B399" s="9"/>
      <c r="C399" s="10">
        <v>7</v>
      </c>
      <c r="D399" s="11"/>
      <c r="AB399" t="str" cm="1">
        <f t="array" ref="AB399:AC399">_xlfn._xlws.FILTER(A399:Z399,A399:Z399&lt;&gt;"","")</f>
        <v>Design and Applied Technology</v>
      </c>
      <c r="AC399">
        <v>7</v>
      </c>
      <c r="AD399" t="str">
        <v/>
      </c>
      <c r="AE399" t="str">
        <v/>
      </c>
      <c r="AF399" t="str" cm="1">
        <f t="array" ref="AF399">IF(AD399="","",SUMPRODUCT(IF(LEFT($AD$1:AD399,2)="JS",1,0)))</f>
        <v/>
      </c>
      <c r="AG399" t="str">
        <f t="shared" si="24"/>
        <v/>
      </c>
      <c r="AH399" t="str">
        <f t="shared" si="25"/>
        <v/>
      </c>
      <c r="AI399" t="str">
        <f>IF(AH399="","",MAX($AF$1:$AF399))</f>
        <v/>
      </c>
      <c r="AJ399" t="str">
        <f t="shared" si="26"/>
        <v/>
      </c>
      <c r="AK399" t="str">
        <f>IF(AJ399="","",MAX($AF$1:$AF399))</f>
        <v/>
      </c>
      <c r="AL399" t="str">
        <f t="shared" si="27"/>
        <v/>
      </c>
      <c r="AM399" t="str">
        <f>IF(AL399="","",MAX($AF$1:$AF399))</f>
        <v/>
      </c>
    </row>
    <row r="400" spans="1:39" ht="13.5" customHeight="1" x14ac:dyDescent="0.3">
      <c r="A400" s="8" t="s">
        <v>217</v>
      </c>
      <c r="B400" s="9"/>
      <c r="C400" s="10">
        <v>7</v>
      </c>
      <c r="D400" s="11"/>
      <c r="AB400" t="str" cm="1">
        <f t="array" ref="AB400:AC400">_xlfn._xlws.FILTER(A400:Z400,A400:Z400&lt;&gt;"","")</f>
        <v>ECON</v>
      </c>
      <c r="AC400">
        <v>7</v>
      </c>
      <c r="AD400" t="str">
        <v/>
      </c>
      <c r="AE400" t="str">
        <v/>
      </c>
      <c r="AF400" t="str" cm="1">
        <f t="array" ref="AF400">IF(AD400="","",SUMPRODUCT(IF(LEFT($AD$1:AD400,2)="JS",1,0)))</f>
        <v/>
      </c>
      <c r="AG400" t="b">
        <f t="shared" si="24"/>
        <v>1</v>
      </c>
      <c r="AH400" t="str">
        <f t="shared" si="25"/>
        <v/>
      </c>
      <c r="AI400" t="str">
        <f>IF(AH400="","",MAX($AF$1:$AF400))</f>
        <v/>
      </c>
      <c r="AJ400" t="str">
        <f t="shared" si="26"/>
        <v>ECON</v>
      </c>
      <c r="AK400">
        <f>IF(AJ400="","",MAX($AF$1:$AF400))</f>
        <v>8</v>
      </c>
      <c r="AL400" t="str">
        <f t="shared" si="27"/>
        <v/>
      </c>
      <c r="AM400" t="str">
        <f>IF(AL400="","",MAX($AF$1:$AF400))</f>
        <v/>
      </c>
    </row>
    <row r="401" spans="1:39" ht="13.5" customHeight="1" x14ac:dyDescent="0.3">
      <c r="A401" s="8" t="s">
        <v>218</v>
      </c>
      <c r="B401" s="9"/>
      <c r="C401" s="10">
        <v>10</v>
      </c>
      <c r="D401" s="11"/>
      <c r="AB401" t="str" cm="1">
        <f t="array" ref="AB401:AC401">_xlfn._xlws.FILTER(A401:Z401,A401:Z401&lt;&gt;"","")</f>
        <v>ENG</v>
      </c>
      <c r="AC401">
        <v>10</v>
      </c>
      <c r="AD401" t="str">
        <v/>
      </c>
      <c r="AE401" t="str">
        <v/>
      </c>
      <c r="AF401" t="str" cm="1">
        <f t="array" ref="AF401">IF(AD401="","",SUMPRODUCT(IF(LEFT($AD$1:AD401,2)="JS",1,0)))</f>
        <v/>
      </c>
      <c r="AG401" t="b">
        <f t="shared" si="24"/>
        <v>1</v>
      </c>
      <c r="AH401" t="str">
        <f t="shared" si="25"/>
        <v>ENG</v>
      </c>
      <c r="AI401">
        <f>IF(AH401="","",MAX($AF$1:$AF401))</f>
        <v>8</v>
      </c>
      <c r="AJ401" t="str">
        <f t="shared" si="26"/>
        <v/>
      </c>
      <c r="AK401" t="str">
        <f>IF(AJ401="","",MAX($AF$1:$AF401))</f>
        <v/>
      </c>
      <c r="AL401" t="str">
        <f t="shared" si="27"/>
        <v/>
      </c>
      <c r="AM401" t="str">
        <f>IF(AL401="","",MAX($AF$1:$AF401))</f>
        <v/>
      </c>
    </row>
    <row r="402" spans="1:39" ht="13.5" customHeight="1" x14ac:dyDescent="0.3">
      <c r="A402" s="8" t="s">
        <v>12</v>
      </c>
      <c r="B402" s="9"/>
      <c r="C402" s="10">
        <v>5</v>
      </c>
      <c r="D402" s="11"/>
      <c r="AB402" t="str" cm="1">
        <f t="array" ref="AB402:AC402">_xlfn._xlws.FILTER(A402:Z402,A402:Z402&lt;&gt;"","")</f>
        <v>Ethics and Religious Studies</v>
      </c>
      <c r="AC402">
        <v>5</v>
      </c>
      <c r="AD402" t="str">
        <v/>
      </c>
      <c r="AE402" t="str">
        <v/>
      </c>
      <c r="AF402" t="str" cm="1">
        <f t="array" ref="AF402">IF(AD402="","",SUMPRODUCT(IF(LEFT($AD$1:AD402,2)="JS",1,0)))</f>
        <v/>
      </c>
      <c r="AG402" t="str">
        <f t="shared" si="24"/>
        <v/>
      </c>
      <c r="AH402" t="str">
        <f t="shared" si="25"/>
        <v/>
      </c>
      <c r="AI402" t="str">
        <f>IF(AH402="","",MAX($AF$1:$AF402))</f>
        <v/>
      </c>
      <c r="AJ402" t="str">
        <f t="shared" si="26"/>
        <v/>
      </c>
      <c r="AK402" t="str">
        <f>IF(AJ402="","",MAX($AF$1:$AF402))</f>
        <v/>
      </c>
      <c r="AL402" t="str">
        <f t="shared" si="27"/>
        <v/>
      </c>
      <c r="AM402" t="str">
        <f>IF(AL402="","",MAX($AF$1:$AF402))</f>
        <v/>
      </c>
    </row>
    <row r="403" spans="1:39" ht="13.5" customHeight="1" x14ac:dyDescent="0.3">
      <c r="A403" s="8" t="s">
        <v>219</v>
      </c>
      <c r="B403" s="9"/>
      <c r="C403" s="10">
        <v>7</v>
      </c>
      <c r="D403" s="11"/>
      <c r="AB403" t="str" cm="1">
        <f t="array" ref="AB403:AC403">_xlfn._xlws.FILTER(A403:Z403,A403:Z403&lt;&gt;"","")</f>
        <v>GEOG</v>
      </c>
      <c r="AC403">
        <v>7</v>
      </c>
      <c r="AD403" t="str">
        <v/>
      </c>
      <c r="AE403" t="str">
        <v/>
      </c>
      <c r="AF403" t="str" cm="1">
        <f t="array" ref="AF403">IF(AD403="","",SUMPRODUCT(IF(LEFT($AD$1:AD403,2)="JS",1,0)))</f>
        <v/>
      </c>
      <c r="AG403" t="b">
        <f t="shared" si="24"/>
        <v>1</v>
      </c>
      <c r="AH403" t="str">
        <f t="shared" si="25"/>
        <v/>
      </c>
      <c r="AI403" t="str">
        <f>IF(AH403="","",MAX($AF$1:$AF403))</f>
        <v/>
      </c>
      <c r="AJ403" t="str">
        <f t="shared" si="26"/>
        <v>GEOG</v>
      </c>
      <c r="AK403">
        <f>IF(AJ403="","",MAX($AF$1:$AF403))</f>
        <v>8</v>
      </c>
      <c r="AL403" t="str">
        <f t="shared" si="27"/>
        <v/>
      </c>
      <c r="AM403" t="str">
        <f>IF(AL403="","",MAX($AF$1:$AF403))</f>
        <v/>
      </c>
    </row>
    <row r="404" spans="1:39" ht="13.5" customHeight="1" x14ac:dyDescent="0.3">
      <c r="A404" s="8" t="s">
        <v>220</v>
      </c>
      <c r="B404" s="9"/>
      <c r="C404" s="10">
        <v>7</v>
      </c>
      <c r="D404" s="11"/>
      <c r="AB404" t="str" cm="1">
        <f t="array" ref="AB404:AC404">_xlfn._xlws.FILTER(A404:Z404,A404:Z404&lt;&gt;"","")</f>
        <v>HMSC</v>
      </c>
      <c r="AC404">
        <v>7</v>
      </c>
      <c r="AD404" t="str">
        <v/>
      </c>
      <c r="AE404" t="str">
        <v/>
      </c>
      <c r="AF404" t="str" cm="1">
        <f t="array" ref="AF404">IF(AD404="","",SUMPRODUCT(IF(LEFT($AD$1:AD404,2)="JS",1,0)))</f>
        <v/>
      </c>
      <c r="AG404" t="b">
        <f t="shared" si="24"/>
        <v>1</v>
      </c>
      <c r="AH404" t="str">
        <f t="shared" si="25"/>
        <v/>
      </c>
      <c r="AI404" t="str">
        <f>IF(AH404="","",MAX($AF$1:$AF404))</f>
        <v/>
      </c>
      <c r="AJ404" t="str">
        <f t="shared" si="26"/>
        <v>HMSC</v>
      </c>
      <c r="AK404">
        <f>IF(AJ404="","",MAX($AF$1:$AF404))</f>
        <v>8</v>
      </c>
      <c r="AL404" t="str">
        <f t="shared" si="27"/>
        <v/>
      </c>
      <c r="AM404" t="str">
        <f>IF(AL404="","",MAX($AF$1:$AF404))</f>
        <v/>
      </c>
    </row>
    <row r="405" spans="1:39" ht="13.5" customHeight="1" x14ac:dyDescent="0.3">
      <c r="A405" s="8" t="s">
        <v>221</v>
      </c>
      <c r="B405" s="9"/>
      <c r="C405" s="10">
        <v>5</v>
      </c>
      <c r="D405" s="11"/>
      <c r="AB405" t="str" cm="1">
        <f t="array" ref="AB405:AC405">_xlfn._xlws.FILTER(A405:Z405,A405:Z405&lt;&gt;"","")</f>
        <v>HIST</v>
      </c>
      <c r="AC405">
        <v>5</v>
      </c>
      <c r="AD405" t="str">
        <v/>
      </c>
      <c r="AE405" t="str">
        <v/>
      </c>
      <c r="AF405" t="str" cm="1">
        <f t="array" ref="AF405">IF(AD405="","",SUMPRODUCT(IF(LEFT($AD$1:AD405,2)="JS",1,0)))</f>
        <v/>
      </c>
      <c r="AG405" t="b">
        <f t="shared" si="24"/>
        <v>1</v>
      </c>
      <c r="AH405" t="str">
        <f t="shared" si="25"/>
        <v/>
      </c>
      <c r="AI405" t="str">
        <f>IF(AH405="","",MAX($AF$1:$AF405))</f>
        <v/>
      </c>
      <c r="AJ405" t="str">
        <f t="shared" si="26"/>
        <v/>
      </c>
      <c r="AK405" t="str">
        <f>IF(AJ405="","",MAX($AF$1:$AF405))</f>
        <v/>
      </c>
      <c r="AL405" t="str">
        <f t="shared" si="27"/>
        <v>HIST</v>
      </c>
      <c r="AM405">
        <f>IF(AL405="","",MAX($AF$1:$AF405))</f>
        <v>8</v>
      </c>
    </row>
    <row r="406" spans="1:39" ht="13.5" customHeight="1" x14ac:dyDescent="0.3">
      <c r="A406" s="8" t="s">
        <v>222</v>
      </c>
      <c r="B406" s="9"/>
      <c r="C406" s="10">
        <v>7</v>
      </c>
      <c r="D406" s="11"/>
      <c r="AB406" t="str" cm="1">
        <f t="array" ref="AB406:AC406">_xlfn._xlws.FILTER(A406:Z406,A406:Z406&lt;&gt;"","")</f>
        <v>ICT</v>
      </c>
      <c r="AC406">
        <v>7</v>
      </c>
      <c r="AD406" t="str">
        <v/>
      </c>
      <c r="AE406" t="str">
        <v/>
      </c>
      <c r="AF406" t="str" cm="1">
        <f t="array" ref="AF406">IF(AD406="","",SUMPRODUCT(IF(LEFT($AD$1:AD406,2)="JS",1,0)))</f>
        <v/>
      </c>
      <c r="AG406" t="b">
        <f t="shared" si="24"/>
        <v>1</v>
      </c>
      <c r="AH406" t="str">
        <f t="shared" si="25"/>
        <v/>
      </c>
      <c r="AI406" t="str">
        <f>IF(AH406="","",MAX($AF$1:$AF406))</f>
        <v/>
      </c>
      <c r="AJ406" t="str">
        <f t="shared" si="26"/>
        <v>ICT</v>
      </c>
      <c r="AK406">
        <f>IF(AJ406="","",MAX($AF$1:$AF406))</f>
        <v>8</v>
      </c>
      <c r="AL406" t="str">
        <f t="shared" si="27"/>
        <v/>
      </c>
      <c r="AM406" t="str">
        <f>IF(AL406="","",MAX($AF$1:$AF406))</f>
        <v/>
      </c>
    </row>
    <row r="407" spans="1:39" ht="13.5" customHeight="1" x14ac:dyDescent="0.3">
      <c r="A407" s="8" t="s">
        <v>13</v>
      </c>
      <c r="B407" s="9"/>
      <c r="C407" s="10">
        <v>7</v>
      </c>
      <c r="D407" s="11"/>
      <c r="AB407" t="str" cm="1">
        <f t="array" ref="AB407:AC407">_xlfn._xlws.FILTER(A407:Z407,A407:Z407&lt;&gt;"","")</f>
        <v>Integrated Science</v>
      </c>
      <c r="AC407">
        <v>7</v>
      </c>
      <c r="AD407" t="str">
        <v/>
      </c>
      <c r="AE407" t="str">
        <v/>
      </c>
      <c r="AF407" t="str" cm="1">
        <f t="array" ref="AF407">IF(AD407="","",SUMPRODUCT(IF(LEFT($AD$1:AD407,2)="JS",1,0)))</f>
        <v/>
      </c>
      <c r="AG407" t="str">
        <f t="shared" si="24"/>
        <v/>
      </c>
      <c r="AH407" t="str">
        <f t="shared" si="25"/>
        <v/>
      </c>
      <c r="AI407" t="str">
        <f>IF(AH407="","",MAX($AF$1:$AF407))</f>
        <v/>
      </c>
      <c r="AJ407" t="str">
        <f t="shared" si="26"/>
        <v/>
      </c>
      <c r="AK407" t="str">
        <f>IF(AJ407="","",MAX($AF$1:$AF407))</f>
        <v/>
      </c>
      <c r="AL407" t="str">
        <f t="shared" si="27"/>
        <v/>
      </c>
      <c r="AM407" t="str">
        <f>IF(AL407="","",MAX($AF$1:$AF407))</f>
        <v/>
      </c>
    </row>
    <row r="408" spans="1:39" ht="13.5" customHeight="1" x14ac:dyDescent="0.3">
      <c r="A408" s="8" t="s">
        <v>223</v>
      </c>
      <c r="B408" s="9"/>
      <c r="C408" s="10">
        <v>7</v>
      </c>
      <c r="D408" s="11"/>
      <c r="AB408" t="str" cm="1">
        <f t="array" ref="AB408:AC408">_xlfn._xlws.FILTER(A408:Z408,A408:Z408&lt;&gt;"","")</f>
        <v>通</v>
      </c>
      <c r="AC408">
        <v>7</v>
      </c>
      <c r="AD408" t="str">
        <v/>
      </c>
      <c r="AE408" t="str">
        <v/>
      </c>
      <c r="AF408" t="str" cm="1">
        <f t="array" ref="AF408">IF(AD408="","",SUMPRODUCT(IF(LEFT($AD$1:AD408,2)="JS",1,0)))</f>
        <v/>
      </c>
      <c r="AG408" t="b">
        <f t="shared" si="24"/>
        <v>1</v>
      </c>
      <c r="AH408" t="str">
        <f t="shared" si="25"/>
        <v/>
      </c>
      <c r="AI408" t="str">
        <f>IF(AH408="","",MAX($AF$1:$AF408))</f>
        <v/>
      </c>
      <c r="AJ408" t="str">
        <f t="shared" si="26"/>
        <v>通</v>
      </c>
      <c r="AK408">
        <f>IF(AJ408="","",MAX($AF$1:$AF408))</f>
        <v>8</v>
      </c>
      <c r="AL408" t="str">
        <f t="shared" si="27"/>
        <v/>
      </c>
      <c r="AM408" t="str">
        <f>IF(AL408="","",MAX($AF$1:$AF408))</f>
        <v/>
      </c>
    </row>
    <row r="409" spans="1:39" ht="13.5" customHeight="1" x14ac:dyDescent="0.3">
      <c r="A409" s="8" t="s">
        <v>14</v>
      </c>
      <c r="B409" s="9"/>
      <c r="C409" s="10">
        <v>5</v>
      </c>
      <c r="D409" s="11"/>
      <c r="AB409" t="str" cm="1">
        <f t="array" ref="AB409:AC409">_xlfn._xlws.FILTER(A409:Z409,A409:Z409&lt;&gt;"","")</f>
        <v>Literature in English</v>
      </c>
      <c r="AC409">
        <v>5</v>
      </c>
      <c r="AD409" t="str">
        <v/>
      </c>
      <c r="AE409" t="str">
        <v/>
      </c>
      <c r="AF409" t="str" cm="1">
        <f t="array" ref="AF409">IF(AD409="","",SUMPRODUCT(IF(LEFT($AD$1:AD409,2)="JS",1,0)))</f>
        <v/>
      </c>
      <c r="AG409" t="str">
        <f t="shared" si="24"/>
        <v/>
      </c>
      <c r="AH409" t="str">
        <f t="shared" si="25"/>
        <v/>
      </c>
      <c r="AI409" t="str">
        <f>IF(AH409="","",MAX($AF$1:$AF409))</f>
        <v/>
      </c>
      <c r="AJ409" t="str">
        <f t="shared" si="26"/>
        <v/>
      </c>
      <c r="AK409" t="str">
        <f>IF(AJ409="","",MAX($AF$1:$AF409))</f>
        <v/>
      </c>
      <c r="AL409" t="str">
        <f t="shared" si="27"/>
        <v/>
      </c>
      <c r="AM409" t="str">
        <f>IF(AL409="","",MAX($AF$1:$AF409))</f>
        <v/>
      </c>
    </row>
    <row r="410" spans="1:39" ht="13.5" customHeight="1" x14ac:dyDescent="0.3">
      <c r="A410" s="8" t="s">
        <v>224</v>
      </c>
      <c r="B410" s="9"/>
      <c r="C410" s="10">
        <v>10</v>
      </c>
      <c r="D410" s="11"/>
      <c r="AB410" t="str" cm="1">
        <f t="array" ref="AB410:AC410">_xlfn._xlws.FILTER(A410:Z410,A410:Z410&lt;&gt;"","")</f>
        <v>MATH</v>
      </c>
      <c r="AC410">
        <v>10</v>
      </c>
      <c r="AD410" t="str">
        <v/>
      </c>
      <c r="AE410" t="str">
        <v/>
      </c>
      <c r="AF410" t="str" cm="1">
        <f t="array" ref="AF410">IF(AD410="","",SUMPRODUCT(IF(LEFT($AD$1:AD410,2)="JS",1,0)))</f>
        <v/>
      </c>
      <c r="AG410" t="b">
        <f t="shared" si="24"/>
        <v>1</v>
      </c>
      <c r="AH410" t="str">
        <f t="shared" si="25"/>
        <v>MATH</v>
      </c>
      <c r="AI410">
        <f>IF(AH410="","",MAX($AF$1:$AF410))</f>
        <v>8</v>
      </c>
      <c r="AJ410" t="str">
        <f t="shared" si="26"/>
        <v/>
      </c>
      <c r="AK410" t="str">
        <f>IF(AJ410="","",MAX($AF$1:$AF410))</f>
        <v/>
      </c>
      <c r="AL410" t="str">
        <f t="shared" si="27"/>
        <v/>
      </c>
      <c r="AM410" t="str">
        <f>IF(AL410="","",MAX($AF$1:$AF410))</f>
        <v/>
      </c>
    </row>
    <row r="411" spans="1:39" ht="13.5" customHeight="1" x14ac:dyDescent="0.3">
      <c r="A411" s="8" t="s">
        <v>225</v>
      </c>
      <c r="B411" s="9"/>
      <c r="C411" s="10">
        <v>7</v>
      </c>
      <c r="D411" s="11"/>
      <c r="AB411" t="str" cm="1">
        <f t="array" ref="AB411:AC411">_xlfn._xlws.FILTER(A411:Z411,A411:Z411&lt;&gt;"","")</f>
        <v>M2</v>
      </c>
      <c r="AC411">
        <v>7</v>
      </c>
      <c r="AD411" t="str">
        <v/>
      </c>
      <c r="AE411" t="str">
        <v/>
      </c>
      <c r="AF411" t="str" cm="1">
        <f t="array" ref="AF411">IF(AD411="","",SUMPRODUCT(IF(LEFT($AD$1:AD411,2)="JS",1,0)))</f>
        <v/>
      </c>
      <c r="AG411" t="b">
        <f t="shared" si="24"/>
        <v>1</v>
      </c>
      <c r="AH411" t="str">
        <f t="shared" si="25"/>
        <v/>
      </c>
      <c r="AI411" t="str">
        <f>IF(AH411="","",MAX($AF$1:$AF411))</f>
        <v/>
      </c>
      <c r="AJ411" t="str">
        <f t="shared" si="26"/>
        <v>M2</v>
      </c>
      <c r="AK411">
        <f>IF(AJ411="","",MAX($AF$1:$AF411))</f>
        <v>8</v>
      </c>
      <c r="AL411" t="str">
        <f t="shared" si="27"/>
        <v/>
      </c>
      <c r="AM411" t="str">
        <f>IF(AL411="","",MAX($AF$1:$AF411))</f>
        <v/>
      </c>
    </row>
    <row r="412" spans="1:39" ht="13.5" customHeight="1" x14ac:dyDescent="0.3">
      <c r="A412" s="8" t="s">
        <v>15</v>
      </c>
      <c r="B412" s="9"/>
      <c r="C412" s="10">
        <v>7</v>
      </c>
      <c r="D412" s="11"/>
      <c r="AB412" t="str" cm="1">
        <f t="array" ref="AB412:AC412">_xlfn._xlws.FILTER(A412:Z412,A412:Z412&lt;&gt;"","")</f>
        <v>Mathematics (Extended part - Calculus and Statistics)</v>
      </c>
      <c r="AC412">
        <v>7</v>
      </c>
      <c r="AD412" t="str">
        <v/>
      </c>
      <c r="AE412" t="str">
        <v/>
      </c>
      <c r="AF412" t="str" cm="1">
        <f t="array" ref="AF412">IF(AD412="","",SUMPRODUCT(IF(LEFT($AD$1:AD412,2)="JS",1,0)))</f>
        <v/>
      </c>
      <c r="AG412" t="str">
        <f t="shared" si="24"/>
        <v/>
      </c>
      <c r="AH412" t="str">
        <f t="shared" si="25"/>
        <v/>
      </c>
      <c r="AI412" t="str">
        <f>IF(AH412="","",MAX($AF$1:$AF412))</f>
        <v/>
      </c>
      <c r="AJ412" t="str">
        <f t="shared" si="26"/>
        <v/>
      </c>
      <c r="AK412" t="str">
        <f>IF(AJ412="","",MAX($AF$1:$AF412))</f>
        <v/>
      </c>
      <c r="AL412" t="str">
        <f t="shared" si="27"/>
        <v/>
      </c>
      <c r="AM412" t="str">
        <f>IF(AL412="","",MAX($AF$1:$AF412))</f>
        <v/>
      </c>
    </row>
    <row r="413" spans="1:39" ht="13.5" customHeight="1" x14ac:dyDescent="0.3">
      <c r="A413" s="8" t="s">
        <v>16</v>
      </c>
      <c r="B413" s="9"/>
      <c r="C413" s="10">
        <v>5</v>
      </c>
      <c r="D413" s="11"/>
      <c r="AB413" t="str" cm="1">
        <f t="array" ref="AB413:AC413">_xlfn._xlws.FILTER(A413:Z413,A413:Z413&lt;&gt;"","")</f>
        <v>Music</v>
      </c>
      <c r="AC413">
        <v>5</v>
      </c>
      <c r="AD413" t="str">
        <v/>
      </c>
      <c r="AE413" t="str">
        <v/>
      </c>
      <c r="AF413" t="str" cm="1">
        <f t="array" ref="AF413">IF(AD413="","",SUMPRODUCT(IF(LEFT($AD$1:AD413,2)="JS",1,0)))</f>
        <v/>
      </c>
      <c r="AG413" t="str">
        <f t="shared" si="24"/>
        <v/>
      </c>
      <c r="AH413" t="str">
        <f t="shared" si="25"/>
        <v/>
      </c>
      <c r="AI413" t="str">
        <f>IF(AH413="","",MAX($AF$1:$AF413))</f>
        <v/>
      </c>
      <c r="AJ413" t="str">
        <f t="shared" si="26"/>
        <v/>
      </c>
      <c r="AK413" t="str">
        <f>IF(AJ413="","",MAX($AF$1:$AF413))</f>
        <v/>
      </c>
      <c r="AL413" t="str">
        <f t="shared" si="27"/>
        <v/>
      </c>
      <c r="AM413" t="str">
        <f>IF(AL413="","",MAX($AF$1:$AF413))</f>
        <v/>
      </c>
    </row>
    <row r="414" spans="1:39" ht="13.5" customHeight="1" x14ac:dyDescent="0.3">
      <c r="A414" s="8" t="s">
        <v>17</v>
      </c>
      <c r="B414" s="9"/>
      <c r="C414" s="10">
        <v>5</v>
      </c>
      <c r="D414" s="11"/>
      <c r="AB414" t="str" cm="1">
        <f t="array" ref="AB414:AC414">_xlfn._xlws.FILTER(A414:Z414,A414:Z414&lt;&gt;"","")</f>
        <v>Physical Education</v>
      </c>
      <c r="AC414">
        <v>5</v>
      </c>
      <c r="AD414" t="str">
        <v/>
      </c>
      <c r="AE414" t="str">
        <v/>
      </c>
      <c r="AF414" t="str" cm="1">
        <f t="array" ref="AF414">IF(AD414="","",SUMPRODUCT(IF(LEFT($AD$1:AD414,2)="JS",1,0)))</f>
        <v/>
      </c>
      <c r="AG414" t="str">
        <f t="shared" si="24"/>
        <v/>
      </c>
      <c r="AH414" t="str">
        <f t="shared" si="25"/>
        <v/>
      </c>
      <c r="AI414" t="str">
        <f>IF(AH414="","",MAX($AF$1:$AF414))</f>
        <v/>
      </c>
      <c r="AJ414" t="str">
        <f t="shared" si="26"/>
        <v/>
      </c>
      <c r="AK414" t="str">
        <f>IF(AJ414="","",MAX($AF$1:$AF414))</f>
        <v/>
      </c>
      <c r="AL414" t="str">
        <f t="shared" si="27"/>
        <v/>
      </c>
      <c r="AM414" t="str">
        <f>IF(AL414="","",MAX($AF$1:$AF414))</f>
        <v/>
      </c>
    </row>
    <row r="415" spans="1:39" ht="13.5" customHeight="1" x14ac:dyDescent="0.3">
      <c r="A415" s="8" t="s">
        <v>226</v>
      </c>
      <c r="B415" s="9"/>
      <c r="C415" s="10">
        <v>10</v>
      </c>
      <c r="D415" s="11"/>
      <c r="AB415" t="str" cm="1">
        <f t="array" ref="AB415:AC415">_xlfn._xlws.FILTER(A415:Z415,A415:Z415&lt;&gt;"","")</f>
        <v>PHY</v>
      </c>
      <c r="AC415">
        <v>10</v>
      </c>
      <c r="AD415" t="str">
        <v/>
      </c>
      <c r="AE415" t="str">
        <v/>
      </c>
      <c r="AF415" t="str" cm="1">
        <f t="array" ref="AF415">IF(AD415="","",SUMPRODUCT(IF(LEFT($AD$1:AD415,2)="JS",1,0)))</f>
        <v/>
      </c>
      <c r="AG415" t="b">
        <f t="shared" si="24"/>
        <v>1</v>
      </c>
      <c r="AH415" t="str">
        <f t="shared" si="25"/>
        <v>PHY</v>
      </c>
      <c r="AI415">
        <f>IF(AH415="","",MAX($AF$1:$AF415))</f>
        <v>8</v>
      </c>
      <c r="AJ415" t="str">
        <f t="shared" si="26"/>
        <v/>
      </c>
      <c r="AK415" t="str">
        <f>IF(AJ415="","",MAX($AF$1:$AF415))</f>
        <v/>
      </c>
      <c r="AL415" t="str">
        <f t="shared" si="27"/>
        <v/>
      </c>
      <c r="AM415" t="str">
        <f>IF(AL415="","",MAX($AF$1:$AF415))</f>
        <v/>
      </c>
    </row>
    <row r="416" spans="1:39" ht="13.5" customHeight="1" x14ac:dyDescent="0.3">
      <c r="A416" s="8" t="s">
        <v>18</v>
      </c>
      <c r="B416" s="9"/>
      <c r="C416" s="10">
        <v>5</v>
      </c>
      <c r="D416" s="11"/>
      <c r="AB416" t="str" cm="1">
        <f t="array" ref="AB416:AC416">_xlfn._xlws.FILTER(A416:Z416,A416:Z416&lt;&gt;"","")</f>
        <v>Technology and Living (Fashion, Clothing and Textiles)</v>
      </c>
      <c r="AC416">
        <v>5</v>
      </c>
      <c r="AD416" t="str">
        <v/>
      </c>
      <c r="AE416" t="str">
        <v/>
      </c>
      <c r="AF416" t="str" cm="1">
        <f t="array" ref="AF416">IF(AD416="","",SUMPRODUCT(IF(LEFT($AD$1:AD416,2)="JS",1,0)))</f>
        <v/>
      </c>
      <c r="AG416" t="str">
        <f t="shared" si="24"/>
        <v/>
      </c>
      <c r="AH416" t="str">
        <f t="shared" si="25"/>
        <v/>
      </c>
      <c r="AI416" t="str">
        <f>IF(AH416="","",MAX($AF$1:$AF416))</f>
        <v/>
      </c>
      <c r="AJ416" t="str">
        <f t="shared" si="26"/>
        <v/>
      </c>
      <c r="AK416" t="str">
        <f>IF(AJ416="","",MAX($AF$1:$AF416))</f>
        <v/>
      </c>
      <c r="AL416" t="str">
        <f t="shared" si="27"/>
        <v/>
      </c>
      <c r="AM416" t="str">
        <f>IF(AL416="","",MAX($AF$1:$AF416))</f>
        <v/>
      </c>
    </row>
    <row r="417" spans="1:39" ht="13.5" customHeight="1" x14ac:dyDescent="0.3">
      <c r="A417" s="8" t="s">
        <v>19</v>
      </c>
      <c r="B417" s="9"/>
      <c r="C417" s="10">
        <v>5</v>
      </c>
      <c r="D417" s="11"/>
      <c r="AB417" t="str" cm="1">
        <f t="array" ref="AB417:AC417">_xlfn._xlws.FILTER(A417:Z417,A417:Z417&lt;&gt;"","")</f>
        <v>Technology and Living (Food Science and Technology)</v>
      </c>
      <c r="AC417">
        <v>5</v>
      </c>
      <c r="AD417" t="str">
        <v/>
      </c>
      <c r="AE417" t="str">
        <v/>
      </c>
      <c r="AF417" t="str" cm="1">
        <f t="array" ref="AF417">IF(AD417="","",SUMPRODUCT(IF(LEFT($AD$1:AD417,2)="JS",1,0)))</f>
        <v/>
      </c>
      <c r="AG417" t="str">
        <f t="shared" si="24"/>
        <v/>
      </c>
      <c r="AH417" t="str">
        <f t="shared" si="25"/>
        <v/>
      </c>
      <c r="AI417" t="str">
        <f>IF(AH417="","",MAX($AF$1:$AF417))</f>
        <v/>
      </c>
      <c r="AJ417" t="str">
        <f t="shared" si="26"/>
        <v/>
      </c>
      <c r="AK417" t="str">
        <f>IF(AJ417="","",MAX($AF$1:$AF417))</f>
        <v/>
      </c>
      <c r="AL417" t="str">
        <f t="shared" si="27"/>
        <v/>
      </c>
      <c r="AM417" t="str">
        <f>IF(AL417="","",MAX($AF$1:$AF417))</f>
        <v/>
      </c>
    </row>
    <row r="418" spans="1:39" ht="13.5" customHeight="1" x14ac:dyDescent="0.3">
      <c r="A418" s="8" t="s">
        <v>20</v>
      </c>
      <c r="B418" s="9"/>
      <c r="C418" s="10">
        <v>5</v>
      </c>
      <c r="D418" s="11"/>
      <c r="AB418" t="str" cm="1">
        <f t="array" ref="AB418:AC418">_xlfn._xlws.FILTER(A418:Z418,A418:Z418&lt;&gt;"","")</f>
        <v>Tourism and Hospitality Studies</v>
      </c>
      <c r="AC418">
        <v>5</v>
      </c>
      <c r="AD418" t="str">
        <v/>
      </c>
      <c r="AE418" t="str">
        <v/>
      </c>
      <c r="AF418" t="str" cm="1">
        <f t="array" ref="AF418">IF(AD418="","",SUMPRODUCT(IF(LEFT($AD$1:AD418,2)="JS",1,0)))</f>
        <v/>
      </c>
      <c r="AG418" t="str">
        <f t="shared" si="24"/>
        <v/>
      </c>
      <c r="AH418" t="str">
        <f t="shared" si="25"/>
        <v/>
      </c>
      <c r="AI418" t="str">
        <f>IF(AH418="","",MAX($AF$1:$AF418))</f>
        <v/>
      </c>
      <c r="AJ418" t="str">
        <f t="shared" si="26"/>
        <v/>
      </c>
      <c r="AK418" t="str">
        <f>IF(AJ418="","",MAX($AF$1:$AF418))</f>
        <v/>
      </c>
      <c r="AL418" t="str">
        <f t="shared" si="27"/>
        <v/>
      </c>
      <c r="AM418" t="str">
        <f>IF(AL418="","",MAX($AF$1:$AF418))</f>
        <v/>
      </c>
    </row>
    <row r="419" spans="1:39" ht="13.5" customHeight="1" x14ac:dyDescent="0.3">
      <c r="A419" s="8" t="s">
        <v>210</v>
      </c>
      <c r="B419" s="9"/>
      <c r="C419" s="10">
        <v>5</v>
      </c>
      <c r="D419" s="11"/>
      <c r="AB419" t="str" cm="1">
        <f t="array" ref="AB419:AC419">_xlfn._xlws.FILTER(A419:Z419,A419:Z419&lt;&gt;"","")</f>
        <v>VA</v>
      </c>
      <c r="AC419">
        <v>5</v>
      </c>
      <c r="AD419" t="str">
        <v/>
      </c>
      <c r="AE419" t="str">
        <v/>
      </c>
      <c r="AF419" t="str" cm="1">
        <f t="array" ref="AF419">IF(AD419="","",SUMPRODUCT(IF(LEFT($AD$1:AD419,2)="JS",1,0)))</f>
        <v/>
      </c>
      <c r="AG419" t="b">
        <f t="shared" si="24"/>
        <v>1</v>
      </c>
      <c r="AH419" t="str">
        <f t="shared" si="25"/>
        <v/>
      </c>
      <c r="AI419" t="str">
        <f>IF(AH419="","",MAX($AF$1:$AF419))</f>
        <v/>
      </c>
      <c r="AJ419" t="str">
        <f t="shared" si="26"/>
        <v/>
      </c>
      <c r="AK419" t="str">
        <f>IF(AJ419="","",MAX($AF$1:$AF419))</f>
        <v/>
      </c>
      <c r="AL419" t="str">
        <f t="shared" si="27"/>
        <v>VA</v>
      </c>
      <c r="AM419">
        <f>IF(AL419="","",MAX($AF$1:$AF419))</f>
        <v>8</v>
      </c>
    </row>
    <row r="420" spans="1:39" ht="14.5" customHeight="1" x14ac:dyDescent="0.3">
      <c r="A420" s="12"/>
      <c r="B420" s="12"/>
      <c r="C420" s="2"/>
      <c r="D420" s="2"/>
      <c r="AB420" t="str" cm="1">
        <f t="array" ref="AB420">_xlfn._xlws.FILTER(A420:Z420,A420:Z420&lt;&gt;"","")</f>
        <v/>
      </c>
      <c r="AD420" t="str">
        <v/>
      </c>
      <c r="AE420" t="str">
        <v/>
      </c>
      <c r="AF420" t="str" cm="1">
        <f t="array" ref="AF420">IF(AD420="","",SUMPRODUCT(IF(LEFT($AD$1:AD420,2)="JS",1,0)))</f>
        <v/>
      </c>
      <c r="AG420" t="str">
        <f t="shared" si="24"/>
        <v/>
      </c>
      <c r="AH420" t="str">
        <f t="shared" si="25"/>
        <v/>
      </c>
      <c r="AI420" t="str">
        <f>IF(AH420="","",MAX($AF$1:$AF420))</f>
        <v/>
      </c>
      <c r="AJ420" t="str">
        <f t="shared" si="26"/>
        <v/>
      </c>
      <c r="AK420" t="str">
        <f>IF(AJ420="","",MAX($AF$1:$AF420))</f>
        <v/>
      </c>
      <c r="AL420" t="str">
        <f t="shared" si="27"/>
        <v/>
      </c>
      <c r="AM420" t="str">
        <f>IF(AL420="","",MAX($AF$1:$AF420))</f>
        <v/>
      </c>
    </row>
    <row r="421" spans="1:39" ht="13.5" customHeight="1" x14ac:dyDescent="0.3">
      <c r="A421" s="13" t="s">
        <v>21</v>
      </c>
      <c r="B421" s="13"/>
      <c r="C421" s="13"/>
      <c r="D421" s="13"/>
      <c r="AB421" t="str" cm="1">
        <f t="array" ref="AB421">_xlfn._xlws.FILTER(A421:Z421,A421:Z421&lt;&gt;"","")</f>
        <v>Category B: Applied Learning Subjects</v>
      </c>
      <c r="AD421" t="str">
        <v/>
      </c>
      <c r="AE421" t="str">
        <v/>
      </c>
      <c r="AF421" t="str" cm="1">
        <f t="array" ref="AF421">IF(AD421="","",SUMPRODUCT(IF(LEFT($AD$1:AD421,2)="JS",1,0)))</f>
        <v/>
      </c>
      <c r="AG421" t="str">
        <f t="shared" si="24"/>
        <v/>
      </c>
      <c r="AH421" t="str">
        <f t="shared" si="25"/>
        <v/>
      </c>
      <c r="AI421" t="str">
        <f>IF(AH421="","",MAX($AF$1:$AF421))</f>
        <v/>
      </c>
      <c r="AJ421" t="str">
        <f t="shared" si="26"/>
        <v/>
      </c>
      <c r="AK421" t="str">
        <f>IF(AJ421="","",MAX($AF$1:$AF421))</f>
        <v/>
      </c>
      <c r="AL421" t="str">
        <f t="shared" si="27"/>
        <v/>
      </c>
      <c r="AM421" t="str">
        <f>IF(AL421="","",MAX($AF$1:$AF421))</f>
        <v/>
      </c>
    </row>
    <row r="422" spans="1:39" ht="13.5" customHeight="1" x14ac:dyDescent="0.3">
      <c r="A422" s="14" t="s">
        <v>3</v>
      </c>
      <c r="B422" s="15"/>
      <c r="C422" s="16" t="s">
        <v>4</v>
      </c>
      <c r="D422" s="17"/>
      <c r="AB422" t="str" cm="1">
        <f t="array" ref="AB422:AC422">_xlfn._xlws.FILTER(A422:Z422,A422:Z422&lt;&gt;"","")</f>
        <v>Subject Name</v>
      </c>
      <c r="AC422" t="str">
        <v>Subject Weighting for 2023/24 Admission Exercise *</v>
      </c>
      <c r="AD422" t="str">
        <v/>
      </c>
      <c r="AE422" t="str">
        <v/>
      </c>
      <c r="AF422" t="str" cm="1">
        <f t="array" ref="AF422">IF(AD422="","",SUMPRODUCT(IF(LEFT($AD$1:AD422,2)="JS",1,0)))</f>
        <v/>
      </c>
      <c r="AG422" t="str">
        <f t="shared" si="24"/>
        <v/>
      </c>
      <c r="AH422" t="str">
        <f t="shared" si="25"/>
        <v/>
      </c>
      <c r="AI422" t="str">
        <f>IF(AH422="","",MAX($AF$1:$AF422))</f>
        <v/>
      </c>
      <c r="AJ422" t="str">
        <f t="shared" si="26"/>
        <v/>
      </c>
      <c r="AK422" t="str">
        <f>IF(AJ422="","",MAX($AF$1:$AF422))</f>
        <v/>
      </c>
      <c r="AL422" t="str">
        <f t="shared" si="27"/>
        <v/>
      </c>
      <c r="AM422" t="str">
        <f>IF(AL422="","",MAX($AF$1:$AF422))</f>
        <v/>
      </c>
    </row>
    <row r="423" spans="1:39" ht="13.5" customHeight="1" x14ac:dyDescent="0.3">
      <c r="A423" s="8" t="s">
        <v>94</v>
      </c>
      <c r="B423" s="9"/>
      <c r="C423" s="10">
        <v>5</v>
      </c>
      <c r="D423" s="11"/>
      <c r="AB423" t="str" cm="1">
        <f t="array" ref="AB423:AC423">_xlfn._xlws.FILTER(A423:Z423,A423:Z423&lt;&gt;"","")</f>
        <v>Building Facilities Engineering</v>
      </c>
      <c r="AC423">
        <v>5</v>
      </c>
      <c r="AD423" t="str">
        <v/>
      </c>
      <c r="AE423" t="str">
        <v/>
      </c>
      <c r="AF423" t="str" cm="1">
        <f t="array" ref="AF423">IF(AD423="","",SUMPRODUCT(IF(LEFT($AD$1:AD423,2)="JS",1,0)))</f>
        <v/>
      </c>
      <c r="AG423" t="str">
        <f t="shared" si="24"/>
        <v/>
      </c>
      <c r="AH423" t="str">
        <f t="shared" si="25"/>
        <v/>
      </c>
      <c r="AI423" t="str">
        <f>IF(AH423="","",MAX($AF$1:$AF423))</f>
        <v/>
      </c>
      <c r="AJ423" t="str">
        <f t="shared" si="26"/>
        <v/>
      </c>
      <c r="AK423" t="str">
        <f>IF(AJ423="","",MAX($AF$1:$AF423))</f>
        <v/>
      </c>
      <c r="AL423" t="str">
        <f t="shared" si="27"/>
        <v/>
      </c>
      <c r="AM423" t="str">
        <f>IF(AL423="","",MAX($AF$1:$AF423))</f>
        <v/>
      </c>
    </row>
    <row r="424" spans="1:39" ht="13.5" customHeight="1" x14ac:dyDescent="0.3">
      <c r="A424" s="8" t="s">
        <v>24</v>
      </c>
      <c r="B424" s="9"/>
      <c r="C424" s="10">
        <v>5</v>
      </c>
      <c r="D424" s="11"/>
      <c r="AB424" t="str" cm="1">
        <f t="array" ref="AB424:AC424">_xlfn._xlws.FILTER(A424:Z424,A424:Z424&lt;&gt;"","")</f>
        <v>Environmental Engineering</v>
      </c>
      <c r="AC424">
        <v>5</v>
      </c>
      <c r="AD424" t="str">
        <v/>
      </c>
      <c r="AE424" t="str">
        <v/>
      </c>
      <c r="AF424" t="str" cm="1">
        <f t="array" ref="AF424">IF(AD424="","",SUMPRODUCT(IF(LEFT($AD$1:AD424,2)="JS",1,0)))</f>
        <v/>
      </c>
      <c r="AG424" t="str">
        <f t="shared" si="24"/>
        <v/>
      </c>
      <c r="AH424" t="str">
        <f t="shared" si="25"/>
        <v/>
      </c>
      <c r="AI424" t="str">
        <f>IF(AH424="","",MAX($AF$1:$AF424))</f>
        <v/>
      </c>
      <c r="AJ424" t="str">
        <f t="shared" si="26"/>
        <v/>
      </c>
      <c r="AK424" t="str">
        <f>IF(AJ424="","",MAX($AF$1:$AF424))</f>
        <v/>
      </c>
      <c r="AL424" t="str">
        <f t="shared" si="27"/>
        <v/>
      </c>
      <c r="AM424" t="str">
        <f>IF(AL424="","",MAX($AF$1:$AF424))</f>
        <v/>
      </c>
    </row>
    <row r="425" spans="1:39" ht="13.5" customHeight="1" x14ac:dyDescent="0.3">
      <c r="A425" s="12"/>
      <c r="B425" s="12"/>
      <c r="C425" s="2"/>
      <c r="D425" s="2"/>
      <c r="AB425" t="str" cm="1">
        <f t="array" ref="AB425">_xlfn._xlws.FILTER(A425:Z425,A425:Z425&lt;&gt;"","")</f>
        <v/>
      </c>
      <c r="AD425" t="str">
        <v/>
      </c>
      <c r="AE425" t="str">
        <v/>
      </c>
      <c r="AF425" t="str" cm="1">
        <f t="array" ref="AF425">IF(AD425="","",SUMPRODUCT(IF(LEFT($AD$1:AD425,2)="JS",1,0)))</f>
        <v/>
      </c>
      <c r="AG425" t="str">
        <f t="shared" si="24"/>
        <v/>
      </c>
      <c r="AH425" t="str">
        <f t="shared" si="25"/>
        <v/>
      </c>
      <c r="AI425" t="str">
        <f>IF(AH425="","",MAX($AF$1:$AF425))</f>
        <v/>
      </c>
      <c r="AJ425" t="str">
        <f t="shared" si="26"/>
        <v/>
      </c>
      <c r="AK425" t="str">
        <f>IF(AJ425="","",MAX($AF$1:$AF425))</f>
        <v/>
      </c>
      <c r="AL425" t="str">
        <f t="shared" si="27"/>
        <v/>
      </c>
      <c r="AM425" t="str">
        <f>IF(AL425="","",MAX($AF$1:$AF425))</f>
        <v/>
      </c>
    </row>
    <row r="426" spans="1:39" ht="13.5" customHeight="1" x14ac:dyDescent="0.3">
      <c r="A426" s="13" t="s">
        <v>34</v>
      </c>
      <c r="B426" s="13"/>
      <c r="C426" s="13"/>
      <c r="D426" s="13"/>
      <c r="AB426" t="str" cm="1">
        <f t="array" ref="AB426">_xlfn._xlws.FILTER(A426:Z426,A426:Z426&lt;&gt;"","")</f>
        <v>Category C: Other Language Subjects</v>
      </c>
      <c r="AD426" t="str">
        <v/>
      </c>
      <c r="AE426" t="str">
        <v/>
      </c>
      <c r="AF426" t="str" cm="1">
        <f t="array" ref="AF426">IF(AD426="","",SUMPRODUCT(IF(LEFT($AD$1:AD426,2)="JS",1,0)))</f>
        <v/>
      </c>
      <c r="AG426" t="str">
        <f t="shared" si="24"/>
        <v/>
      </c>
      <c r="AH426" t="str">
        <f t="shared" si="25"/>
        <v/>
      </c>
      <c r="AI426" t="str">
        <f>IF(AH426="","",MAX($AF$1:$AF426))</f>
        <v/>
      </c>
      <c r="AJ426" t="str">
        <f t="shared" si="26"/>
        <v/>
      </c>
      <c r="AK426" t="str">
        <f>IF(AJ426="","",MAX($AF$1:$AF426))</f>
        <v/>
      </c>
      <c r="AL426" t="str">
        <f t="shared" si="27"/>
        <v/>
      </c>
      <c r="AM426" t="str">
        <f>IF(AL426="","",MAX($AF$1:$AF426))</f>
        <v/>
      </c>
    </row>
    <row r="427" spans="1:39" ht="13.5" customHeight="1" x14ac:dyDescent="0.3">
      <c r="A427" s="14" t="s">
        <v>3</v>
      </c>
      <c r="B427" s="15"/>
      <c r="C427" s="16" t="s">
        <v>4</v>
      </c>
      <c r="D427" s="17"/>
      <c r="AB427" t="str" cm="1">
        <f t="array" ref="AB427:AC427">_xlfn._xlws.FILTER(A427:Z427,A427:Z427&lt;&gt;"","")</f>
        <v>Subject Name</v>
      </c>
      <c r="AC427" t="str">
        <v>Subject Weighting for 2023/24 Admission Exercise *</v>
      </c>
      <c r="AD427" t="str">
        <v/>
      </c>
      <c r="AE427" t="str">
        <v/>
      </c>
      <c r="AF427" t="str" cm="1">
        <f t="array" ref="AF427">IF(AD427="","",SUMPRODUCT(IF(LEFT($AD$1:AD427,2)="JS",1,0)))</f>
        <v/>
      </c>
      <c r="AG427" t="str">
        <f t="shared" si="24"/>
        <v/>
      </c>
      <c r="AH427" t="str">
        <f t="shared" si="25"/>
        <v/>
      </c>
      <c r="AI427" t="str">
        <f>IF(AH427="","",MAX($AF$1:$AF427))</f>
        <v/>
      </c>
      <c r="AJ427" t="str">
        <f t="shared" si="26"/>
        <v/>
      </c>
      <c r="AK427" t="str">
        <f>IF(AJ427="","",MAX($AF$1:$AF427))</f>
        <v/>
      </c>
      <c r="AL427" t="str">
        <f t="shared" si="27"/>
        <v/>
      </c>
      <c r="AM427" t="str">
        <f>IF(AL427="","",MAX($AF$1:$AF427))</f>
        <v/>
      </c>
    </row>
    <row r="428" spans="1:39" ht="13.5" customHeight="1" x14ac:dyDescent="0.3">
      <c r="A428" s="8" t="s">
        <v>35</v>
      </c>
      <c r="B428" s="9"/>
      <c r="C428" s="10">
        <v>5</v>
      </c>
      <c r="D428" s="11"/>
      <c r="AB428" t="str" cm="1">
        <f t="array" ref="AB428:AC428">_xlfn._xlws.FILTER(A428:Z428,A428:Z428&lt;&gt;"","")</f>
        <v>French</v>
      </c>
      <c r="AC428">
        <v>5</v>
      </c>
      <c r="AD428" t="str">
        <v/>
      </c>
      <c r="AE428" t="str">
        <v/>
      </c>
      <c r="AF428" t="str" cm="1">
        <f t="array" ref="AF428">IF(AD428="","",SUMPRODUCT(IF(LEFT($AD$1:AD428,2)="JS",1,0)))</f>
        <v/>
      </c>
      <c r="AG428" t="str">
        <f t="shared" si="24"/>
        <v/>
      </c>
      <c r="AH428" t="str">
        <f t="shared" si="25"/>
        <v/>
      </c>
      <c r="AI428" t="str">
        <f>IF(AH428="","",MAX($AF$1:$AF428))</f>
        <v/>
      </c>
      <c r="AJ428" t="str">
        <f t="shared" si="26"/>
        <v/>
      </c>
      <c r="AK428" t="str">
        <f>IF(AJ428="","",MAX($AF$1:$AF428))</f>
        <v/>
      </c>
      <c r="AL428" t="str">
        <f t="shared" si="27"/>
        <v/>
      </c>
      <c r="AM428" t="str">
        <f>IF(AL428="","",MAX($AF$1:$AF428))</f>
        <v/>
      </c>
    </row>
    <row r="429" spans="1:39" ht="13.5" customHeight="1" x14ac:dyDescent="0.3">
      <c r="A429" s="8" t="s">
        <v>36</v>
      </c>
      <c r="B429" s="9"/>
      <c r="C429" s="10">
        <v>5</v>
      </c>
      <c r="D429" s="11"/>
      <c r="AB429" t="str" cm="1">
        <f t="array" ref="AB429:AC429">_xlfn._xlws.FILTER(A429:Z429,A429:Z429&lt;&gt;"","")</f>
        <v>German</v>
      </c>
      <c r="AC429">
        <v>5</v>
      </c>
      <c r="AD429" t="str">
        <v/>
      </c>
      <c r="AE429" t="str">
        <v/>
      </c>
      <c r="AF429" t="str" cm="1">
        <f t="array" ref="AF429">IF(AD429="","",SUMPRODUCT(IF(LEFT($AD$1:AD429,2)="JS",1,0)))</f>
        <v/>
      </c>
      <c r="AG429" t="str">
        <f t="shared" si="24"/>
        <v/>
      </c>
      <c r="AH429" t="str">
        <f t="shared" si="25"/>
        <v/>
      </c>
      <c r="AI429" t="str">
        <f>IF(AH429="","",MAX($AF$1:$AF429))</f>
        <v/>
      </c>
      <c r="AJ429" t="str">
        <f t="shared" si="26"/>
        <v/>
      </c>
      <c r="AK429" t="str">
        <f>IF(AJ429="","",MAX($AF$1:$AF429))</f>
        <v/>
      </c>
      <c r="AL429" t="str">
        <f t="shared" si="27"/>
        <v/>
      </c>
      <c r="AM429" t="str">
        <f>IF(AL429="","",MAX($AF$1:$AF429))</f>
        <v/>
      </c>
    </row>
    <row r="430" spans="1:39" ht="13.5" customHeight="1" x14ac:dyDescent="0.3">
      <c r="A430" s="8" t="s">
        <v>37</v>
      </c>
      <c r="B430" s="9"/>
      <c r="C430" s="10">
        <v>5</v>
      </c>
      <c r="D430" s="11"/>
      <c r="AB430" t="str" cm="1">
        <f t="array" ref="AB430:AC430">_xlfn._xlws.FILTER(A430:Z430,A430:Z430&lt;&gt;"","")</f>
        <v>Hindi</v>
      </c>
      <c r="AC430">
        <v>5</v>
      </c>
      <c r="AD430" t="str">
        <v/>
      </c>
      <c r="AE430" t="str">
        <v/>
      </c>
      <c r="AF430" t="str" cm="1">
        <f t="array" ref="AF430">IF(AD430="","",SUMPRODUCT(IF(LEFT($AD$1:AD430,2)="JS",1,0)))</f>
        <v/>
      </c>
      <c r="AG430" t="str">
        <f t="shared" si="24"/>
        <v/>
      </c>
      <c r="AH430" t="str">
        <f t="shared" si="25"/>
        <v/>
      </c>
      <c r="AI430" t="str">
        <f>IF(AH430="","",MAX($AF$1:$AF430))</f>
        <v/>
      </c>
      <c r="AJ430" t="str">
        <f t="shared" si="26"/>
        <v/>
      </c>
      <c r="AK430" t="str">
        <f>IF(AJ430="","",MAX($AF$1:$AF430))</f>
        <v/>
      </c>
      <c r="AL430" t="str">
        <f t="shared" si="27"/>
        <v/>
      </c>
      <c r="AM430" t="str">
        <f>IF(AL430="","",MAX($AF$1:$AF430))</f>
        <v/>
      </c>
    </row>
    <row r="431" spans="1:39" ht="13.5" customHeight="1" x14ac:dyDescent="0.3">
      <c r="A431" s="8" t="s">
        <v>38</v>
      </c>
      <c r="B431" s="9"/>
      <c r="C431" s="10">
        <v>5</v>
      </c>
      <c r="D431" s="11"/>
      <c r="AB431" t="str" cm="1">
        <f t="array" ref="AB431:AC431">_xlfn._xlws.FILTER(A431:Z431,A431:Z431&lt;&gt;"","")</f>
        <v>Japanese</v>
      </c>
      <c r="AC431">
        <v>5</v>
      </c>
      <c r="AD431" t="str">
        <v/>
      </c>
      <c r="AE431" t="str">
        <v/>
      </c>
      <c r="AF431" t="str" cm="1">
        <f t="array" ref="AF431">IF(AD431="","",SUMPRODUCT(IF(LEFT($AD$1:AD431,2)="JS",1,0)))</f>
        <v/>
      </c>
      <c r="AG431" t="str">
        <f t="shared" si="24"/>
        <v/>
      </c>
      <c r="AH431" t="str">
        <f t="shared" si="25"/>
        <v/>
      </c>
      <c r="AI431" t="str">
        <f>IF(AH431="","",MAX($AF$1:$AF431))</f>
        <v/>
      </c>
      <c r="AJ431" t="str">
        <f t="shared" si="26"/>
        <v/>
      </c>
      <c r="AK431" t="str">
        <f>IF(AJ431="","",MAX($AF$1:$AF431))</f>
        <v/>
      </c>
      <c r="AL431" t="str">
        <f t="shared" si="27"/>
        <v/>
      </c>
      <c r="AM431" t="str">
        <f>IF(AL431="","",MAX($AF$1:$AF431))</f>
        <v/>
      </c>
    </row>
    <row r="432" spans="1:39" ht="13.5" customHeight="1" x14ac:dyDescent="0.3">
      <c r="A432" s="8" t="s">
        <v>39</v>
      </c>
      <c r="B432" s="9"/>
      <c r="C432" s="10">
        <v>5</v>
      </c>
      <c r="D432" s="11"/>
      <c r="AB432" t="str" cm="1">
        <f t="array" ref="AB432:AC432">_xlfn._xlws.FILTER(A432:Z432,A432:Z432&lt;&gt;"","")</f>
        <v>Spanish</v>
      </c>
      <c r="AC432">
        <v>5</v>
      </c>
      <c r="AD432" t="str">
        <v/>
      </c>
      <c r="AE432" t="str">
        <v/>
      </c>
      <c r="AF432" t="str" cm="1">
        <f t="array" ref="AF432">IF(AD432="","",SUMPRODUCT(IF(LEFT($AD$1:AD432,2)="JS",1,0)))</f>
        <v/>
      </c>
      <c r="AG432" t="str">
        <f t="shared" si="24"/>
        <v/>
      </c>
      <c r="AH432" t="str">
        <f t="shared" si="25"/>
        <v/>
      </c>
      <c r="AI432" t="str">
        <f>IF(AH432="","",MAX($AF$1:$AF432))</f>
        <v/>
      </c>
      <c r="AJ432" t="str">
        <f t="shared" si="26"/>
        <v/>
      </c>
      <c r="AK432" t="str">
        <f>IF(AJ432="","",MAX($AF$1:$AF432))</f>
        <v/>
      </c>
      <c r="AL432" t="str">
        <f t="shared" si="27"/>
        <v/>
      </c>
      <c r="AM432" t="str">
        <f>IF(AL432="","",MAX($AF$1:$AF432))</f>
        <v/>
      </c>
    </row>
    <row r="433" spans="1:39" ht="13.5" customHeight="1" x14ac:dyDescent="0.3">
      <c r="A433" s="8" t="s">
        <v>40</v>
      </c>
      <c r="B433" s="9"/>
      <c r="C433" s="10">
        <v>5</v>
      </c>
      <c r="D433" s="11"/>
      <c r="AB433" t="str" cm="1">
        <f t="array" ref="AB433:AC433">_xlfn._xlws.FILTER(A433:Z433,A433:Z433&lt;&gt;"","")</f>
        <v>Urdu</v>
      </c>
      <c r="AC433">
        <v>5</v>
      </c>
      <c r="AD433" t="str">
        <v/>
      </c>
      <c r="AE433" t="str">
        <v/>
      </c>
      <c r="AF433" t="str" cm="1">
        <f t="array" ref="AF433">IF(AD433="","",SUMPRODUCT(IF(LEFT($AD$1:AD433,2)="JS",1,0)))</f>
        <v/>
      </c>
      <c r="AG433" t="str">
        <f t="shared" si="24"/>
        <v/>
      </c>
      <c r="AH433" t="str">
        <f t="shared" si="25"/>
        <v/>
      </c>
      <c r="AI433" t="str">
        <f>IF(AH433="","",MAX($AF$1:$AF433))</f>
        <v/>
      </c>
      <c r="AJ433" t="str">
        <f t="shared" si="26"/>
        <v/>
      </c>
      <c r="AK433" t="str">
        <f>IF(AJ433="","",MAX($AF$1:$AF433))</f>
        <v/>
      </c>
      <c r="AL433" t="str">
        <f t="shared" si="27"/>
        <v/>
      </c>
      <c r="AM433" t="str">
        <f>IF(AL433="","",MAX($AF$1:$AF433))</f>
        <v/>
      </c>
    </row>
    <row r="434" spans="1:39" ht="15" customHeight="1" x14ac:dyDescent="0.3">
      <c r="A434" s="18" t="s">
        <v>95</v>
      </c>
      <c r="B434" s="18"/>
      <c r="C434" s="18"/>
      <c r="D434" s="1"/>
      <c r="AB434" t="str" cm="1">
        <f t="array" ref="AB434">_xlfn._xlws.FILTER(A434:Z434,A434:Z434&lt;&gt;"","")</f>
        <v>JUPAS Code: JS3120</v>
      </c>
      <c r="AD434" t="str">
        <v>JS3120</v>
      </c>
      <c r="AE434" t="str">
        <v/>
      </c>
      <c r="AF434" cm="1">
        <f t="array" ref="AF434">IF(AD434="","",SUMPRODUCT(IF(LEFT($AD$1:AD434,2)="JS",1,0)))</f>
        <v>9</v>
      </c>
      <c r="AG434" t="str">
        <f t="shared" si="24"/>
        <v/>
      </c>
      <c r="AH434" t="str">
        <f t="shared" si="25"/>
        <v/>
      </c>
      <c r="AI434" t="str">
        <f>IF(AH434="","",MAX($AF$1:$AF434))</f>
        <v/>
      </c>
      <c r="AJ434" t="str">
        <f t="shared" si="26"/>
        <v/>
      </c>
      <c r="AK434" t="str">
        <f>IF(AJ434="","",MAX($AF$1:$AF434))</f>
        <v/>
      </c>
      <c r="AL434" t="str">
        <f t="shared" si="27"/>
        <v/>
      </c>
      <c r="AM434" t="str">
        <f>IF(AL434="","",MAX($AF$1:$AF434))</f>
        <v/>
      </c>
    </row>
    <row r="435" spans="1:39" ht="13.5" customHeight="1" x14ac:dyDescent="0.3">
      <c r="A435" s="18" t="s">
        <v>96</v>
      </c>
      <c r="B435" s="18"/>
      <c r="C435" s="18"/>
      <c r="D435" s="1"/>
      <c r="AB435" t="str" cm="1">
        <f t="array" ref="AB435">_xlfn._xlws.FILTER(A435:Z435,A435:Z435&lt;&gt;"","")</f>
        <v>Programme Title: BEng (Hons) Scheme in Civil Engineering and Sustainable Development</v>
      </c>
      <c r="AD435" t="str">
        <v/>
      </c>
      <c r="AE435" t="str">
        <v>BEng (Hons) Scheme in Civil Engineering and Sustainable Development</v>
      </c>
      <c r="AF435" t="str" cm="1">
        <f t="array" ref="AF435">IF(AD435="","",SUMPRODUCT(IF(LEFT($AD$1:AD435,2)="JS",1,0)))</f>
        <v/>
      </c>
      <c r="AG435" t="str">
        <f t="shared" si="24"/>
        <v/>
      </c>
      <c r="AH435" t="str">
        <f t="shared" si="25"/>
        <v/>
      </c>
      <c r="AI435" t="str">
        <f>IF(AH435="","",MAX($AF$1:$AF435))</f>
        <v/>
      </c>
      <c r="AJ435" t="str">
        <f t="shared" si="26"/>
        <v/>
      </c>
      <c r="AK435" t="str">
        <f>IF(AJ435="","",MAX($AF$1:$AF435))</f>
        <v/>
      </c>
      <c r="AL435" t="str">
        <f t="shared" si="27"/>
        <v/>
      </c>
      <c r="AM435" t="str">
        <f>IF(AL435="","",MAX($AF$1:$AF435))</f>
        <v/>
      </c>
    </row>
    <row r="436" spans="1:39" ht="14.5" customHeight="1" x14ac:dyDescent="0.3">
      <c r="A436" s="12"/>
      <c r="B436" s="12"/>
      <c r="C436" s="2"/>
      <c r="D436" s="2"/>
      <c r="AB436" t="str" cm="1">
        <f t="array" ref="AB436">_xlfn._xlws.FILTER(A436:Z436,A436:Z436&lt;&gt;"","")</f>
        <v/>
      </c>
      <c r="AD436" t="str">
        <v/>
      </c>
      <c r="AE436" t="str">
        <v/>
      </c>
      <c r="AF436" t="str" cm="1">
        <f t="array" ref="AF436">IF(AD436="","",SUMPRODUCT(IF(LEFT($AD$1:AD436,2)="JS",1,0)))</f>
        <v/>
      </c>
      <c r="AG436" t="str">
        <f t="shared" si="24"/>
        <v/>
      </c>
      <c r="AH436" t="str">
        <f t="shared" si="25"/>
        <v/>
      </c>
      <c r="AI436" t="str">
        <f>IF(AH436="","",MAX($AF$1:$AF436))</f>
        <v/>
      </c>
      <c r="AJ436" t="str">
        <f t="shared" si="26"/>
        <v/>
      </c>
      <c r="AK436" t="str">
        <f>IF(AJ436="","",MAX($AF$1:$AF436))</f>
        <v/>
      </c>
      <c r="AL436" t="str">
        <f t="shared" si="27"/>
        <v/>
      </c>
      <c r="AM436" t="str">
        <f>IF(AL436="","",MAX($AF$1:$AF436))</f>
        <v/>
      </c>
    </row>
    <row r="437" spans="1:39" ht="13.5" customHeight="1" x14ac:dyDescent="0.3">
      <c r="A437" s="13" t="s">
        <v>2</v>
      </c>
      <c r="B437" s="13"/>
      <c r="C437" s="13"/>
      <c r="D437" s="13"/>
      <c r="AB437" t="str" cm="1">
        <f t="array" ref="AB437">_xlfn._xlws.FILTER(A437:Z437,A437:Z437&lt;&gt;"","")</f>
        <v>Category A: Core and Elective Subjects</v>
      </c>
      <c r="AD437" t="str">
        <v/>
      </c>
      <c r="AE437" t="str">
        <v/>
      </c>
      <c r="AF437" t="str" cm="1">
        <f t="array" ref="AF437">IF(AD437="","",SUMPRODUCT(IF(LEFT($AD$1:AD437,2)="JS",1,0)))</f>
        <v/>
      </c>
      <c r="AG437" t="str">
        <f t="shared" si="24"/>
        <v/>
      </c>
      <c r="AH437" t="str">
        <f t="shared" si="25"/>
        <v/>
      </c>
      <c r="AI437" t="str">
        <f>IF(AH437="","",MAX($AF$1:$AF437))</f>
        <v/>
      </c>
      <c r="AJ437" t="str">
        <f t="shared" si="26"/>
        <v/>
      </c>
      <c r="AK437" t="str">
        <f>IF(AJ437="","",MAX($AF$1:$AF437))</f>
        <v/>
      </c>
      <c r="AL437" t="str">
        <f t="shared" si="27"/>
        <v/>
      </c>
      <c r="AM437" t="str">
        <f>IF(AL437="","",MAX($AF$1:$AF437))</f>
        <v/>
      </c>
    </row>
    <row r="438" spans="1:39" ht="13.5" customHeight="1" x14ac:dyDescent="0.3">
      <c r="A438" s="14" t="s">
        <v>3</v>
      </c>
      <c r="B438" s="15"/>
      <c r="C438" s="16" t="s">
        <v>4</v>
      </c>
      <c r="D438" s="17"/>
      <c r="AB438" t="str" cm="1">
        <f t="array" ref="AB438:AC438">_xlfn._xlws.FILTER(A438:Z438,A438:Z438&lt;&gt;"","")</f>
        <v>Subject Name</v>
      </c>
      <c r="AC438" t="str">
        <v>Subject Weighting for 2023/24 Admission Exercise *</v>
      </c>
      <c r="AD438" t="str">
        <v/>
      </c>
      <c r="AE438" t="str">
        <v/>
      </c>
      <c r="AF438" t="str" cm="1">
        <f t="array" ref="AF438">IF(AD438="","",SUMPRODUCT(IF(LEFT($AD$1:AD438,2)="JS",1,0)))</f>
        <v/>
      </c>
      <c r="AG438" t="str">
        <f t="shared" si="24"/>
        <v/>
      </c>
      <c r="AH438" t="str">
        <f t="shared" si="25"/>
        <v/>
      </c>
      <c r="AI438" t="str">
        <f>IF(AH438="","",MAX($AF$1:$AF438))</f>
        <v/>
      </c>
      <c r="AJ438" t="str">
        <f t="shared" si="26"/>
        <v/>
      </c>
      <c r="AK438" t="str">
        <f>IF(AJ438="","",MAX($AF$1:$AF438))</f>
        <v/>
      </c>
      <c r="AL438" t="str">
        <f t="shared" si="27"/>
        <v/>
      </c>
      <c r="AM438" t="str">
        <f>IF(AL438="","",MAX($AF$1:$AF438))</f>
        <v/>
      </c>
    </row>
    <row r="439" spans="1:39" ht="13.5" customHeight="1" x14ac:dyDescent="0.3">
      <c r="A439" s="8" t="s">
        <v>211</v>
      </c>
      <c r="B439" s="9"/>
      <c r="C439" s="10">
        <v>10</v>
      </c>
      <c r="D439" s="11"/>
      <c r="AB439" t="str" cm="1">
        <f t="array" ref="AB439:AC439">_xlfn._xlws.FILTER(A439:Z439,A439:Z439&lt;&gt;"","")</f>
        <v>BIO</v>
      </c>
      <c r="AC439">
        <v>10</v>
      </c>
      <c r="AD439" t="str">
        <v/>
      </c>
      <c r="AE439" t="str">
        <v/>
      </c>
      <c r="AF439" t="str" cm="1">
        <f t="array" ref="AF439">IF(AD439="","",SUMPRODUCT(IF(LEFT($AD$1:AD439,2)="JS",1,0)))</f>
        <v/>
      </c>
      <c r="AG439" t="b">
        <f t="shared" si="24"/>
        <v>1</v>
      </c>
      <c r="AH439" t="str">
        <f t="shared" si="25"/>
        <v>BIO</v>
      </c>
      <c r="AI439">
        <f>IF(AH439="","",MAX($AF$1:$AF439))</f>
        <v>9</v>
      </c>
      <c r="AJ439" t="str">
        <f t="shared" si="26"/>
        <v/>
      </c>
      <c r="AK439" t="str">
        <f>IF(AJ439="","",MAX($AF$1:$AF439))</f>
        <v/>
      </c>
      <c r="AL439" t="str">
        <f t="shared" si="27"/>
        <v/>
      </c>
      <c r="AM439" t="str">
        <f>IF(AL439="","",MAX($AF$1:$AF439))</f>
        <v/>
      </c>
    </row>
    <row r="440" spans="1:39" ht="13.5" customHeight="1" x14ac:dyDescent="0.3">
      <c r="A440" s="8" t="s">
        <v>213</v>
      </c>
      <c r="B440" s="9"/>
      <c r="C440" s="10">
        <v>5</v>
      </c>
      <c r="D440" s="11"/>
      <c r="AB440" t="str" cm="1">
        <f t="array" ref="AB440:AC440">_xlfn._xlws.FILTER(A440:Z440,A440:Z440&lt;&gt;"","")</f>
        <v>BAFS</v>
      </c>
      <c r="AC440">
        <v>5</v>
      </c>
      <c r="AD440" t="str">
        <v/>
      </c>
      <c r="AE440" t="str">
        <v/>
      </c>
      <c r="AF440" t="str" cm="1">
        <f t="array" ref="AF440">IF(AD440="","",SUMPRODUCT(IF(LEFT($AD$1:AD440,2)="JS",1,0)))</f>
        <v/>
      </c>
      <c r="AG440" t="b">
        <f t="shared" si="24"/>
        <v>1</v>
      </c>
      <c r="AH440" t="str">
        <f t="shared" si="25"/>
        <v/>
      </c>
      <c r="AI440" t="str">
        <f>IF(AH440="","",MAX($AF$1:$AF440))</f>
        <v/>
      </c>
      <c r="AJ440" t="str">
        <f t="shared" si="26"/>
        <v/>
      </c>
      <c r="AK440" t="str">
        <f>IF(AJ440="","",MAX($AF$1:$AF440))</f>
        <v/>
      </c>
      <c r="AL440" t="str">
        <f t="shared" si="27"/>
        <v>BAFS</v>
      </c>
      <c r="AM440">
        <f>IF(AL440="","",MAX($AF$1:$AF440))</f>
        <v>9</v>
      </c>
    </row>
    <row r="441" spans="1:39" ht="13.5" customHeight="1" x14ac:dyDescent="0.3">
      <c r="A441" s="8" t="s">
        <v>5</v>
      </c>
      <c r="B441" s="9"/>
      <c r="C441" s="10">
        <v>5</v>
      </c>
      <c r="D441" s="11"/>
      <c r="AB441" t="str" cm="1">
        <f t="array" ref="AB441:AC441">_xlfn._xlws.FILTER(A441:Z441,A441:Z441&lt;&gt;"","")</f>
        <v>Business, Accounting and Financial Studies (Accounting)</v>
      </c>
      <c r="AC441">
        <v>5</v>
      </c>
      <c r="AD441" t="str">
        <v/>
      </c>
      <c r="AE441" t="str">
        <v/>
      </c>
      <c r="AF441" t="str" cm="1">
        <f t="array" ref="AF441">IF(AD441="","",SUMPRODUCT(IF(LEFT($AD$1:AD441,2)="JS",1,0)))</f>
        <v/>
      </c>
      <c r="AG441" t="str">
        <f t="shared" si="24"/>
        <v/>
      </c>
      <c r="AH441" t="str">
        <f t="shared" si="25"/>
        <v/>
      </c>
      <c r="AI441" t="str">
        <f>IF(AH441="","",MAX($AF$1:$AF441))</f>
        <v/>
      </c>
      <c r="AJ441" t="str">
        <f t="shared" si="26"/>
        <v/>
      </c>
      <c r="AK441" t="str">
        <f>IF(AJ441="","",MAX($AF$1:$AF441))</f>
        <v/>
      </c>
      <c r="AL441" t="str">
        <f t="shared" si="27"/>
        <v/>
      </c>
      <c r="AM441" t="str">
        <f>IF(AL441="","",MAX($AF$1:$AF441))</f>
        <v/>
      </c>
    </row>
    <row r="442" spans="1:39" ht="13.5" customHeight="1" x14ac:dyDescent="0.3">
      <c r="A442" s="8" t="s">
        <v>6</v>
      </c>
      <c r="B442" s="9"/>
      <c r="C442" s="10">
        <v>5</v>
      </c>
      <c r="D442" s="11"/>
      <c r="AB442" t="str" cm="1">
        <f t="array" ref="AB442:AC442">_xlfn._xlws.FILTER(A442:Z442,A442:Z442&lt;&gt;"","")</f>
        <v>Business, Accounting and Financial Studies (Business Management)</v>
      </c>
      <c r="AC442">
        <v>5</v>
      </c>
      <c r="AD442" t="str">
        <v/>
      </c>
      <c r="AE442" t="str">
        <v/>
      </c>
      <c r="AF442" t="str" cm="1">
        <f t="array" ref="AF442">IF(AD442="","",SUMPRODUCT(IF(LEFT($AD$1:AD442,2)="JS",1,0)))</f>
        <v/>
      </c>
      <c r="AG442" t="str">
        <f t="shared" si="24"/>
        <v/>
      </c>
      <c r="AH442" t="str">
        <f t="shared" si="25"/>
        <v/>
      </c>
      <c r="AI442" t="str">
        <f>IF(AH442="","",MAX($AF$1:$AF442))</f>
        <v/>
      </c>
      <c r="AJ442" t="str">
        <f t="shared" si="26"/>
        <v/>
      </c>
      <c r="AK442" t="str">
        <f>IF(AJ442="","",MAX($AF$1:$AF442))</f>
        <v/>
      </c>
      <c r="AL442" t="str">
        <f t="shared" si="27"/>
        <v/>
      </c>
      <c r="AM442" t="str">
        <f>IF(AL442="","",MAX($AF$1:$AF442))</f>
        <v/>
      </c>
    </row>
    <row r="443" spans="1:39" ht="13.5" customHeight="1" x14ac:dyDescent="0.3">
      <c r="A443" s="8" t="s">
        <v>212</v>
      </c>
      <c r="B443" s="9"/>
      <c r="C443" s="10">
        <v>10</v>
      </c>
      <c r="D443" s="11"/>
      <c r="AB443" t="str" cm="1">
        <f t="array" ref="AB443:AC443">_xlfn._xlws.FILTER(A443:Z443,A443:Z443&lt;&gt;"","")</f>
        <v>CHEM</v>
      </c>
      <c r="AC443">
        <v>10</v>
      </c>
      <c r="AD443" t="str">
        <v/>
      </c>
      <c r="AE443" t="str">
        <v/>
      </c>
      <c r="AF443" t="str" cm="1">
        <f t="array" ref="AF443">IF(AD443="","",SUMPRODUCT(IF(LEFT($AD$1:AD443,2)="JS",1,0)))</f>
        <v/>
      </c>
      <c r="AG443" t="b">
        <f t="shared" si="24"/>
        <v>1</v>
      </c>
      <c r="AH443" t="str">
        <f t="shared" si="25"/>
        <v>CHEM</v>
      </c>
      <c r="AI443">
        <f>IF(AH443="","",MAX($AF$1:$AF443))</f>
        <v>9</v>
      </c>
      <c r="AJ443" t="str">
        <f t="shared" si="26"/>
        <v/>
      </c>
      <c r="AK443" t="str">
        <f>IF(AJ443="","",MAX($AF$1:$AF443))</f>
        <v/>
      </c>
      <c r="AL443" t="str">
        <f t="shared" si="27"/>
        <v/>
      </c>
      <c r="AM443" t="str">
        <f>IF(AL443="","",MAX($AF$1:$AF443))</f>
        <v/>
      </c>
    </row>
    <row r="444" spans="1:39" ht="13.5" customHeight="1" x14ac:dyDescent="0.3">
      <c r="A444" s="8" t="s">
        <v>214</v>
      </c>
      <c r="B444" s="9"/>
      <c r="C444" s="10">
        <v>5</v>
      </c>
      <c r="D444" s="11"/>
      <c r="AB444" t="str" cm="1">
        <f t="array" ref="AB444:AC444">_xlfn._xlws.FILTER(A444:Z444,A444:Z444&lt;&gt;"","")</f>
        <v>中史</v>
      </c>
      <c r="AC444">
        <v>5</v>
      </c>
      <c r="AD444" t="str">
        <v/>
      </c>
      <c r="AE444" t="str">
        <v/>
      </c>
      <c r="AF444" t="str" cm="1">
        <f t="array" ref="AF444">IF(AD444="","",SUMPRODUCT(IF(LEFT($AD$1:AD444,2)="JS",1,0)))</f>
        <v/>
      </c>
      <c r="AG444" t="b">
        <f t="shared" si="24"/>
        <v>1</v>
      </c>
      <c r="AH444" t="str">
        <f t="shared" si="25"/>
        <v/>
      </c>
      <c r="AI444" t="str">
        <f>IF(AH444="","",MAX($AF$1:$AF444))</f>
        <v/>
      </c>
      <c r="AJ444" t="str">
        <f t="shared" si="26"/>
        <v/>
      </c>
      <c r="AK444" t="str">
        <f>IF(AJ444="","",MAX($AF$1:$AF444))</f>
        <v/>
      </c>
      <c r="AL444" t="str">
        <f t="shared" si="27"/>
        <v>中史</v>
      </c>
      <c r="AM444">
        <f>IF(AL444="","",MAX($AF$1:$AF444))</f>
        <v>9</v>
      </c>
    </row>
    <row r="445" spans="1:39" ht="13.5" customHeight="1" x14ac:dyDescent="0.3">
      <c r="A445" s="8" t="s">
        <v>216</v>
      </c>
      <c r="B445" s="9"/>
      <c r="C445" s="10">
        <v>10</v>
      </c>
      <c r="D445" s="11"/>
      <c r="AB445" t="str" cm="1">
        <f t="array" ref="AB445:AC445">_xlfn._xlws.FILTER(A445:Z445,A445:Z445&lt;&gt;"","")</f>
        <v>中文</v>
      </c>
      <c r="AC445">
        <v>10</v>
      </c>
      <c r="AD445" t="str">
        <v/>
      </c>
      <c r="AE445" t="str">
        <v/>
      </c>
      <c r="AF445" t="str" cm="1">
        <f t="array" ref="AF445">IF(AD445="","",SUMPRODUCT(IF(LEFT($AD$1:AD445,2)="JS",1,0)))</f>
        <v/>
      </c>
      <c r="AG445" t="b">
        <f t="shared" si="24"/>
        <v>1</v>
      </c>
      <c r="AH445" t="str">
        <f t="shared" si="25"/>
        <v>中文</v>
      </c>
      <c r="AI445">
        <f>IF(AH445="","",MAX($AF$1:$AF445))</f>
        <v>9</v>
      </c>
      <c r="AJ445" t="str">
        <f t="shared" si="26"/>
        <v/>
      </c>
      <c r="AK445" t="str">
        <f>IF(AJ445="","",MAX($AF$1:$AF445))</f>
        <v/>
      </c>
      <c r="AL445" t="str">
        <f t="shared" si="27"/>
        <v/>
      </c>
      <c r="AM445" t="str">
        <f>IF(AL445="","",MAX($AF$1:$AF445))</f>
        <v/>
      </c>
    </row>
    <row r="446" spans="1:39" ht="13.5" customHeight="1" x14ac:dyDescent="0.3">
      <c r="A446" s="8" t="s">
        <v>7</v>
      </c>
      <c r="B446" s="9"/>
      <c r="C446" s="10">
        <v>5</v>
      </c>
      <c r="D446" s="11"/>
      <c r="AB446" t="str" cm="1">
        <f t="array" ref="AB446:AC446">_xlfn._xlws.FILTER(A446:Z446,A446:Z446&lt;&gt;"","")</f>
        <v>Chinese Literature</v>
      </c>
      <c r="AC446">
        <v>5</v>
      </c>
      <c r="AD446" t="str">
        <v/>
      </c>
      <c r="AE446" t="str">
        <v/>
      </c>
      <c r="AF446" t="str" cm="1">
        <f t="array" ref="AF446">IF(AD446="","",SUMPRODUCT(IF(LEFT($AD$1:AD446,2)="JS",1,0)))</f>
        <v/>
      </c>
      <c r="AG446" t="str">
        <f t="shared" si="24"/>
        <v/>
      </c>
      <c r="AH446" t="str">
        <f t="shared" si="25"/>
        <v/>
      </c>
      <c r="AI446" t="str">
        <f>IF(AH446="","",MAX($AF$1:$AF446))</f>
        <v/>
      </c>
      <c r="AJ446" t="str">
        <f t="shared" si="26"/>
        <v/>
      </c>
      <c r="AK446" t="str">
        <f>IF(AJ446="","",MAX($AF$1:$AF446))</f>
        <v/>
      </c>
      <c r="AL446" t="str">
        <f t="shared" si="27"/>
        <v/>
      </c>
      <c r="AM446" t="str">
        <f>IF(AL446="","",MAX($AF$1:$AF446))</f>
        <v/>
      </c>
    </row>
    <row r="447" spans="1:39" ht="13.5" customHeight="1" x14ac:dyDescent="0.3">
      <c r="A447" s="8" t="s">
        <v>8</v>
      </c>
      <c r="B447" s="9"/>
      <c r="C447" s="10">
        <v>10</v>
      </c>
      <c r="D447" s="11"/>
      <c r="AB447" t="str" cm="1">
        <f t="array" ref="AB447:AC447">_xlfn._xlws.FILTER(A447:Z447,A447:Z447&lt;&gt;"","")</f>
        <v>Combined Science: Biology + Chemistry</v>
      </c>
      <c r="AC447">
        <v>10</v>
      </c>
      <c r="AD447" t="str">
        <v/>
      </c>
      <c r="AE447" t="str">
        <v/>
      </c>
      <c r="AF447" t="str" cm="1">
        <f t="array" ref="AF447">IF(AD447="","",SUMPRODUCT(IF(LEFT($AD$1:AD447,2)="JS",1,0)))</f>
        <v/>
      </c>
      <c r="AG447" t="str">
        <f t="shared" si="24"/>
        <v/>
      </c>
      <c r="AH447" t="str">
        <f t="shared" si="25"/>
        <v/>
      </c>
      <c r="AI447" t="str">
        <f>IF(AH447="","",MAX($AF$1:$AF447))</f>
        <v/>
      </c>
      <c r="AJ447" t="str">
        <f t="shared" si="26"/>
        <v/>
      </c>
      <c r="AK447" t="str">
        <f>IF(AJ447="","",MAX($AF$1:$AF447))</f>
        <v/>
      </c>
      <c r="AL447" t="str">
        <f t="shared" si="27"/>
        <v/>
      </c>
      <c r="AM447" t="str">
        <f>IF(AL447="","",MAX($AF$1:$AF447))</f>
        <v/>
      </c>
    </row>
    <row r="448" spans="1:39" ht="13.5" customHeight="1" x14ac:dyDescent="0.3">
      <c r="A448" s="8" t="s">
        <v>9</v>
      </c>
      <c r="B448" s="9"/>
      <c r="C448" s="10">
        <v>10</v>
      </c>
      <c r="D448" s="11"/>
      <c r="AB448" t="str" cm="1">
        <f t="array" ref="AB448:AC448">_xlfn._xlws.FILTER(A448:Z448,A448:Z448&lt;&gt;"","")</f>
        <v>Combined Science: Biology + Physics</v>
      </c>
      <c r="AC448">
        <v>10</v>
      </c>
      <c r="AD448" t="str">
        <v/>
      </c>
      <c r="AE448" t="str">
        <v/>
      </c>
      <c r="AF448" t="str" cm="1">
        <f t="array" ref="AF448">IF(AD448="","",SUMPRODUCT(IF(LEFT($AD$1:AD448,2)="JS",1,0)))</f>
        <v/>
      </c>
      <c r="AG448" t="str">
        <f t="shared" si="24"/>
        <v/>
      </c>
      <c r="AH448" t="str">
        <f t="shared" si="25"/>
        <v/>
      </c>
      <c r="AI448" t="str">
        <f>IF(AH448="","",MAX($AF$1:$AF448))</f>
        <v/>
      </c>
      <c r="AJ448" t="str">
        <f t="shared" si="26"/>
        <v/>
      </c>
      <c r="AK448" t="str">
        <f>IF(AJ448="","",MAX($AF$1:$AF448))</f>
        <v/>
      </c>
      <c r="AL448" t="str">
        <f t="shared" si="27"/>
        <v/>
      </c>
      <c r="AM448" t="str">
        <f>IF(AL448="","",MAX($AF$1:$AF448))</f>
        <v/>
      </c>
    </row>
    <row r="449" spans="1:39" ht="13.5" customHeight="1" x14ac:dyDescent="0.3">
      <c r="A449" s="8" t="s">
        <v>10</v>
      </c>
      <c r="B449" s="9"/>
      <c r="C449" s="10">
        <v>10</v>
      </c>
      <c r="D449" s="11"/>
      <c r="AB449" t="str" cm="1">
        <f t="array" ref="AB449:AC449">_xlfn._xlws.FILTER(A449:Z449,A449:Z449&lt;&gt;"","")</f>
        <v>Combined Science: Physics + Chemistry</v>
      </c>
      <c r="AC449">
        <v>10</v>
      </c>
      <c r="AD449" t="str">
        <v/>
      </c>
      <c r="AE449" t="str">
        <v/>
      </c>
      <c r="AF449" t="str" cm="1">
        <f t="array" ref="AF449">IF(AD449="","",SUMPRODUCT(IF(LEFT($AD$1:AD449,2)="JS",1,0)))</f>
        <v/>
      </c>
      <c r="AG449" t="str">
        <f t="shared" ref="AG449:AG512" si="28">IF(ISNUMBER(MATCH(AB449,$AV$3:$AV$18,0)),TRUE,"")</f>
        <v/>
      </c>
      <c r="AH449" t="str">
        <f t="shared" si="25"/>
        <v/>
      </c>
      <c r="AI449" t="str">
        <f>IF(AH449="","",MAX($AF$1:$AF449))</f>
        <v/>
      </c>
      <c r="AJ449" t="str">
        <f t="shared" si="26"/>
        <v/>
      </c>
      <c r="AK449" t="str">
        <f>IF(AJ449="","",MAX($AF$1:$AF449))</f>
        <v/>
      </c>
      <c r="AL449" t="str">
        <f t="shared" si="27"/>
        <v/>
      </c>
      <c r="AM449" t="str">
        <f>IF(AL449="","",MAX($AF$1:$AF449))</f>
        <v/>
      </c>
    </row>
    <row r="450" spans="1:39" ht="13.5" customHeight="1" x14ac:dyDescent="0.3">
      <c r="A450" s="8" t="s">
        <v>11</v>
      </c>
      <c r="B450" s="9"/>
      <c r="C450" s="10">
        <v>7</v>
      </c>
      <c r="D450" s="11"/>
      <c r="AB450" t="str" cm="1">
        <f t="array" ref="AB450:AC450">_xlfn._xlws.FILTER(A450:Z450,A450:Z450&lt;&gt;"","")</f>
        <v>Design and Applied Technology</v>
      </c>
      <c r="AC450">
        <v>7</v>
      </c>
      <c r="AD450" t="str">
        <v/>
      </c>
      <c r="AE450" t="str">
        <v/>
      </c>
      <c r="AF450" t="str" cm="1">
        <f t="array" ref="AF450">IF(AD450="","",SUMPRODUCT(IF(LEFT($AD$1:AD450,2)="JS",1,0)))</f>
        <v/>
      </c>
      <c r="AG450" t="str">
        <f t="shared" si="28"/>
        <v/>
      </c>
      <c r="AH450" t="str">
        <f t="shared" ref="AH450:AH513" si="29">IF(AND(AC450=10,AG450=TRUE),AB450,"")</f>
        <v/>
      </c>
      <c r="AI450" t="str">
        <f>IF(AH450="","",MAX($AF$1:$AF450))</f>
        <v/>
      </c>
      <c r="AJ450" t="str">
        <f t="shared" ref="AJ450:AJ513" si="30">IF(AND(AC450=7,AG450=TRUE),AB450,"")</f>
        <v/>
      </c>
      <c r="AK450" t="str">
        <f>IF(AJ450="","",MAX($AF$1:$AF450))</f>
        <v/>
      </c>
      <c r="AL450" t="str">
        <f t="shared" ref="AL450:AL513" si="31">IF(AND(AC450=5,AG450=TRUE),AB450,"")</f>
        <v/>
      </c>
      <c r="AM450" t="str">
        <f>IF(AL450="","",MAX($AF$1:$AF450))</f>
        <v/>
      </c>
    </row>
    <row r="451" spans="1:39" ht="13.5" customHeight="1" x14ac:dyDescent="0.3">
      <c r="A451" s="8" t="s">
        <v>217</v>
      </c>
      <c r="B451" s="9"/>
      <c r="C451" s="10">
        <v>10</v>
      </c>
      <c r="D451" s="11"/>
      <c r="AB451" t="str" cm="1">
        <f t="array" ref="AB451:AC451">_xlfn._xlws.FILTER(A451:Z451,A451:Z451&lt;&gt;"","")</f>
        <v>ECON</v>
      </c>
      <c r="AC451">
        <v>10</v>
      </c>
      <c r="AD451" t="str">
        <v/>
      </c>
      <c r="AE451" t="str">
        <v/>
      </c>
      <c r="AF451" t="str" cm="1">
        <f t="array" ref="AF451">IF(AD451="","",SUMPRODUCT(IF(LEFT($AD$1:AD451,2)="JS",1,0)))</f>
        <v/>
      </c>
      <c r="AG451" t="b">
        <f t="shared" si="28"/>
        <v>1</v>
      </c>
      <c r="AH451" t="str">
        <f t="shared" si="29"/>
        <v>ECON</v>
      </c>
      <c r="AI451">
        <f>IF(AH451="","",MAX($AF$1:$AF451))</f>
        <v>9</v>
      </c>
      <c r="AJ451" t="str">
        <f t="shared" si="30"/>
        <v/>
      </c>
      <c r="AK451" t="str">
        <f>IF(AJ451="","",MAX($AF$1:$AF451))</f>
        <v/>
      </c>
      <c r="AL451" t="str">
        <f t="shared" si="31"/>
        <v/>
      </c>
      <c r="AM451" t="str">
        <f>IF(AL451="","",MAX($AF$1:$AF451))</f>
        <v/>
      </c>
    </row>
    <row r="452" spans="1:39" ht="13.5" customHeight="1" x14ac:dyDescent="0.3">
      <c r="A452" s="8" t="s">
        <v>218</v>
      </c>
      <c r="B452" s="9"/>
      <c r="C452" s="10">
        <v>10</v>
      </c>
      <c r="D452" s="11"/>
      <c r="AB452" t="str" cm="1">
        <f t="array" ref="AB452:AC452">_xlfn._xlws.FILTER(A452:Z452,A452:Z452&lt;&gt;"","")</f>
        <v>ENG</v>
      </c>
      <c r="AC452">
        <v>10</v>
      </c>
      <c r="AD452" t="str">
        <v/>
      </c>
      <c r="AE452" t="str">
        <v/>
      </c>
      <c r="AF452" t="str" cm="1">
        <f t="array" ref="AF452">IF(AD452="","",SUMPRODUCT(IF(LEFT($AD$1:AD452,2)="JS",1,0)))</f>
        <v/>
      </c>
      <c r="AG452" t="b">
        <f t="shared" si="28"/>
        <v>1</v>
      </c>
      <c r="AH452" t="str">
        <f t="shared" si="29"/>
        <v>ENG</v>
      </c>
      <c r="AI452">
        <f>IF(AH452="","",MAX($AF$1:$AF452))</f>
        <v>9</v>
      </c>
      <c r="AJ452" t="str">
        <f t="shared" si="30"/>
        <v/>
      </c>
      <c r="AK452" t="str">
        <f>IF(AJ452="","",MAX($AF$1:$AF452))</f>
        <v/>
      </c>
      <c r="AL452" t="str">
        <f t="shared" si="31"/>
        <v/>
      </c>
      <c r="AM452" t="str">
        <f>IF(AL452="","",MAX($AF$1:$AF452))</f>
        <v/>
      </c>
    </row>
    <row r="453" spans="1:39" ht="13.5" customHeight="1" x14ac:dyDescent="0.3">
      <c r="A453" s="8" t="s">
        <v>12</v>
      </c>
      <c r="B453" s="9"/>
      <c r="C453" s="10">
        <v>5</v>
      </c>
      <c r="D453" s="11"/>
      <c r="AB453" t="str" cm="1">
        <f t="array" ref="AB453:AC453">_xlfn._xlws.FILTER(A453:Z453,A453:Z453&lt;&gt;"","")</f>
        <v>Ethics and Religious Studies</v>
      </c>
      <c r="AC453">
        <v>5</v>
      </c>
      <c r="AD453" t="str">
        <v/>
      </c>
      <c r="AE453" t="str">
        <v/>
      </c>
      <c r="AF453" t="str" cm="1">
        <f t="array" ref="AF453">IF(AD453="","",SUMPRODUCT(IF(LEFT($AD$1:AD453,2)="JS",1,0)))</f>
        <v/>
      </c>
      <c r="AG453" t="str">
        <f t="shared" si="28"/>
        <v/>
      </c>
      <c r="AH453" t="str">
        <f t="shared" si="29"/>
        <v/>
      </c>
      <c r="AI453" t="str">
        <f>IF(AH453="","",MAX($AF$1:$AF453))</f>
        <v/>
      </c>
      <c r="AJ453" t="str">
        <f t="shared" si="30"/>
        <v/>
      </c>
      <c r="AK453" t="str">
        <f>IF(AJ453="","",MAX($AF$1:$AF453))</f>
        <v/>
      </c>
      <c r="AL453" t="str">
        <f t="shared" si="31"/>
        <v/>
      </c>
      <c r="AM453" t="str">
        <f>IF(AL453="","",MAX($AF$1:$AF453))</f>
        <v/>
      </c>
    </row>
    <row r="454" spans="1:39" ht="13.5" customHeight="1" x14ac:dyDescent="0.3">
      <c r="A454" s="8" t="s">
        <v>219</v>
      </c>
      <c r="B454" s="9"/>
      <c r="C454" s="10">
        <v>10</v>
      </c>
      <c r="D454" s="11"/>
      <c r="AB454" t="str" cm="1">
        <f t="array" ref="AB454:AC454">_xlfn._xlws.FILTER(A454:Z454,A454:Z454&lt;&gt;"","")</f>
        <v>GEOG</v>
      </c>
      <c r="AC454">
        <v>10</v>
      </c>
      <c r="AD454" t="str">
        <v/>
      </c>
      <c r="AE454" t="str">
        <v/>
      </c>
      <c r="AF454" t="str" cm="1">
        <f t="array" ref="AF454">IF(AD454="","",SUMPRODUCT(IF(LEFT($AD$1:AD454,2)="JS",1,0)))</f>
        <v/>
      </c>
      <c r="AG454" t="b">
        <f t="shared" si="28"/>
        <v>1</v>
      </c>
      <c r="AH454" t="str">
        <f t="shared" si="29"/>
        <v>GEOG</v>
      </c>
      <c r="AI454">
        <f>IF(AH454="","",MAX($AF$1:$AF454))</f>
        <v>9</v>
      </c>
      <c r="AJ454" t="str">
        <f t="shared" si="30"/>
        <v/>
      </c>
      <c r="AK454" t="str">
        <f>IF(AJ454="","",MAX($AF$1:$AF454))</f>
        <v/>
      </c>
      <c r="AL454" t="str">
        <f t="shared" si="31"/>
        <v/>
      </c>
      <c r="AM454" t="str">
        <f>IF(AL454="","",MAX($AF$1:$AF454))</f>
        <v/>
      </c>
    </row>
    <row r="455" spans="1:39" ht="13.5" customHeight="1" x14ac:dyDescent="0.3">
      <c r="A455" s="8" t="s">
        <v>220</v>
      </c>
      <c r="B455" s="9"/>
      <c r="C455" s="10">
        <v>5</v>
      </c>
      <c r="D455" s="11"/>
      <c r="AB455" t="str" cm="1">
        <f t="array" ref="AB455:AC455">_xlfn._xlws.FILTER(A455:Z455,A455:Z455&lt;&gt;"","")</f>
        <v>HMSC</v>
      </c>
      <c r="AC455">
        <v>5</v>
      </c>
      <c r="AD455" t="str">
        <v/>
      </c>
      <c r="AE455" t="str">
        <v/>
      </c>
      <c r="AF455" t="str" cm="1">
        <f t="array" ref="AF455">IF(AD455="","",SUMPRODUCT(IF(LEFT($AD$1:AD455,2)="JS",1,0)))</f>
        <v/>
      </c>
      <c r="AG455" t="b">
        <f t="shared" si="28"/>
        <v>1</v>
      </c>
      <c r="AH455" t="str">
        <f t="shared" si="29"/>
        <v/>
      </c>
      <c r="AI455" t="str">
        <f>IF(AH455="","",MAX($AF$1:$AF455))</f>
        <v/>
      </c>
      <c r="AJ455" t="str">
        <f t="shared" si="30"/>
        <v/>
      </c>
      <c r="AK455" t="str">
        <f>IF(AJ455="","",MAX($AF$1:$AF455))</f>
        <v/>
      </c>
      <c r="AL455" t="str">
        <f t="shared" si="31"/>
        <v>HMSC</v>
      </c>
      <c r="AM455">
        <f>IF(AL455="","",MAX($AF$1:$AF455))</f>
        <v>9</v>
      </c>
    </row>
    <row r="456" spans="1:39" ht="13.5" customHeight="1" x14ac:dyDescent="0.3">
      <c r="A456" s="8" t="s">
        <v>221</v>
      </c>
      <c r="B456" s="9"/>
      <c r="C456" s="10">
        <v>5</v>
      </c>
      <c r="D456" s="11"/>
      <c r="AB456" t="str" cm="1">
        <f t="array" ref="AB456:AC456">_xlfn._xlws.FILTER(A456:Z456,A456:Z456&lt;&gt;"","")</f>
        <v>HIST</v>
      </c>
      <c r="AC456">
        <v>5</v>
      </c>
      <c r="AD456" t="str">
        <v/>
      </c>
      <c r="AE456" t="str">
        <v/>
      </c>
      <c r="AF456" t="str" cm="1">
        <f t="array" ref="AF456">IF(AD456="","",SUMPRODUCT(IF(LEFT($AD$1:AD456,2)="JS",1,0)))</f>
        <v/>
      </c>
      <c r="AG456" t="b">
        <f t="shared" si="28"/>
        <v>1</v>
      </c>
      <c r="AH456" t="str">
        <f t="shared" si="29"/>
        <v/>
      </c>
      <c r="AI456" t="str">
        <f>IF(AH456="","",MAX($AF$1:$AF456))</f>
        <v/>
      </c>
      <c r="AJ456" t="str">
        <f t="shared" si="30"/>
        <v/>
      </c>
      <c r="AK456" t="str">
        <f>IF(AJ456="","",MAX($AF$1:$AF456))</f>
        <v/>
      </c>
      <c r="AL456" t="str">
        <f t="shared" si="31"/>
        <v>HIST</v>
      </c>
      <c r="AM456">
        <f>IF(AL456="","",MAX($AF$1:$AF456))</f>
        <v>9</v>
      </c>
    </row>
    <row r="457" spans="1:39" ht="13.5" customHeight="1" x14ac:dyDescent="0.3">
      <c r="A457" s="8" t="s">
        <v>222</v>
      </c>
      <c r="B457" s="9"/>
      <c r="C457" s="10">
        <v>7</v>
      </c>
      <c r="D457" s="11"/>
      <c r="AB457" t="str" cm="1">
        <f t="array" ref="AB457:AC457">_xlfn._xlws.FILTER(A457:Z457,A457:Z457&lt;&gt;"","")</f>
        <v>ICT</v>
      </c>
      <c r="AC457">
        <v>7</v>
      </c>
      <c r="AD457" t="str">
        <v/>
      </c>
      <c r="AE457" t="str">
        <v/>
      </c>
      <c r="AF457" t="str" cm="1">
        <f t="array" ref="AF457">IF(AD457="","",SUMPRODUCT(IF(LEFT($AD$1:AD457,2)="JS",1,0)))</f>
        <v/>
      </c>
      <c r="AG457" t="b">
        <f t="shared" si="28"/>
        <v>1</v>
      </c>
      <c r="AH457" t="str">
        <f t="shared" si="29"/>
        <v/>
      </c>
      <c r="AI457" t="str">
        <f>IF(AH457="","",MAX($AF$1:$AF457))</f>
        <v/>
      </c>
      <c r="AJ457" t="str">
        <f t="shared" si="30"/>
        <v>ICT</v>
      </c>
      <c r="AK457">
        <f>IF(AJ457="","",MAX($AF$1:$AF457))</f>
        <v>9</v>
      </c>
      <c r="AL457" t="str">
        <f t="shared" si="31"/>
        <v/>
      </c>
      <c r="AM457" t="str">
        <f>IF(AL457="","",MAX($AF$1:$AF457))</f>
        <v/>
      </c>
    </row>
    <row r="458" spans="1:39" ht="13.5" customHeight="1" x14ac:dyDescent="0.3">
      <c r="A458" s="8" t="s">
        <v>13</v>
      </c>
      <c r="B458" s="9"/>
      <c r="C458" s="10">
        <v>10</v>
      </c>
      <c r="D458" s="11"/>
      <c r="AB458" t="str" cm="1">
        <f t="array" ref="AB458:AC458">_xlfn._xlws.FILTER(A458:Z458,A458:Z458&lt;&gt;"","")</f>
        <v>Integrated Science</v>
      </c>
      <c r="AC458">
        <v>10</v>
      </c>
      <c r="AD458" t="str">
        <v/>
      </c>
      <c r="AE458" t="str">
        <v/>
      </c>
      <c r="AF458" t="str" cm="1">
        <f t="array" ref="AF458">IF(AD458="","",SUMPRODUCT(IF(LEFT($AD$1:AD458,2)="JS",1,0)))</f>
        <v/>
      </c>
      <c r="AG458" t="str">
        <f t="shared" si="28"/>
        <v/>
      </c>
      <c r="AH458" t="str">
        <f t="shared" si="29"/>
        <v/>
      </c>
      <c r="AI458" t="str">
        <f>IF(AH458="","",MAX($AF$1:$AF458))</f>
        <v/>
      </c>
      <c r="AJ458" t="str">
        <f t="shared" si="30"/>
        <v/>
      </c>
      <c r="AK458" t="str">
        <f>IF(AJ458="","",MAX($AF$1:$AF458))</f>
        <v/>
      </c>
      <c r="AL458" t="str">
        <f t="shared" si="31"/>
        <v/>
      </c>
      <c r="AM458" t="str">
        <f>IF(AL458="","",MAX($AF$1:$AF458))</f>
        <v/>
      </c>
    </row>
    <row r="459" spans="1:39" ht="13.5" customHeight="1" x14ac:dyDescent="0.3">
      <c r="A459" s="8" t="s">
        <v>223</v>
      </c>
      <c r="B459" s="9"/>
      <c r="C459" s="10">
        <v>7</v>
      </c>
      <c r="D459" s="11"/>
      <c r="AB459" t="str" cm="1">
        <f t="array" ref="AB459:AC459">_xlfn._xlws.FILTER(A459:Z459,A459:Z459&lt;&gt;"","")</f>
        <v>通</v>
      </c>
      <c r="AC459">
        <v>7</v>
      </c>
      <c r="AD459" t="str">
        <v/>
      </c>
      <c r="AE459" t="str">
        <v/>
      </c>
      <c r="AF459" t="str" cm="1">
        <f t="array" ref="AF459">IF(AD459="","",SUMPRODUCT(IF(LEFT($AD$1:AD459,2)="JS",1,0)))</f>
        <v/>
      </c>
      <c r="AG459" t="b">
        <f t="shared" si="28"/>
        <v>1</v>
      </c>
      <c r="AH459" t="str">
        <f t="shared" si="29"/>
        <v/>
      </c>
      <c r="AI459" t="str">
        <f>IF(AH459="","",MAX($AF$1:$AF459))</f>
        <v/>
      </c>
      <c r="AJ459" t="str">
        <f t="shared" si="30"/>
        <v>通</v>
      </c>
      <c r="AK459">
        <f>IF(AJ459="","",MAX($AF$1:$AF459))</f>
        <v>9</v>
      </c>
      <c r="AL459" t="str">
        <f t="shared" si="31"/>
        <v/>
      </c>
      <c r="AM459" t="str">
        <f>IF(AL459="","",MAX($AF$1:$AF459))</f>
        <v/>
      </c>
    </row>
    <row r="460" spans="1:39" ht="13.5" customHeight="1" x14ac:dyDescent="0.3">
      <c r="A460" s="8" t="s">
        <v>14</v>
      </c>
      <c r="B460" s="9"/>
      <c r="C460" s="10">
        <v>5</v>
      </c>
      <c r="D460" s="11"/>
      <c r="AB460" t="str" cm="1">
        <f t="array" ref="AB460:AC460">_xlfn._xlws.FILTER(A460:Z460,A460:Z460&lt;&gt;"","")</f>
        <v>Literature in English</v>
      </c>
      <c r="AC460">
        <v>5</v>
      </c>
      <c r="AD460" t="str">
        <v/>
      </c>
      <c r="AE460" t="str">
        <v/>
      </c>
      <c r="AF460" t="str" cm="1">
        <f t="array" ref="AF460">IF(AD460="","",SUMPRODUCT(IF(LEFT($AD$1:AD460,2)="JS",1,0)))</f>
        <v/>
      </c>
      <c r="AG460" t="str">
        <f t="shared" si="28"/>
        <v/>
      </c>
      <c r="AH460" t="str">
        <f t="shared" si="29"/>
        <v/>
      </c>
      <c r="AI460" t="str">
        <f>IF(AH460="","",MAX($AF$1:$AF460))</f>
        <v/>
      </c>
      <c r="AJ460" t="str">
        <f t="shared" si="30"/>
        <v/>
      </c>
      <c r="AK460" t="str">
        <f>IF(AJ460="","",MAX($AF$1:$AF460))</f>
        <v/>
      </c>
      <c r="AL460" t="str">
        <f t="shared" si="31"/>
        <v/>
      </c>
      <c r="AM460" t="str">
        <f>IF(AL460="","",MAX($AF$1:$AF460))</f>
        <v/>
      </c>
    </row>
    <row r="461" spans="1:39" ht="13.5" customHeight="1" x14ac:dyDescent="0.3">
      <c r="A461" s="8" t="s">
        <v>224</v>
      </c>
      <c r="B461" s="9"/>
      <c r="C461" s="10">
        <v>10</v>
      </c>
      <c r="D461" s="11"/>
      <c r="AB461" t="str" cm="1">
        <f t="array" ref="AB461:AC461">_xlfn._xlws.FILTER(A461:Z461,A461:Z461&lt;&gt;"","")</f>
        <v>MATH</v>
      </c>
      <c r="AC461">
        <v>10</v>
      </c>
      <c r="AD461" t="str">
        <v/>
      </c>
      <c r="AE461" t="str">
        <v/>
      </c>
      <c r="AF461" t="str" cm="1">
        <f t="array" ref="AF461">IF(AD461="","",SUMPRODUCT(IF(LEFT($AD$1:AD461,2)="JS",1,0)))</f>
        <v/>
      </c>
      <c r="AG461" t="b">
        <f t="shared" si="28"/>
        <v>1</v>
      </c>
      <c r="AH461" t="str">
        <f t="shared" si="29"/>
        <v>MATH</v>
      </c>
      <c r="AI461">
        <f>IF(AH461="","",MAX($AF$1:$AF461))</f>
        <v>9</v>
      </c>
      <c r="AJ461" t="str">
        <f t="shared" si="30"/>
        <v/>
      </c>
      <c r="AK461" t="str">
        <f>IF(AJ461="","",MAX($AF$1:$AF461))</f>
        <v/>
      </c>
      <c r="AL461" t="str">
        <f t="shared" si="31"/>
        <v/>
      </c>
      <c r="AM461" t="str">
        <f>IF(AL461="","",MAX($AF$1:$AF461))</f>
        <v/>
      </c>
    </row>
    <row r="462" spans="1:39" ht="13.5" customHeight="1" x14ac:dyDescent="0.3">
      <c r="A462" s="8" t="s">
        <v>225</v>
      </c>
      <c r="B462" s="9"/>
      <c r="C462" s="10">
        <v>10</v>
      </c>
      <c r="D462" s="11"/>
      <c r="AB462" t="str" cm="1">
        <f t="array" ref="AB462:AC462">_xlfn._xlws.FILTER(A462:Z462,A462:Z462&lt;&gt;"","")</f>
        <v>M2</v>
      </c>
      <c r="AC462">
        <v>10</v>
      </c>
      <c r="AD462" t="str">
        <v/>
      </c>
      <c r="AE462" t="str">
        <v/>
      </c>
      <c r="AF462" t="str" cm="1">
        <f t="array" ref="AF462">IF(AD462="","",SUMPRODUCT(IF(LEFT($AD$1:AD462,2)="JS",1,0)))</f>
        <v/>
      </c>
      <c r="AG462" t="b">
        <f t="shared" si="28"/>
        <v>1</v>
      </c>
      <c r="AH462" t="str">
        <f t="shared" si="29"/>
        <v>M2</v>
      </c>
      <c r="AI462">
        <f>IF(AH462="","",MAX($AF$1:$AF462))</f>
        <v>9</v>
      </c>
      <c r="AJ462" t="str">
        <f t="shared" si="30"/>
        <v/>
      </c>
      <c r="AK462" t="str">
        <f>IF(AJ462="","",MAX($AF$1:$AF462))</f>
        <v/>
      </c>
      <c r="AL462" t="str">
        <f t="shared" si="31"/>
        <v/>
      </c>
      <c r="AM462" t="str">
        <f>IF(AL462="","",MAX($AF$1:$AF462))</f>
        <v/>
      </c>
    </row>
    <row r="463" spans="1:39" ht="13.5" customHeight="1" x14ac:dyDescent="0.3">
      <c r="A463" s="8" t="s">
        <v>15</v>
      </c>
      <c r="B463" s="9"/>
      <c r="C463" s="10">
        <v>10</v>
      </c>
      <c r="D463" s="11"/>
      <c r="AB463" t="str" cm="1">
        <f t="array" ref="AB463:AC463">_xlfn._xlws.FILTER(A463:Z463,A463:Z463&lt;&gt;"","")</f>
        <v>Mathematics (Extended part - Calculus and Statistics)</v>
      </c>
      <c r="AC463">
        <v>10</v>
      </c>
      <c r="AD463" t="str">
        <v/>
      </c>
      <c r="AE463" t="str">
        <v/>
      </c>
      <c r="AF463" t="str" cm="1">
        <f t="array" ref="AF463">IF(AD463="","",SUMPRODUCT(IF(LEFT($AD$1:AD463,2)="JS",1,0)))</f>
        <v/>
      </c>
      <c r="AG463" t="str">
        <f t="shared" si="28"/>
        <v/>
      </c>
      <c r="AH463" t="str">
        <f t="shared" si="29"/>
        <v/>
      </c>
      <c r="AI463" t="str">
        <f>IF(AH463="","",MAX($AF$1:$AF463))</f>
        <v/>
      </c>
      <c r="AJ463" t="str">
        <f t="shared" si="30"/>
        <v/>
      </c>
      <c r="AK463" t="str">
        <f>IF(AJ463="","",MAX($AF$1:$AF463))</f>
        <v/>
      </c>
      <c r="AL463" t="str">
        <f t="shared" si="31"/>
        <v/>
      </c>
      <c r="AM463" t="str">
        <f>IF(AL463="","",MAX($AF$1:$AF463))</f>
        <v/>
      </c>
    </row>
    <row r="464" spans="1:39" ht="13.5" customHeight="1" x14ac:dyDescent="0.3">
      <c r="A464" s="8" t="s">
        <v>16</v>
      </c>
      <c r="B464" s="9"/>
      <c r="C464" s="10">
        <v>5</v>
      </c>
      <c r="D464" s="11"/>
      <c r="AB464" t="str" cm="1">
        <f t="array" ref="AB464:AC464">_xlfn._xlws.FILTER(A464:Z464,A464:Z464&lt;&gt;"","")</f>
        <v>Music</v>
      </c>
      <c r="AC464">
        <v>5</v>
      </c>
      <c r="AD464" t="str">
        <v/>
      </c>
      <c r="AE464" t="str">
        <v/>
      </c>
      <c r="AF464" t="str" cm="1">
        <f t="array" ref="AF464">IF(AD464="","",SUMPRODUCT(IF(LEFT($AD$1:AD464,2)="JS",1,0)))</f>
        <v/>
      </c>
      <c r="AG464" t="str">
        <f t="shared" si="28"/>
        <v/>
      </c>
      <c r="AH464" t="str">
        <f t="shared" si="29"/>
        <v/>
      </c>
      <c r="AI464" t="str">
        <f>IF(AH464="","",MAX($AF$1:$AF464))</f>
        <v/>
      </c>
      <c r="AJ464" t="str">
        <f t="shared" si="30"/>
        <v/>
      </c>
      <c r="AK464" t="str">
        <f>IF(AJ464="","",MAX($AF$1:$AF464))</f>
        <v/>
      </c>
      <c r="AL464" t="str">
        <f t="shared" si="31"/>
        <v/>
      </c>
      <c r="AM464" t="str">
        <f>IF(AL464="","",MAX($AF$1:$AF464))</f>
        <v/>
      </c>
    </row>
    <row r="465" spans="1:39" ht="13.5" customHeight="1" x14ac:dyDescent="0.3">
      <c r="A465" s="8" t="s">
        <v>17</v>
      </c>
      <c r="B465" s="9"/>
      <c r="C465" s="10">
        <v>5</v>
      </c>
      <c r="D465" s="11"/>
      <c r="AB465" t="str" cm="1">
        <f t="array" ref="AB465:AC465">_xlfn._xlws.FILTER(A465:Z465,A465:Z465&lt;&gt;"","")</f>
        <v>Physical Education</v>
      </c>
      <c r="AC465">
        <v>5</v>
      </c>
      <c r="AD465" t="str">
        <v/>
      </c>
      <c r="AE465" t="str">
        <v/>
      </c>
      <c r="AF465" t="str" cm="1">
        <f t="array" ref="AF465">IF(AD465="","",SUMPRODUCT(IF(LEFT($AD$1:AD465,2)="JS",1,0)))</f>
        <v/>
      </c>
      <c r="AG465" t="str">
        <f t="shared" si="28"/>
        <v/>
      </c>
      <c r="AH465" t="str">
        <f t="shared" si="29"/>
        <v/>
      </c>
      <c r="AI465" t="str">
        <f>IF(AH465="","",MAX($AF$1:$AF465))</f>
        <v/>
      </c>
      <c r="AJ465" t="str">
        <f t="shared" si="30"/>
        <v/>
      </c>
      <c r="AK465" t="str">
        <f>IF(AJ465="","",MAX($AF$1:$AF465))</f>
        <v/>
      </c>
      <c r="AL465" t="str">
        <f t="shared" si="31"/>
        <v/>
      </c>
      <c r="AM465" t="str">
        <f>IF(AL465="","",MAX($AF$1:$AF465))</f>
        <v/>
      </c>
    </row>
    <row r="466" spans="1:39" ht="13.5" customHeight="1" x14ac:dyDescent="0.3">
      <c r="A466" s="8" t="s">
        <v>226</v>
      </c>
      <c r="B466" s="9"/>
      <c r="C466" s="10">
        <v>10</v>
      </c>
      <c r="D466" s="11"/>
      <c r="AB466" t="str" cm="1">
        <f t="array" ref="AB466:AC466">_xlfn._xlws.FILTER(A466:Z466,A466:Z466&lt;&gt;"","")</f>
        <v>PHY</v>
      </c>
      <c r="AC466">
        <v>10</v>
      </c>
      <c r="AD466" t="str">
        <v/>
      </c>
      <c r="AE466" t="str">
        <v/>
      </c>
      <c r="AF466" t="str" cm="1">
        <f t="array" ref="AF466">IF(AD466="","",SUMPRODUCT(IF(LEFT($AD$1:AD466,2)="JS",1,0)))</f>
        <v/>
      </c>
      <c r="AG466" t="b">
        <f t="shared" si="28"/>
        <v>1</v>
      </c>
      <c r="AH466" t="str">
        <f t="shared" si="29"/>
        <v>PHY</v>
      </c>
      <c r="AI466">
        <f>IF(AH466="","",MAX($AF$1:$AF466))</f>
        <v>9</v>
      </c>
      <c r="AJ466" t="str">
        <f t="shared" si="30"/>
        <v/>
      </c>
      <c r="AK466" t="str">
        <f>IF(AJ466="","",MAX($AF$1:$AF466))</f>
        <v/>
      </c>
      <c r="AL466" t="str">
        <f t="shared" si="31"/>
        <v/>
      </c>
      <c r="AM466" t="str">
        <f>IF(AL466="","",MAX($AF$1:$AF466))</f>
        <v/>
      </c>
    </row>
    <row r="467" spans="1:39" ht="13.5" customHeight="1" x14ac:dyDescent="0.3">
      <c r="A467" s="8" t="s">
        <v>18</v>
      </c>
      <c r="B467" s="9"/>
      <c r="C467" s="10">
        <v>5</v>
      </c>
      <c r="D467" s="11"/>
      <c r="AB467" t="str" cm="1">
        <f t="array" ref="AB467:AC467">_xlfn._xlws.FILTER(A467:Z467,A467:Z467&lt;&gt;"","")</f>
        <v>Technology and Living (Fashion, Clothing and Textiles)</v>
      </c>
      <c r="AC467">
        <v>5</v>
      </c>
      <c r="AD467" t="str">
        <v/>
      </c>
      <c r="AE467" t="str">
        <v/>
      </c>
      <c r="AF467" t="str" cm="1">
        <f t="array" ref="AF467">IF(AD467="","",SUMPRODUCT(IF(LEFT($AD$1:AD467,2)="JS",1,0)))</f>
        <v/>
      </c>
      <c r="AG467" t="str">
        <f t="shared" si="28"/>
        <v/>
      </c>
      <c r="AH467" t="str">
        <f t="shared" si="29"/>
        <v/>
      </c>
      <c r="AI467" t="str">
        <f>IF(AH467="","",MAX($AF$1:$AF467))</f>
        <v/>
      </c>
      <c r="AJ467" t="str">
        <f t="shared" si="30"/>
        <v/>
      </c>
      <c r="AK467" t="str">
        <f>IF(AJ467="","",MAX($AF$1:$AF467))</f>
        <v/>
      </c>
      <c r="AL467" t="str">
        <f t="shared" si="31"/>
        <v/>
      </c>
      <c r="AM467" t="str">
        <f>IF(AL467="","",MAX($AF$1:$AF467))</f>
        <v/>
      </c>
    </row>
    <row r="468" spans="1:39" ht="13.5" customHeight="1" x14ac:dyDescent="0.3">
      <c r="A468" s="8" t="s">
        <v>19</v>
      </c>
      <c r="B468" s="9"/>
      <c r="C468" s="10">
        <v>5</v>
      </c>
      <c r="D468" s="11"/>
      <c r="AB468" t="str" cm="1">
        <f t="array" ref="AB468:AC468">_xlfn._xlws.FILTER(A468:Z468,A468:Z468&lt;&gt;"","")</f>
        <v>Technology and Living (Food Science and Technology)</v>
      </c>
      <c r="AC468">
        <v>5</v>
      </c>
      <c r="AD468" t="str">
        <v/>
      </c>
      <c r="AE468" t="str">
        <v/>
      </c>
      <c r="AF468" t="str" cm="1">
        <f t="array" ref="AF468">IF(AD468="","",SUMPRODUCT(IF(LEFT($AD$1:AD468,2)="JS",1,0)))</f>
        <v/>
      </c>
      <c r="AG468" t="str">
        <f t="shared" si="28"/>
        <v/>
      </c>
      <c r="AH468" t="str">
        <f t="shared" si="29"/>
        <v/>
      </c>
      <c r="AI468" t="str">
        <f>IF(AH468="","",MAX($AF$1:$AF468))</f>
        <v/>
      </c>
      <c r="AJ468" t="str">
        <f t="shared" si="30"/>
        <v/>
      </c>
      <c r="AK468" t="str">
        <f>IF(AJ468="","",MAX($AF$1:$AF468))</f>
        <v/>
      </c>
      <c r="AL468" t="str">
        <f t="shared" si="31"/>
        <v/>
      </c>
      <c r="AM468" t="str">
        <f>IF(AL468="","",MAX($AF$1:$AF468))</f>
        <v/>
      </c>
    </row>
    <row r="469" spans="1:39" ht="13.5" customHeight="1" x14ac:dyDescent="0.3">
      <c r="A469" s="8" t="s">
        <v>20</v>
      </c>
      <c r="B469" s="9"/>
      <c r="C469" s="10">
        <v>5</v>
      </c>
      <c r="D469" s="11"/>
      <c r="AB469" t="str" cm="1">
        <f t="array" ref="AB469:AC469">_xlfn._xlws.FILTER(A469:Z469,A469:Z469&lt;&gt;"","")</f>
        <v>Tourism and Hospitality Studies</v>
      </c>
      <c r="AC469">
        <v>5</v>
      </c>
      <c r="AD469" t="str">
        <v/>
      </c>
      <c r="AE469" t="str">
        <v/>
      </c>
      <c r="AF469" t="str" cm="1">
        <f t="array" ref="AF469">IF(AD469="","",SUMPRODUCT(IF(LEFT($AD$1:AD469,2)="JS",1,0)))</f>
        <v/>
      </c>
      <c r="AG469" t="str">
        <f t="shared" si="28"/>
        <v/>
      </c>
      <c r="AH469" t="str">
        <f t="shared" si="29"/>
        <v/>
      </c>
      <c r="AI469" t="str">
        <f>IF(AH469="","",MAX($AF$1:$AF469))</f>
        <v/>
      </c>
      <c r="AJ469" t="str">
        <f t="shared" si="30"/>
        <v/>
      </c>
      <c r="AK469" t="str">
        <f>IF(AJ469="","",MAX($AF$1:$AF469))</f>
        <v/>
      </c>
      <c r="AL469" t="str">
        <f t="shared" si="31"/>
        <v/>
      </c>
      <c r="AM469" t="str">
        <f>IF(AL469="","",MAX($AF$1:$AF469))</f>
        <v/>
      </c>
    </row>
    <row r="470" spans="1:39" ht="13.5" customHeight="1" x14ac:dyDescent="0.3">
      <c r="A470" s="8" t="s">
        <v>210</v>
      </c>
      <c r="B470" s="9"/>
      <c r="C470" s="10">
        <v>5</v>
      </c>
      <c r="D470" s="11"/>
      <c r="AB470" t="str" cm="1">
        <f t="array" ref="AB470:AC470">_xlfn._xlws.FILTER(A470:Z470,A470:Z470&lt;&gt;"","")</f>
        <v>VA</v>
      </c>
      <c r="AC470">
        <v>5</v>
      </c>
      <c r="AD470" t="str">
        <v/>
      </c>
      <c r="AE470" t="str">
        <v/>
      </c>
      <c r="AF470" t="str" cm="1">
        <f t="array" ref="AF470">IF(AD470="","",SUMPRODUCT(IF(LEFT($AD$1:AD470,2)="JS",1,0)))</f>
        <v/>
      </c>
      <c r="AG470" t="b">
        <f t="shared" si="28"/>
        <v>1</v>
      </c>
      <c r="AH470" t="str">
        <f t="shared" si="29"/>
        <v/>
      </c>
      <c r="AI470" t="str">
        <f>IF(AH470="","",MAX($AF$1:$AF470))</f>
        <v/>
      </c>
      <c r="AJ470" t="str">
        <f t="shared" si="30"/>
        <v/>
      </c>
      <c r="AK470" t="str">
        <f>IF(AJ470="","",MAX($AF$1:$AF470))</f>
        <v/>
      </c>
      <c r="AL470" t="str">
        <f t="shared" si="31"/>
        <v>VA</v>
      </c>
      <c r="AM470">
        <f>IF(AL470="","",MAX($AF$1:$AF470))</f>
        <v>9</v>
      </c>
    </row>
    <row r="471" spans="1:39" ht="14.5" customHeight="1" x14ac:dyDescent="0.3">
      <c r="A471" s="12"/>
      <c r="B471" s="12"/>
      <c r="C471" s="2"/>
      <c r="D471" s="2"/>
      <c r="AB471" t="str" cm="1">
        <f t="array" ref="AB471">_xlfn._xlws.FILTER(A471:Z471,A471:Z471&lt;&gt;"","")</f>
        <v/>
      </c>
      <c r="AD471" t="str">
        <v/>
      </c>
      <c r="AE471" t="str">
        <v/>
      </c>
      <c r="AF471" t="str" cm="1">
        <f t="array" ref="AF471">IF(AD471="","",SUMPRODUCT(IF(LEFT($AD$1:AD471,2)="JS",1,0)))</f>
        <v/>
      </c>
      <c r="AG471" t="str">
        <f t="shared" si="28"/>
        <v/>
      </c>
      <c r="AH471" t="str">
        <f t="shared" si="29"/>
        <v/>
      </c>
      <c r="AI471" t="str">
        <f>IF(AH471="","",MAX($AF$1:$AF471))</f>
        <v/>
      </c>
      <c r="AJ471" t="str">
        <f t="shared" si="30"/>
        <v/>
      </c>
      <c r="AK471" t="str">
        <f>IF(AJ471="","",MAX($AF$1:$AF471))</f>
        <v/>
      </c>
      <c r="AL471" t="str">
        <f t="shared" si="31"/>
        <v/>
      </c>
      <c r="AM471" t="str">
        <f>IF(AL471="","",MAX($AF$1:$AF471))</f>
        <v/>
      </c>
    </row>
    <row r="472" spans="1:39" ht="13.5" customHeight="1" x14ac:dyDescent="0.3">
      <c r="A472" s="13" t="s">
        <v>21</v>
      </c>
      <c r="B472" s="13"/>
      <c r="C472" s="13"/>
      <c r="D472" s="13"/>
      <c r="AB472" t="str" cm="1">
        <f t="array" ref="AB472">_xlfn._xlws.FILTER(A472:Z472,A472:Z472&lt;&gt;"","")</f>
        <v>Category B: Applied Learning Subjects</v>
      </c>
      <c r="AD472" t="str">
        <v/>
      </c>
      <c r="AE472" t="str">
        <v/>
      </c>
      <c r="AF472" t="str" cm="1">
        <f t="array" ref="AF472">IF(AD472="","",SUMPRODUCT(IF(LEFT($AD$1:AD472,2)="JS",1,0)))</f>
        <v/>
      </c>
      <c r="AG472" t="str">
        <f t="shared" si="28"/>
        <v/>
      </c>
      <c r="AH472" t="str">
        <f t="shared" si="29"/>
        <v/>
      </c>
      <c r="AI472" t="str">
        <f>IF(AH472="","",MAX($AF$1:$AF472))</f>
        <v/>
      </c>
      <c r="AJ472" t="str">
        <f t="shared" si="30"/>
        <v/>
      </c>
      <c r="AK472" t="str">
        <f>IF(AJ472="","",MAX($AF$1:$AF472))</f>
        <v/>
      </c>
      <c r="AL472" t="str">
        <f t="shared" si="31"/>
        <v/>
      </c>
      <c r="AM472" t="str">
        <f>IF(AL472="","",MAX($AF$1:$AF472))</f>
        <v/>
      </c>
    </row>
    <row r="473" spans="1:39" ht="13.5" customHeight="1" x14ac:dyDescent="0.3">
      <c r="A473" s="14" t="s">
        <v>3</v>
      </c>
      <c r="B473" s="15"/>
      <c r="C473" s="16" t="s">
        <v>4</v>
      </c>
      <c r="D473" s="17"/>
      <c r="AB473" t="str" cm="1">
        <f t="array" ref="AB473:AC473">_xlfn._xlws.FILTER(A473:Z473,A473:Z473&lt;&gt;"","")</f>
        <v>Subject Name</v>
      </c>
      <c r="AC473" t="str">
        <v>Subject Weighting for 2023/24 Admission Exercise *</v>
      </c>
      <c r="AD473" t="str">
        <v/>
      </c>
      <c r="AE473" t="str">
        <v/>
      </c>
      <c r="AF473" t="str" cm="1">
        <f t="array" ref="AF473">IF(AD473="","",SUMPRODUCT(IF(LEFT($AD$1:AD473,2)="JS",1,0)))</f>
        <v/>
      </c>
      <c r="AG473" t="str">
        <f t="shared" si="28"/>
        <v/>
      </c>
      <c r="AH473" t="str">
        <f t="shared" si="29"/>
        <v/>
      </c>
      <c r="AI473" t="str">
        <f>IF(AH473="","",MAX($AF$1:$AF473))</f>
        <v/>
      </c>
      <c r="AJ473" t="str">
        <f t="shared" si="30"/>
        <v/>
      </c>
      <c r="AK473" t="str">
        <f>IF(AJ473="","",MAX($AF$1:$AF473))</f>
        <v/>
      </c>
      <c r="AL473" t="str">
        <f t="shared" si="31"/>
        <v/>
      </c>
      <c r="AM473" t="str">
        <f>IF(AL473="","",MAX($AF$1:$AF473))</f>
        <v/>
      </c>
    </row>
    <row r="474" spans="1:39" ht="13.5" customHeight="1" x14ac:dyDescent="0.3">
      <c r="A474" s="8" t="s">
        <v>94</v>
      </c>
      <c r="B474" s="9"/>
      <c r="C474" s="10">
        <v>10</v>
      </c>
      <c r="D474" s="11"/>
      <c r="AB474" t="str" cm="1">
        <f t="array" ref="AB474:AC474">_xlfn._xlws.FILTER(A474:Z474,A474:Z474&lt;&gt;"","")</f>
        <v>Building Facilities Engineering</v>
      </c>
      <c r="AC474">
        <v>10</v>
      </c>
      <c r="AD474" t="str">
        <v/>
      </c>
      <c r="AE474" t="str">
        <v/>
      </c>
      <c r="AF474" t="str" cm="1">
        <f t="array" ref="AF474">IF(AD474="","",SUMPRODUCT(IF(LEFT($AD$1:AD474,2)="JS",1,0)))</f>
        <v/>
      </c>
      <c r="AG474" t="str">
        <f t="shared" si="28"/>
        <v/>
      </c>
      <c r="AH474" t="str">
        <f t="shared" si="29"/>
        <v/>
      </c>
      <c r="AI474" t="str">
        <f>IF(AH474="","",MAX($AF$1:$AF474))</f>
        <v/>
      </c>
      <c r="AJ474" t="str">
        <f t="shared" si="30"/>
        <v/>
      </c>
      <c r="AK474" t="str">
        <f>IF(AJ474="","",MAX($AF$1:$AF474))</f>
        <v/>
      </c>
      <c r="AL474" t="str">
        <f t="shared" si="31"/>
        <v/>
      </c>
      <c r="AM474" t="str">
        <f>IF(AL474="","",MAX($AF$1:$AF474))</f>
        <v/>
      </c>
    </row>
    <row r="475" spans="1:39" ht="13.5" customHeight="1" x14ac:dyDescent="0.3">
      <c r="A475" s="8" t="s">
        <v>24</v>
      </c>
      <c r="B475" s="9"/>
      <c r="C475" s="10">
        <v>10</v>
      </c>
      <c r="D475" s="11"/>
      <c r="AB475" t="str" cm="1">
        <f t="array" ref="AB475:AC475">_xlfn._xlws.FILTER(A475:Z475,A475:Z475&lt;&gt;"","")</f>
        <v>Environmental Engineering</v>
      </c>
      <c r="AC475">
        <v>10</v>
      </c>
      <c r="AD475" t="str">
        <v/>
      </c>
      <c r="AE475" t="str">
        <v/>
      </c>
      <c r="AF475" t="str" cm="1">
        <f t="array" ref="AF475">IF(AD475="","",SUMPRODUCT(IF(LEFT($AD$1:AD475,2)="JS",1,0)))</f>
        <v/>
      </c>
      <c r="AG475" t="str">
        <f t="shared" si="28"/>
        <v/>
      </c>
      <c r="AH475" t="str">
        <f t="shared" si="29"/>
        <v/>
      </c>
      <c r="AI475" t="str">
        <f>IF(AH475="","",MAX($AF$1:$AF475))</f>
        <v/>
      </c>
      <c r="AJ475" t="str">
        <f t="shared" si="30"/>
        <v/>
      </c>
      <c r="AK475" t="str">
        <f>IF(AJ475="","",MAX($AF$1:$AF475))</f>
        <v/>
      </c>
      <c r="AL475" t="str">
        <f t="shared" si="31"/>
        <v/>
      </c>
      <c r="AM475" t="str">
        <f>IF(AL475="","",MAX($AF$1:$AF475))</f>
        <v/>
      </c>
    </row>
    <row r="476" spans="1:39" ht="13.5" customHeight="1" x14ac:dyDescent="0.3">
      <c r="A476" s="12"/>
      <c r="B476" s="12"/>
      <c r="C476" s="2"/>
      <c r="D476" s="2"/>
      <c r="AB476" t="str" cm="1">
        <f t="array" ref="AB476">_xlfn._xlws.FILTER(A476:Z476,A476:Z476&lt;&gt;"","")</f>
        <v/>
      </c>
      <c r="AD476" t="str">
        <v/>
      </c>
      <c r="AE476" t="str">
        <v/>
      </c>
      <c r="AF476" t="str" cm="1">
        <f t="array" ref="AF476">IF(AD476="","",SUMPRODUCT(IF(LEFT($AD$1:AD476,2)="JS",1,0)))</f>
        <v/>
      </c>
      <c r="AG476" t="str">
        <f t="shared" si="28"/>
        <v/>
      </c>
      <c r="AH476" t="str">
        <f t="shared" si="29"/>
        <v/>
      </c>
      <c r="AI476" t="str">
        <f>IF(AH476="","",MAX($AF$1:$AF476))</f>
        <v/>
      </c>
      <c r="AJ476" t="str">
        <f t="shared" si="30"/>
        <v/>
      </c>
      <c r="AK476" t="str">
        <f>IF(AJ476="","",MAX($AF$1:$AF476))</f>
        <v/>
      </c>
      <c r="AL476" t="str">
        <f t="shared" si="31"/>
        <v/>
      </c>
      <c r="AM476" t="str">
        <f>IF(AL476="","",MAX($AF$1:$AF476))</f>
        <v/>
      </c>
    </row>
    <row r="477" spans="1:39" ht="13.5" customHeight="1" x14ac:dyDescent="0.3">
      <c r="A477" s="13" t="s">
        <v>34</v>
      </c>
      <c r="B477" s="13"/>
      <c r="C477" s="13"/>
      <c r="D477" s="13"/>
      <c r="AB477" t="str" cm="1">
        <f t="array" ref="AB477">_xlfn._xlws.FILTER(A477:Z477,A477:Z477&lt;&gt;"","")</f>
        <v>Category C: Other Language Subjects</v>
      </c>
      <c r="AD477" t="str">
        <v/>
      </c>
      <c r="AE477" t="str">
        <v/>
      </c>
      <c r="AF477" t="str" cm="1">
        <f t="array" ref="AF477">IF(AD477="","",SUMPRODUCT(IF(LEFT($AD$1:AD477,2)="JS",1,0)))</f>
        <v/>
      </c>
      <c r="AG477" t="str">
        <f t="shared" si="28"/>
        <v/>
      </c>
      <c r="AH477" t="str">
        <f t="shared" si="29"/>
        <v/>
      </c>
      <c r="AI477" t="str">
        <f>IF(AH477="","",MAX($AF$1:$AF477))</f>
        <v/>
      </c>
      <c r="AJ477" t="str">
        <f t="shared" si="30"/>
        <v/>
      </c>
      <c r="AK477" t="str">
        <f>IF(AJ477="","",MAX($AF$1:$AF477))</f>
        <v/>
      </c>
      <c r="AL477" t="str">
        <f t="shared" si="31"/>
        <v/>
      </c>
      <c r="AM477" t="str">
        <f>IF(AL477="","",MAX($AF$1:$AF477))</f>
        <v/>
      </c>
    </row>
    <row r="478" spans="1:39" ht="13.5" customHeight="1" x14ac:dyDescent="0.3">
      <c r="A478" s="14" t="s">
        <v>3</v>
      </c>
      <c r="B478" s="15"/>
      <c r="C478" s="16" t="s">
        <v>4</v>
      </c>
      <c r="D478" s="17"/>
      <c r="AB478" t="str" cm="1">
        <f t="array" ref="AB478:AC478">_xlfn._xlws.FILTER(A478:Z478,A478:Z478&lt;&gt;"","")</f>
        <v>Subject Name</v>
      </c>
      <c r="AC478" t="str">
        <v>Subject Weighting for 2023/24 Admission Exercise *</v>
      </c>
      <c r="AD478" t="str">
        <v/>
      </c>
      <c r="AE478" t="str">
        <v/>
      </c>
      <c r="AF478" t="str" cm="1">
        <f t="array" ref="AF478">IF(AD478="","",SUMPRODUCT(IF(LEFT($AD$1:AD478,2)="JS",1,0)))</f>
        <v/>
      </c>
      <c r="AG478" t="str">
        <f t="shared" si="28"/>
        <v/>
      </c>
      <c r="AH478" t="str">
        <f t="shared" si="29"/>
        <v/>
      </c>
      <c r="AI478" t="str">
        <f>IF(AH478="","",MAX($AF$1:$AF478))</f>
        <v/>
      </c>
      <c r="AJ478" t="str">
        <f t="shared" si="30"/>
        <v/>
      </c>
      <c r="AK478" t="str">
        <f>IF(AJ478="","",MAX($AF$1:$AF478))</f>
        <v/>
      </c>
      <c r="AL478" t="str">
        <f t="shared" si="31"/>
        <v/>
      </c>
      <c r="AM478" t="str">
        <f>IF(AL478="","",MAX($AF$1:$AF478))</f>
        <v/>
      </c>
    </row>
    <row r="479" spans="1:39" ht="13.5" customHeight="1" x14ac:dyDescent="0.3">
      <c r="A479" s="8" t="s">
        <v>35</v>
      </c>
      <c r="B479" s="9"/>
      <c r="C479" s="10">
        <v>5</v>
      </c>
      <c r="D479" s="11"/>
      <c r="AB479" t="str" cm="1">
        <f t="array" ref="AB479:AC479">_xlfn._xlws.FILTER(A479:Z479,A479:Z479&lt;&gt;"","")</f>
        <v>French</v>
      </c>
      <c r="AC479">
        <v>5</v>
      </c>
      <c r="AD479" t="str">
        <v/>
      </c>
      <c r="AE479" t="str">
        <v/>
      </c>
      <c r="AF479" t="str" cm="1">
        <f t="array" ref="AF479">IF(AD479="","",SUMPRODUCT(IF(LEFT($AD$1:AD479,2)="JS",1,0)))</f>
        <v/>
      </c>
      <c r="AG479" t="str">
        <f t="shared" si="28"/>
        <v/>
      </c>
      <c r="AH479" t="str">
        <f t="shared" si="29"/>
        <v/>
      </c>
      <c r="AI479" t="str">
        <f>IF(AH479="","",MAX($AF$1:$AF479))</f>
        <v/>
      </c>
      <c r="AJ479" t="str">
        <f t="shared" si="30"/>
        <v/>
      </c>
      <c r="AK479" t="str">
        <f>IF(AJ479="","",MAX($AF$1:$AF479))</f>
        <v/>
      </c>
      <c r="AL479" t="str">
        <f t="shared" si="31"/>
        <v/>
      </c>
      <c r="AM479" t="str">
        <f>IF(AL479="","",MAX($AF$1:$AF479))</f>
        <v/>
      </c>
    </row>
    <row r="480" spans="1:39" ht="13.5" customHeight="1" x14ac:dyDescent="0.3">
      <c r="A480" s="8" t="s">
        <v>36</v>
      </c>
      <c r="B480" s="9"/>
      <c r="C480" s="10">
        <v>5</v>
      </c>
      <c r="D480" s="11"/>
      <c r="AB480" t="str" cm="1">
        <f t="array" ref="AB480:AC480">_xlfn._xlws.FILTER(A480:Z480,A480:Z480&lt;&gt;"","")</f>
        <v>German</v>
      </c>
      <c r="AC480">
        <v>5</v>
      </c>
      <c r="AD480" t="str">
        <v/>
      </c>
      <c r="AE480" t="str">
        <v/>
      </c>
      <c r="AF480" t="str" cm="1">
        <f t="array" ref="AF480">IF(AD480="","",SUMPRODUCT(IF(LEFT($AD$1:AD480,2)="JS",1,0)))</f>
        <v/>
      </c>
      <c r="AG480" t="str">
        <f t="shared" si="28"/>
        <v/>
      </c>
      <c r="AH480" t="str">
        <f t="shared" si="29"/>
        <v/>
      </c>
      <c r="AI480" t="str">
        <f>IF(AH480="","",MAX($AF$1:$AF480))</f>
        <v/>
      </c>
      <c r="AJ480" t="str">
        <f t="shared" si="30"/>
        <v/>
      </c>
      <c r="AK480" t="str">
        <f>IF(AJ480="","",MAX($AF$1:$AF480))</f>
        <v/>
      </c>
      <c r="AL480" t="str">
        <f t="shared" si="31"/>
        <v/>
      </c>
      <c r="AM480" t="str">
        <f>IF(AL480="","",MAX($AF$1:$AF480))</f>
        <v/>
      </c>
    </row>
    <row r="481" spans="1:39" ht="13.5" customHeight="1" x14ac:dyDescent="0.3">
      <c r="A481" s="8" t="s">
        <v>37</v>
      </c>
      <c r="B481" s="9"/>
      <c r="C481" s="10">
        <v>5</v>
      </c>
      <c r="D481" s="11"/>
      <c r="AB481" t="str" cm="1">
        <f t="array" ref="AB481:AC481">_xlfn._xlws.FILTER(A481:Z481,A481:Z481&lt;&gt;"","")</f>
        <v>Hindi</v>
      </c>
      <c r="AC481">
        <v>5</v>
      </c>
      <c r="AD481" t="str">
        <v/>
      </c>
      <c r="AE481" t="str">
        <v/>
      </c>
      <c r="AF481" t="str" cm="1">
        <f t="array" ref="AF481">IF(AD481="","",SUMPRODUCT(IF(LEFT($AD$1:AD481,2)="JS",1,0)))</f>
        <v/>
      </c>
      <c r="AG481" t="str">
        <f t="shared" si="28"/>
        <v/>
      </c>
      <c r="AH481" t="str">
        <f t="shared" si="29"/>
        <v/>
      </c>
      <c r="AI481" t="str">
        <f>IF(AH481="","",MAX($AF$1:$AF481))</f>
        <v/>
      </c>
      <c r="AJ481" t="str">
        <f t="shared" si="30"/>
        <v/>
      </c>
      <c r="AK481" t="str">
        <f>IF(AJ481="","",MAX($AF$1:$AF481))</f>
        <v/>
      </c>
      <c r="AL481" t="str">
        <f t="shared" si="31"/>
        <v/>
      </c>
      <c r="AM481" t="str">
        <f>IF(AL481="","",MAX($AF$1:$AF481))</f>
        <v/>
      </c>
    </row>
    <row r="482" spans="1:39" ht="13.5" customHeight="1" x14ac:dyDescent="0.3">
      <c r="A482" s="8" t="s">
        <v>38</v>
      </c>
      <c r="B482" s="9"/>
      <c r="C482" s="10">
        <v>5</v>
      </c>
      <c r="D482" s="11"/>
      <c r="AB482" t="str" cm="1">
        <f t="array" ref="AB482:AC482">_xlfn._xlws.FILTER(A482:Z482,A482:Z482&lt;&gt;"","")</f>
        <v>Japanese</v>
      </c>
      <c r="AC482">
        <v>5</v>
      </c>
      <c r="AD482" t="str">
        <v/>
      </c>
      <c r="AE482" t="str">
        <v/>
      </c>
      <c r="AF482" t="str" cm="1">
        <f t="array" ref="AF482">IF(AD482="","",SUMPRODUCT(IF(LEFT($AD$1:AD482,2)="JS",1,0)))</f>
        <v/>
      </c>
      <c r="AG482" t="str">
        <f t="shared" si="28"/>
        <v/>
      </c>
      <c r="AH482" t="str">
        <f t="shared" si="29"/>
        <v/>
      </c>
      <c r="AI482" t="str">
        <f>IF(AH482="","",MAX($AF$1:$AF482))</f>
        <v/>
      </c>
      <c r="AJ482" t="str">
        <f t="shared" si="30"/>
        <v/>
      </c>
      <c r="AK482" t="str">
        <f>IF(AJ482="","",MAX($AF$1:$AF482))</f>
        <v/>
      </c>
      <c r="AL482" t="str">
        <f t="shared" si="31"/>
        <v/>
      </c>
      <c r="AM482" t="str">
        <f>IF(AL482="","",MAX($AF$1:$AF482))</f>
        <v/>
      </c>
    </row>
    <row r="483" spans="1:39" ht="13.5" customHeight="1" x14ac:dyDescent="0.3">
      <c r="A483" s="8" t="s">
        <v>39</v>
      </c>
      <c r="B483" s="9"/>
      <c r="C483" s="10">
        <v>5</v>
      </c>
      <c r="D483" s="11"/>
      <c r="AB483" t="str" cm="1">
        <f t="array" ref="AB483:AC483">_xlfn._xlws.FILTER(A483:Z483,A483:Z483&lt;&gt;"","")</f>
        <v>Spanish</v>
      </c>
      <c r="AC483">
        <v>5</v>
      </c>
      <c r="AD483" t="str">
        <v/>
      </c>
      <c r="AE483" t="str">
        <v/>
      </c>
      <c r="AF483" t="str" cm="1">
        <f t="array" ref="AF483">IF(AD483="","",SUMPRODUCT(IF(LEFT($AD$1:AD483,2)="JS",1,0)))</f>
        <v/>
      </c>
      <c r="AG483" t="str">
        <f t="shared" si="28"/>
        <v/>
      </c>
      <c r="AH483" t="str">
        <f t="shared" si="29"/>
        <v/>
      </c>
      <c r="AI483" t="str">
        <f>IF(AH483="","",MAX($AF$1:$AF483))</f>
        <v/>
      </c>
      <c r="AJ483" t="str">
        <f t="shared" si="30"/>
        <v/>
      </c>
      <c r="AK483" t="str">
        <f>IF(AJ483="","",MAX($AF$1:$AF483))</f>
        <v/>
      </c>
      <c r="AL483" t="str">
        <f t="shared" si="31"/>
        <v/>
      </c>
      <c r="AM483" t="str">
        <f>IF(AL483="","",MAX($AF$1:$AF483))</f>
        <v/>
      </c>
    </row>
    <row r="484" spans="1:39" ht="13.5" customHeight="1" x14ac:dyDescent="0.3">
      <c r="A484" s="8" t="s">
        <v>40</v>
      </c>
      <c r="B484" s="9"/>
      <c r="C484" s="10">
        <v>5</v>
      </c>
      <c r="D484" s="11"/>
      <c r="AB484" t="str" cm="1">
        <f t="array" ref="AB484:AC484">_xlfn._xlws.FILTER(A484:Z484,A484:Z484&lt;&gt;"","")</f>
        <v>Urdu</v>
      </c>
      <c r="AC484">
        <v>5</v>
      </c>
      <c r="AD484" t="str">
        <v/>
      </c>
      <c r="AE484" t="str">
        <v/>
      </c>
      <c r="AF484" t="str" cm="1">
        <f t="array" ref="AF484">IF(AD484="","",SUMPRODUCT(IF(LEFT($AD$1:AD484,2)="JS",1,0)))</f>
        <v/>
      </c>
      <c r="AG484" t="str">
        <f t="shared" si="28"/>
        <v/>
      </c>
      <c r="AH484" t="str">
        <f t="shared" si="29"/>
        <v/>
      </c>
      <c r="AI484" t="str">
        <f>IF(AH484="","",MAX($AF$1:$AF484))</f>
        <v/>
      </c>
      <c r="AJ484" t="str">
        <f t="shared" si="30"/>
        <v/>
      </c>
      <c r="AK484" t="str">
        <f>IF(AJ484="","",MAX($AF$1:$AF484))</f>
        <v/>
      </c>
      <c r="AL484" t="str">
        <f t="shared" si="31"/>
        <v/>
      </c>
      <c r="AM484" t="str">
        <f>IF(AL484="","",MAX($AF$1:$AF484))</f>
        <v/>
      </c>
    </row>
    <row r="485" spans="1:39" ht="15" customHeight="1" x14ac:dyDescent="0.3">
      <c r="A485" s="18" t="s">
        <v>97</v>
      </c>
      <c r="B485" s="18"/>
      <c r="C485" s="18"/>
      <c r="D485" s="1"/>
      <c r="AB485" t="str" cm="1">
        <f t="array" ref="AB485">_xlfn._xlws.FILTER(A485:Z485,A485:Z485&lt;&gt;"","")</f>
        <v>JUPAS Code: JS3130</v>
      </c>
      <c r="AD485" t="str">
        <v>JS3130</v>
      </c>
      <c r="AE485" t="str">
        <v/>
      </c>
      <c r="AF485" cm="1">
        <f t="array" ref="AF485">IF(AD485="","",SUMPRODUCT(IF(LEFT($AD$1:AD485,2)="JS",1,0)))</f>
        <v>10</v>
      </c>
      <c r="AG485" t="str">
        <f t="shared" si="28"/>
        <v/>
      </c>
      <c r="AH485" t="str">
        <f t="shared" si="29"/>
        <v/>
      </c>
      <c r="AI485" t="str">
        <f>IF(AH485="","",MAX($AF$1:$AF485))</f>
        <v/>
      </c>
      <c r="AJ485" t="str">
        <f t="shared" si="30"/>
        <v/>
      </c>
      <c r="AK485" t="str">
        <f>IF(AJ485="","",MAX($AF$1:$AF485))</f>
        <v/>
      </c>
      <c r="AL485" t="str">
        <f t="shared" si="31"/>
        <v/>
      </c>
      <c r="AM485" t="str">
        <f>IF(AL485="","",MAX($AF$1:$AF485))</f>
        <v/>
      </c>
    </row>
    <row r="486" spans="1:39" ht="13.5" customHeight="1" x14ac:dyDescent="0.3">
      <c r="A486" s="18" t="s">
        <v>98</v>
      </c>
      <c r="B486" s="18"/>
      <c r="C486" s="18"/>
      <c r="D486" s="1"/>
      <c r="AB486" t="str" cm="1">
        <f t="array" ref="AB486">_xlfn._xlws.FILTER(A486:Z486,A486:Z486&lt;&gt;"","")</f>
        <v>Programme Title: BSc (Hons) Scheme in Spatial Data Science and Smart Cities</v>
      </c>
      <c r="AD486" t="str">
        <v/>
      </c>
      <c r="AE486" t="str">
        <v>BSc (Hons) Scheme in Spatial Data Science and Smart Cities</v>
      </c>
      <c r="AF486" t="str" cm="1">
        <f t="array" ref="AF486">IF(AD486="","",SUMPRODUCT(IF(LEFT($AD$1:AD486,2)="JS",1,0)))</f>
        <v/>
      </c>
      <c r="AG486" t="str">
        <f t="shared" si="28"/>
        <v/>
      </c>
      <c r="AH486" t="str">
        <f t="shared" si="29"/>
        <v/>
      </c>
      <c r="AI486" t="str">
        <f>IF(AH486="","",MAX($AF$1:$AF486))</f>
        <v/>
      </c>
      <c r="AJ486" t="str">
        <f t="shared" si="30"/>
        <v/>
      </c>
      <c r="AK486" t="str">
        <f>IF(AJ486="","",MAX($AF$1:$AF486))</f>
        <v/>
      </c>
      <c r="AL486" t="str">
        <f t="shared" si="31"/>
        <v/>
      </c>
      <c r="AM486" t="str">
        <f>IF(AL486="","",MAX($AF$1:$AF486))</f>
        <v/>
      </c>
    </row>
    <row r="487" spans="1:39" ht="14.5" customHeight="1" x14ac:dyDescent="0.3">
      <c r="A487" s="12"/>
      <c r="B487" s="12"/>
      <c r="C487" s="2"/>
      <c r="D487" s="2"/>
      <c r="AB487" t="str" cm="1">
        <f t="array" ref="AB487">_xlfn._xlws.FILTER(A487:Z487,A487:Z487&lt;&gt;"","")</f>
        <v/>
      </c>
      <c r="AD487" t="str">
        <v/>
      </c>
      <c r="AE487" t="str">
        <v/>
      </c>
      <c r="AF487" t="str" cm="1">
        <f t="array" ref="AF487">IF(AD487="","",SUMPRODUCT(IF(LEFT($AD$1:AD487,2)="JS",1,0)))</f>
        <v/>
      </c>
      <c r="AG487" t="str">
        <f t="shared" si="28"/>
        <v/>
      </c>
      <c r="AH487" t="str">
        <f t="shared" si="29"/>
        <v/>
      </c>
      <c r="AI487" t="str">
        <f>IF(AH487="","",MAX($AF$1:$AF487))</f>
        <v/>
      </c>
      <c r="AJ487" t="str">
        <f t="shared" si="30"/>
        <v/>
      </c>
      <c r="AK487" t="str">
        <f>IF(AJ487="","",MAX($AF$1:$AF487))</f>
        <v/>
      </c>
      <c r="AL487" t="str">
        <f t="shared" si="31"/>
        <v/>
      </c>
      <c r="AM487" t="str">
        <f>IF(AL487="","",MAX($AF$1:$AF487))</f>
        <v/>
      </c>
    </row>
    <row r="488" spans="1:39" ht="13.5" customHeight="1" x14ac:dyDescent="0.3">
      <c r="A488" s="13" t="s">
        <v>2</v>
      </c>
      <c r="B488" s="13"/>
      <c r="C488" s="13"/>
      <c r="D488" s="13"/>
      <c r="AB488" t="str" cm="1">
        <f t="array" ref="AB488">_xlfn._xlws.FILTER(A488:Z488,A488:Z488&lt;&gt;"","")</f>
        <v>Category A: Core and Elective Subjects</v>
      </c>
      <c r="AD488" t="str">
        <v/>
      </c>
      <c r="AE488" t="str">
        <v/>
      </c>
      <c r="AF488" t="str" cm="1">
        <f t="array" ref="AF488">IF(AD488="","",SUMPRODUCT(IF(LEFT($AD$1:AD488,2)="JS",1,0)))</f>
        <v/>
      </c>
      <c r="AG488" t="str">
        <f t="shared" si="28"/>
        <v/>
      </c>
      <c r="AH488" t="str">
        <f t="shared" si="29"/>
        <v/>
      </c>
      <c r="AI488" t="str">
        <f>IF(AH488="","",MAX($AF$1:$AF488))</f>
        <v/>
      </c>
      <c r="AJ488" t="str">
        <f t="shared" si="30"/>
        <v/>
      </c>
      <c r="AK488" t="str">
        <f>IF(AJ488="","",MAX($AF$1:$AF488))</f>
        <v/>
      </c>
      <c r="AL488" t="str">
        <f t="shared" si="31"/>
        <v/>
      </c>
      <c r="AM488" t="str">
        <f>IF(AL488="","",MAX($AF$1:$AF488))</f>
        <v/>
      </c>
    </row>
    <row r="489" spans="1:39" ht="13.5" customHeight="1" x14ac:dyDescent="0.3">
      <c r="A489" s="14" t="s">
        <v>3</v>
      </c>
      <c r="B489" s="15"/>
      <c r="C489" s="16" t="s">
        <v>4</v>
      </c>
      <c r="D489" s="17"/>
      <c r="AB489" t="str" cm="1">
        <f t="array" ref="AB489:AC489">_xlfn._xlws.FILTER(A489:Z489,A489:Z489&lt;&gt;"","")</f>
        <v>Subject Name</v>
      </c>
      <c r="AC489" t="str">
        <v>Subject Weighting for 2023/24 Admission Exercise *</v>
      </c>
      <c r="AD489" t="str">
        <v/>
      </c>
      <c r="AE489" t="str">
        <v/>
      </c>
      <c r="AF489" t="str" cm="1">
        <f t="array" ref="AF489">IF(AD489="","",SUMPRODUCT(IF(LEFT($AD$1:AD489,2)="JS",1,0)))</f>
        <v/>
      </c>
      <c r="AG489" t="str">
        <f t="shared" si="28"/>
        <v/>
      </c>
      <c r="AH489" t="str">
        <f t="shared" si="29"/>
        <v/>
      </c>
      <c r="AI489" t="str">
        <f>IF(AH489="","",MAX($AF$1:$AF489))</f>
        <v/>
      </c>
      <c r="AJ489" t="str">
        <f t="shared" si="30"/>
        <v/>
      </c>
      <c r="AK489" t="str">
        <f>IF(AJ489="","",MAX($AF$1:$AF489))</f>
        <v/>
      </c>
      <c r="AL489" t="str">
        <f t="shared" si="31"/>
        <v/>
      </c>
      <c r="AM489" t="str">
        <f>IF(AL489="","",MAX($AF$1:$AF489))</f>
        <v/>
      </c>
    </row>
    <row r="490" spans="1:39" ht="13.5" customHeight="1" x14ac:dyDescent="0.3">
      <c r="A490" s="8" t="s">
        <v>211</v>
      </c>
      <c r="B490" s="9"/>
      <c r="C490" s="10">
        <v>7</v>
      </c>
      <c r="D490" s="11"/>
      <c r="AB490" t="str" cm="1">
        <f t="array" ref="AB490:AC490">_xlfn._xlws.FILTER(A490:Z490,A490:Z490&lt;&gt;"","")</f>
        <v>BIO</v>
      </c>
      <c r="AC490">
        <v>7</v>
      </c>
      <c r="AD490" t="str">
        <v/>
      </c>
      <c r="AE490" t="str">
        <v/>
      </c>
      <c r="AF490" t="str" cm="1">
        <f t="array" ref="AF490">IF(AD490="","",SUMPRODUCT(IF(LEFT($AD$1:AD490,2)="JS",1,0)))</f>
        <v/>
      </c>
      <c r="AG490" t="b">
        <f t="shared" si="28"/>
        <v>1</v>
      </c>
      <c r="AH490" t="str">
        <f t="shared" si="29"/>
        <v/>
      </c>
      <c r="AI490" t="str">
        <f>IF(AH490="","",MAX($AF$1:$AF490))</f>
        <v/>
      </c>
      <c r="AJ490" t="str">
        <f t="shared" si="30"/>
        <v>BIO</v>
      </c>
      <c r="AK490">
        <f>IF(AJ490="","",MAX($AF$1:$AF490))</f>
        <v>10</v>
      </c>
      <c r="AL490" t="str">
        <f t="shared" si="31"/>
        <v/>
      </c>
      <c r="AM490" t="str">
        <f>IF(AL490="","",MAX($AF$1:$AF490))</f>
        <v/>
      </c>
    </row>
    <row r="491" spans="1:39" ht="13.5" customHeight="1" x14ac:dyDescent="0.3">
      <c r="A491" s="8" t="s">
        <v>213</v>
      </c>
      <c r="B491" s="9"/>
      <c r="C491" s="10">
        <v>7</v>
      </c>
      <c r="D491" s="11"/>
      <c r="AB491" t="str" cm="1">
        <f t="array" ref="AB491:AC491">_xlfn._xlws.FILTER(A491:Z491,A491:Z491&lt;&gt;"","")</f>
        <v>BAFS</v>
      </c>
      <c r="AC491">
        <v>7</v>
      </c>
      <c r="AD491" t="str">
        <v/>
      </c>
      <c r="AE491" t="str">
        <v/>
      </c>
      <c r="AF491" t="str" cm="1">
        <f t="array" ref="AF491">IF(AD491="","",SUMPRODUCT(IF(LEFT($AD$1:AD491,2)="JS",1,0)))</f>
        <v/>
      </c>
      <c r="AG491" t="b">
        <f t="shared" si="28"/>
        <v>1</v>
      </c>
      <c r="AH491" t="str">
        <f t="shared" si="29"/>
        <v/>
      </c>
      <c r="AI491" t="str">
        <f>IF(AH491="","",MAX($AF$1:$AF491))</f>
        <v/>
      </c>
      <c r="AJ491" t="str">
        <f t="shared" si="30"/>
        <v>BAFS</v>
      </c>
      <c r="AK491">
        <f>IF(AJ491="","",MAX($AF$1:$AF491))</f>
        <v>10</v>
      </c>
      <c r="AL491" t="str">
        <f t="shared" si="31"/>
        <v/>
      </c>
      <c r="AM491" t="str">
        <f>IF(AL491="","",MAX($AF$1:$AF491))</f>
        <v/>
      </c>
    </row>
    <row r="492" spans="1:39" ht="13.5" customHeight="1" x14ac:dyDescent="0.3">
      <c r="A492" s="8" t="s">
        <v>5</v>
      </c>
      <c r="B492" s="9"/>
      <c r="C492" s="10">
        <v>7</v>
      </c>
      <c r="D492" s="11"/>
      <c r="AB492" t="str" cm="1">
        <f t="array" ref="AB492:AC492">_xlfn._xlws.FILTER(A492:Z492,A492:Z492&lt;&gt;"","")</f>
        <v>Business, Accounting and Financial Studies (Accounting)</v>
      </c>
      <c r="AC492">
        <v>7</v>
      </c>
      <c r="AD492" t="str">
        <v/>
      </c>
      <c r="AE492" t="str">
        <v/>
      </c>
      <c r="AF492" t="str" cm="1">
        <f t="array" ref="AF492">IF(AD492="","",SUMPRODUCT(IF(LEFT($AD$1:AD492,2)="JS",1,0)))</f>
        <v/>
      </c>
      <c r="AG492" t="str">
        <f t="shared" si="28"/>
        <v/>
      </c>
      <c r="AH492" t="str">
        <f t="shared" si="29"/>
        <v/>
      </c>
      <c r="AI492" t="str">
        <f>IF(AH492="","",MAX($AF$1:$AF492))</f>
        <v/>
      </c>
      <c r="AJ492" t="str">
        <f t="shared" si="30"/>
        <v/>
      </c>
      <c r="AK492" t="str">
        <f>IF(AJ492="","",MAX($AF$1:$AF492))</f>
        <v/>
      </c>
      <c r="AL492" t="str">
        <f t="shared" si="31"/>
        <v/>
      </c>
      <c r="AM492" t="str">
        <f>IF(AL492="","",MAX($AF$1:$AF492))</f>
        <v/>
      </c>
    </row>
    <row r="493" spans="1:39" ht="13.5" customHeight="1" x14ac:dyDescent="0.3">
      <c r="A493" s="8" t="s">
        <v>6</v>
      </c>
      <c r="B493" s="9"/>
      <c r="C493" s="10">
        <v>7</v>
      </c>
      <c r="D493" s="11"/>
      <c r="AB493" t="str" cm="1">
        <f t="array" ref="AB493:AC493">_xlfn._xlws.FILTER(A493:Z493,A493:Z493&lt;&gt;"","")</f>
        <v>Business, Accounting and Financial Studies (Business Management)</v>
      </c>
      <c r="AC493">
        <v>7</v>
      </c>
      <c r="AD493" t="str">
        <v/>
      </c>
      <c r="AE493" t="str">
        <v/>
      </c>
      <c r="AF493" t="str" cm="1">
        <f t="array" ref="AF493">IF(AD493="","",SUMPRODUCT(IF(LEFT($AD$1:AD493,2)="JS",1,0)))</f>
        <v/>
      </c>
      <c r="AG493" t="str">
        <f t="shared" si="28"/>
        <v/>
      </c>
      <c r="AH493" t="str">
        <f t="shared" si="29"/>
        <v/>
      </c>
      <c r="AI493" t="str">
        <f>IF(AH493="","",MAX($AF$1:$AF493))</f>
        <v/>
      </c>
      <c r="AJ493" t="str">
        <f t="shared" si="30"/>
        <v/>
      </c>
      <c r="AK493" t="str">
        <f>IF(AJ493="","",MAX($AF$1:$AF493))</f>
        <v/>
      </c>
      <c r="AL493" t="str">
        <f t="shared" si="31"/>
        <v/>
      </c>
      <c r="AM493" t="str">
        <f>IF(AL493="","",MAX($AF$1:$AF493))</f>
        <v/>
      </c>
    </row>
    <row r="494" spans="1:39" ht="13.5" customHeight="1" x14ac:dyDescent="0.3">
      <c r="A494" s="8" t="s">
        <v>212</v>
      </c>
      <c r="B494" s="9"/>
      <c r="C494" s="10">
        <v>7</v>
      </c>
      <c r="D494" s="11"/>
      <c r="AB494" t="str" cm="1">
        <f t="array" ref="AB494:AC494">_xlfn._xlws.FILTER(A494:Z494,A494:Z494&lt;&gt;"","")</f>
        <v>CHEM</v>
      </c>
      <c r="AC494">
        <v>7</v>
      </c>
      <c r="AD494" t="str">
        <v/>
      </c>
      <c r="AE494" t="str">
        <v/>
      </c>
      <c r="AF494" t="str" cm="1">
        <f t="array" ref="AF494">IF(AD494="","",SUMPRODUCT(IF(LEFT($AD$1:AD494,2)="JS",1,0)))</f>
        <v/>
      </c>
      <c r="AG494" t="b">
        <f t="shared" si="28"/>
        <v>1</v>
      </c>
      <c r="AH494" t="str">
        <f t="shared" si="29"/>
        <v/>
      </c>
      <c r="AI494" t="str">
        <f>IF(AH494="","",MAX($AF$1:$AF494))</f>
        <v/>
      </c>
      <c r="AJ494" t="str">
        <f t="shared" si="30"/>
        <v>CHEM</v>
      </c>
      <c r="AK494">
        <f>IF(AJ494="","",MAX($AF$1:$AF494))</f>
        <v>10</v>
      </c>
      <c r="AL494" t="str">
        <f t="shared" si="31"/>
        <v/>
      </c>
      <c r="AM494" t="str">
        <f>IF(AL494="","",MAX($AF$1:$AF494))</f>
        <v/>
      </c>
    </row>
    <row r="495" spans="1:39" ht="13.5" customHeight="1" x14ac:dyDescent="0.3">
      <c r="A495" s="8" t="s">
        <v>214</v>
      </c>
      <c r="B495" s="9"/>
      <c r="C495" s="10">
        <v>7</v>
      </c>
      <c r="D495" s="11"/>
      <c r="AB495" t="str" cm="1">
        <f t="array" ref="AB495:AC495">_xlfn._xlws.FILTER(A495:Z495,A495:Z495&lt;&gt;"","")</f>
        <v>中史</v>
      </c>
      <c r="AC495">
        <v>7</v>
      </c>
      <c r="AD495" t="str">
        <v/>
      </c>
      <c r="AE495" t="str">
        <v/>
      </c>
      <c r="AF495" t="str" cm="1">
        <f t="array" ref="AF495">IF(AD495="","",SUMPRODUCT(IF(LEFT($AD$1:AD495,2)="JS",1,0)))</f>
        <v/>
      </c>
      <c r="AG495" t="b">
        <f t="shared" si="28"/>
        <v>1</v>
      </c>
      <c r="AH495" t="str">
        <f t="shared" si="29"/>
        <v/>
      </c>
      <c r="AI495" t="str">
        <f>IF(AH495="","",MAX($AF$1:$AF495))</f>
        <v/>
      </c>
      <c r="AJ495" t="str">
        <f t="shared" si="30"/>
        <v>中史</v>
      </c>
      <c r="AK495">
        <f>IF(AJ495="","",MAX($AF$1:$AF495))</f>
        <v>10</v>
      </c>
      <c r="AL495" t="str">
        <f t="shared" si="31"/>
        <v/>
      </c>
      <c r="AM495" t="str">
        <f>IF(AL495="","",MAX($AF$1:$AF495))</f>
        <v/>
      </c>
    </row>
    <row r="496" spans="1:39" ht="13.5" customHeight="1" x14ac:dyDescent="0.3">
      <c r="A496" s="8" t="s">
        <v>216</v>
      </c>
      <c r="B496" s="9"/>
      <c r="C496" s="10">
        <v>7</v>
      </c>
      <c r="D496" s="11"/>
      <c r="AB496" t="str" cm="1">
        <f t="array" ref="AB496:AC496">_xlfn._xlws.FILTER(A496:Z496,A496:Z496&lt;&gt;"","")</f>
        <v>中文</v>
      </c>
      <c r="AC496">
        <v>7</v>
      </c>
      <c r="AD496" t="str">
        <v/>
      </c>
      <c r="AE496" t="str">
        <v/>
      </c>
      <c r="AF496" t="str" cm="1">
        <f t="array" ref="AF496">IF(AD496="","",SUMPRODUCT(IF(LEFT($AD$1:AD496,2)="JS",1,0)))</f>
        <v/>
      </c>
      <c r="AG496" t="b">
        <f t="shared" si="28"/>
        <v>1</v>
      </c>
      <c r="AH496" t="str">
        <f t="shared" si="29"/>
        <v/>
      </c>
      <c r="AI496" t="str">
        <f>IF(AH496="","",MAX($AF$1:$AF496))</f>
        <v/>
      </c>
      <c r="AJ496" t="str">
        <f t="shared" si="30"/>
        <v>中文</v>
      </c>
      <c r="AK496">
        <f>IF(AJ496="","",MAX($AF$1:$AF496))</f>
        <v>10</v>
      </c>
      <c r="AL496" t="str">
        <f t="shared" si="31"/>
        <v/>
      </c>
      <c r="AM496" t="str">
        <f>IF(AL496="","",MAX($AF$1:$AF496))</f>
        <v/>
      </c>
    </row>
    <row r="497" spans="1:39" ht="13.5" customHeight="1" x14ac:dyDescent="0.3">
      <c r="A497" s="8" t="s">
        <v>7</v>
      </c>
      <c r="B497" s="9"/>
      <c r="C497" s="10">
        <v>7</v>
      </c>
      <c r="D497" s="11"/>
      <c r="AB497" t="str" cm="1">
        <f t="array" ref="AB497:AC497">_xlfn._xlws.FILTER(A497:Z497,A497:Z497&lt;&gt;"","")</f>
        <v>Chinese Literature</v>
      </c>
      <c r="AC497">
        <v>7</v>
      </c>
      <c r="AD497" t="str">
        <v/>
      </c>
      <c r="AE497" t="str">
        <v/>
      </c>
      <c r="AF497" t="str" cm="1">
        <f t="array" ref="AF497">IF(AD497="","",SUMPRODUCT(IF(LEFT($AD$1:AD497,2)="JS",1,0)))</f>
        <v/>
      </c>
      <c r="AG497" t="str">
        <f t="shared" si="28"/>
        <v/>
      </c>
      <c r="AH497" t="str">
        <f t="shared" si="29"/>
        <v/>
      </c>
      <c r="AI497" t="str">
        <f>IF(AH497="","",MAX($AF$1:$AF497))</f>
        <v/>
      </c>
      <c r="AJ497" t="str">
        <f t="shared" si="30"/>
        <v/>
      </c>
      <c r="AK497" t="str">
        <f>IF(AJ497="","",MAX($AF$1:$AF497))</f>
        <v/>
      </c>
      <c r="AL497" t="str">
        <f t="shared" si="31"/>
        <v/>
      </c>
      <c r="AM497" t="str">
        <f>IF(AL497="","",MAX($AF$1:$AF497))</f>
        <v/>
      </c>
    </row>
    <row r="498" spans="1:39" ht="13.5" customHeight="1" x14ac:dyDescent="0.3">
      <c r="A498" s="8" t="s">
        <v>8</v>
      </c>
      <c r="B498" s="9"/>
      <c r="C498" s="10">
        <v>7</v>
      </c>
      <c r="D498" s="11"/>
      <c r="AB498" t="str" cm="1">
        <f t="array" ref="AB498:AC498">_xlfn._xlws.FILTER(A498:Z498,A498:Z498&lt;&gt;"","")</f>
        <v>Combined Science: Biology + Chemistry</v>
      </c>
      <c r="AC498">
        <v>7</v>
      </c>
      <c r="AD498" t="str">
        <v/>
      </c>
      <c r="AE498" t="str">
        <v/>
      </c>
      <c r="AF498" t="str" cm="1">
        <f t="array" ref="AF498">IF(AD498="","",SUMPRODUCT(IF(LEFT($AD$1:AD498,2)="JS",1,0)))</f>
        <v/>
      </c>
      <c r="AG498" t="str">
        <f t="shared" si="28"/>
        <v/>
      </c>
      <c r="AH498" t="str">
        <f t="shared" si="29"/>
        <v/>
      </c>
      <c r="AI498" t="str">
        <f>IF(AH498="","",MAX($AF$1:$AF498))</f>
        <v/>
      </c>
      <c r="AJ498" t="str">
        <f t="shared" si="30"/>
        <v/>
      </c>
      <c r="AK498" t="str">
        <f>IF(AJ498="","",MAX($AF$1:$AF498))</f>
        <v/>
      </c>
      <c r="AL498" t="str">
        <f t="shared" si="31"/>
        <v/>
      </c>
      <c r="AM498" t="str">
        <f>IF(AL498="","",MAX($AF$1:$AF498))</f>
        <v/>
      </c>
    </row>
    <row r="499" spans="1:39" ht="13.5" customHeight="1" x14ac:dyDescent="0.3">
      <c r="A499" s="8" t="s">
        <v>9</v>
      </c>
      <c r="B499" s="9"/>
      <c r="C499" s="10">
        <v>10</v>
      </c>
      <c r="D499" s="11"/>
      <c r="AB499" t="str" cm="1">
        <f t="array" ref="AB499:AC499">_xlfn._xlws.FILTER(A499:Z499,A499:Z499&lt;&gt;"","")</f>
        <v>Combined Science: Biology + Physics</v>
      </c>
      <c r="AC499">
        <v>10</v>
      </c>
      <c r="AD499" t="str">
        <v/>
      </c>
      <c r="AE499" t="str">
        <v/>
      </c>
      <c r="AF499" t="str" cm="1">
        <f t="array" ref="AF499">IF(AD499="","",SUMPRODUCT(IF(LEFT($AD$1:AD499,2)="JS",1,0)))</f>
        <v/>
      </c>
      <c r="AG499" t="str">
        <f t="shared" si="28"/>
        <v/>
      </c>
      <c r="AH499" t="str">
        <f t="shared" si="29"/>
        <v/>
      </c>
      <c r="AI499" t="str">
        <f>IF(AH499="","",MAX($AF$1:$AF499))</f>
        <v/>
      </c>
      <c r="AJ499" t="str">
        <f t="shared" si="30"/>
        <v/>
      </c>
      <c r="AK499" t="str">
        <f>IF(AJ499="","",MAX($AF$1:$AF499))</f>
        <v/>
      </c>
      <c r="AL499" t="str">
        <f t="shared" si="31"/>
        <v/>
      </c>
      <c r="AM499" t="str">
        <f>IF(AL499="","",MAX($AF$1:$AF499))</f>
        <v/>
      </c>
    </row>
    <row r="500" spans="1:39" ht="13.5" customHeight="1" x14ac:dyDescent="0.3">
      <c r="A500" s="8" t="s">
        <v>10</v>
      </c>
      <c r="B500" s="9"/>
      <c r="C500" s="10">
        <v>10</v>
      </c>
      <c r="D500" s="11"/>
      <c r="AB500" t="str" cm="1">
        <f t="array" ref="AB500:AC500">_xlfn._xlws.FILTER(A500:Z500,A500:Z500&lt;&gt;"","")</f>
        <v>Combined Science: Physics + Chemistry</v>
      </c>
      <c r="AC500">
        <v>10</v>
      </c>
      <c r="AD500" t="str">
        <v/>
      </c>
      <c r="AE500" t="str">
        <v/>
      </c>
      <c r="AF500" t="str" cm="1">
        <f t="array" ref="AF500">IF(AD500="","",SUMPRODUCT(IF(LEFT($AD$1:AD500,2)="JS",1,0)))</f>
        <v/>
      </c>
      <c r="AG500" t="str">
        <f t="shared" si="28"/>
        <v/>
      </c>
      <c r="AH500" t="str">
        <f t="shared" si="29"/>
        <v/>
      </c>
      <c r="AI500" t="str">
        <f>IF(AH500="","",MAX($AF$1:$AF500))</f>
        <v/>
      </c>
      <c r="AJ500" t="str">
        <f t="shared" si="30"/>
        <v/>
      </c>
      <c r="AK500" t="str">
        <f>IF(AJ500="","",MAX($AF$1:$AF500))</f>
        <v/>
      </c>
      <c r="AL500" t="str">
        <f t="shared" si="31"/>
        <v/>
      </c>
      <c r="AM500" t="str">
        <f>IF(AL500="","",MAX($AF$1:$AF500))</f>
        <v/>
      </c>
    </row>
    <row r="501" spans="1:39" ht="13.5" customHeight="1" x14ac:dyDescent="0.3">
      <c r="A501" s="8" t="s">
        <v>11</v>
      </c>
      <c r="B501" s="9"/>
      <c r="C501" s="10">
        <v>7</v>
      </c>
      <c r="D501" s="11"/>
      <c r="AB501" t="str" cm="1">
        <f t="array" ref="AB501:AC501">_xlfn._xlws.FILTER(A501:Z501,A501:Z501&lt;&gt;"","")</f>
        <v>Design and Applied Technology</v>
      </c>
      <c r="AC501">
        <v>7</v>
      </c>
      <c r="AD501" t="str">
        <v/>
      </c>
      <c r="AE501" t="str">
        <v/>
      </c>
      <c r="AF501" t="str" cm="1">
        <f t="array" ref="AF501">IF(AD501="","",SUMPRODUCT(IF(LEFT($AD$1:AD501,2)="JS",1,0)))</f>
        <v/>
      </c>
      <c r="AG501" t="str">
        <f t="shared" si="28"/>
        <v/>
      </c>
      <c r="AH501" t="str">
        <f t="shared" si="29"/>
        <v/>
      </c>
      <c r="AI501" t="str">
        <f>IF(AH501="","",MAX($AF$1:$AF501))</f>
        <v/>
      </c>
      <c r="AJ501" t="str">
        <f t="shared" si="30"/>
        <v/>
      </c>
      <c r="AK501" t="str">
        <f>IF(AJ501="","",MAX($AF$1:$AF501))</f>
        <v/>
      </c>
      <c r="AL501" t="str">
        <f t="shared" si="31"/>
        <v/>
      </c>
      <c r="AM501" t="str">
        <f>IF(AL501="","",MAX($AF$1:$AF501))</f>
        <v/>
      </c>
    </row>
    <row r="502" spans="1:39" ht="13.5" customHeight="1" x14ac:dyDescent="0.3">
      <c r="A502" s="8" t="s">
        <v>217</v>
      </c>
      <c r="B502" s="9"/>
      <c r="C502" s="10">
        <v>7</v>
      </c>
      <c r="D502" s="11"/>
      <c r="AB502" t="str" cm="1">
        <f t="array" ref="AB502:AC502">_xlfn._xlws.FILTER(A502:Z502,A502:Z502&lt;&gt;"","")</f>
        <v>ECON</v>
      </c>
      <c r="AC502">
        <v>7</v>
      </c>
      <c r="AD502" t="str">
        <v/>
      </c>
      <c r="AE502" t="str">
        <v/>
      </c>
      <c r="AF502" t="str" cm="1">
        <f t="array" ref="AF502">IF(AD502="","",SUMPRODUCT(IF(LEFT($AD$1:AD502,2)="JS",1,0)))</f>
        <v/>
      </c>
      <c r="AG502" t="b">
        <f t="shared" si="28"/>
        <v>1</v>
      </c>
      <c r="AH502" t="str">
        <f t="shared" si="29"/>
        <v/>
      </c>
      <c r="AI502" t="str">
        <f>IF(AH502="","",MAX($AF$1:$AF502))</f>
        <v/>
      </c>
      <c r="AJ502" t="str">
        <f t="shared" si="30"/>
        <v>ECON</v>
      </c>
      <c r="AK502">
        <f>IF(AJ502="","",MAX($AF$1:$AF502))</f>
        <v>10</v>
      </c>
      <c r="AL502" t="str">
        <f t="shared" si="31"/>
        <v/>
      </c>
      <c r="AM502" t="str">
        <f>IF(AL502="","",MAX($AF$1:$AF502))</f>
        <v/>
      </c>
    </row>
    <row r="503" spans="1:39" ht="13.5" customHeight="1" x14ac:dyDescent="0.3">
      <c r="A503" s="8" t="s">
        <v>218</v>
      </c>
      <c r="B503" s="9"/>
      <c r="C503" s="10">
        <v>10</v>
      </c>
      <c r="D503" s="11"/>
      <c r="AB503" t="str" cm="1">
        <f t="array" ref="AB503:AC503">_xlfn._xlws.FILTER(A503:Z503,A503:Z503&lt;&gt;"","")</f>
        <v>ENG</v>
      </c>
      <c r="AC503">
        <v>10</v>
      </c>
      <c r="AD503" t="str">
        <v/>
      </c>
      <c r="AE503" t="str">
        <v/>
      </c>
      <c r="AF503" t="str" cm="1">
        <f t="array" ref="AF503">IF(AD503="","",SUMPRODUCT(IF(LEFT($AD$1:AD503,2)="JS",1,0)))</f>
        <v/>
      </c>
      <c r="AG503" t="b">
        <f t="shared" si="28"/>
        <v>1</v>
      </c>
      <c r="AH503" t="str">
        <f t="shared" si="29"/>
        <v>ENG</v>
      </c>
      <c r="AI503">
        <f>IF(AH503="","",MAX($AF$1:$AF503))</f>
        <v>10</v>
      </c>
      <c r="AJ503" t="str">
        <f t="shared" si="30"/>
        <v/>
      </c>
      <c r="AK503" t="str">
        <f>IF(AJ503="","",MAX($AF$1:$AF503))</f>
        <v/>
      </c>
      <c r="AL503" t="str">
        <f t="shared" si="31"/>
        <v/>
      </c>
      <c r="AM503" t="str">
        <f>IF(AL503="","",MAX($AF$1:$AF503))</f>
        <v/>
      </c>
    </row>
    <row r="504" spans="1:39" ht="13.5" customHeight="1" x14ac:dyDescent="0.3">
      <c r="A504" s="8" t="s">
        <v>12</v>
      </c>
      <c r="B504" s="9"/>
      <c r="C504" s="10">
        <v>7</v>
      </c>
      <c r="D504" s="11"/>
      <c r="AB504" t="str" cm="1">
        <f t="array" ref="AB504:AC504">_xlfn._xlws.FILTER(A504:Z504,A504:Z504&lt;&gt;"","")</f>
        <v>Ethics and Religious Studies</v>
      </c>
      <c r="AC504">
        <v>7</v>
      </c>
      <c r="AD504" t="str">
        <v/>
      </c>
      <c r="AE504" t="str">
        <v/>
      </c>
      <c r="AF504" t="str" cm="1">
        <f t="array" ref="AF504">IF(AD504="","",SUMPRODUCT(IF(LEFT($AD$1:AD504,2)="JS",1,0)))</f>
        <v/>
      </c>
      <c r="AG504" t="str">
        <f t="shared" si="28"/>
        <v/>
      </c>
      <c r="AH504" t="str">
        <f t="shared" si="29"/>
        <v/>
      </c>
      <c r="AI504" t="str">
        <f>IF(AH504="","",MAX($AF$1:$AF504))</f>
        <v/>
      </c>
      <c r="AJ504" t="str">
        <f t="shared" si="30"/>
        <v/>
      </c>
      <c r="AK504" t="str">
        <f>IF(AJ504="","",MAX($AF$1:$AF504))</f>
        <v/>
      </c>
      <c r="AL504" t="str">
        <f t="shared" si="31"/>
        <v/>
      </c>
      <c r="AM504" t="str">
        <f>IF(AL504="","",MAX($AF$1:$AF504))</f>
        <v/>
      </c>
    </row>
    <row r="505" spans="1:39" ht="13.5" customHeight="1" x14ac:dyDescent="0.3">
      <c r="A505" s="8" t="s">
        <v>219</v>
      </c>
      <c r="B505" s="9"/>
      <c r="C505" s="10">
        <v>10</v>
      </c>
      <c r="D505" s="11"/>
      <c r="AB505" t="str" cm="1">
        <f t="array" ref="AB505:AC505">_xlfn._xlws.FILTER(A505:Z505,A505:Z505&lt;&gt;"","")</f>
        <v>GEOG</v>
      </c>
      <c r="AC505">
        <v>10</v>
      </c>
      <c r="AD505" t="str">
        <v/>
      </c>
      <c r="AE505" t="str">
        <v/>
      </c>
      <c r="AF505" t="str" cm="1">
        <f t="array" ref="AF505">IF(AD505="","",SUMPRODUCT(IF(LEFT($AD$1:AD505,2)="JS",1,0)))</f>
        <v/>
      </c>
      <c r="AG505" t="b">
        <f t="shared" si="28"/>
        <v>1</v>
      </c>
      <c r="AH505" t="str">
        <f t="shared" si="29"/>
        <v>GEOG</v>
      </c>
      <c r="AI505">
        <f>IF(AH505="","",MAX($AF$1:$AF505))</f>
        <v>10</v>
      </c>
      <c r="AJ505" t="str">
        <f t="shared" si="30"/>
        <v/>
      </c>
      <c r="AK505" t="str">
        <f>IF(AJ505="","",MAX($AF$1:$AF505))</f>
        <v/>
      </c>
      <c r="AL505" t="str">
        <f t="shared" si="31"/>
        <v/>
      </c>
      <c r="AM505" t="str">
        <f>IF(AL505="","",MAX($AF$1:$AF505))</f>
        <v/>
      </c>
    </row>
    <row r="506" spans="1:39" ht="13.5" customHeight="1" x14ac:dyDescent="0.3">
      <c r="A506" s="8" t="s">
        <v>220</v>
      </c>
      <c r="B506" s="9"/>
      <c r="C506" s="10">
        <v>7</v>
      </c>
      <c r="D506" s="11"/>
      <c r="AB506" t="str" cm="1">
        <f t="array" ref="AB506:AC506">_xlfn._xlws.FILTER(A506:Z506,A506:Z506&lt;&gt;"","")</f>
        <v>HMSC</v>
      </c>
      <c r="AC506">
        <v>7</v>
      </c>
      <c r="AD506" t="str">
        <v/>
      </c>
      <c r="AE506" t="str">
        <v/>
      </c>
      <c r="AF506" t="str" cm="1">
        <f t="array" ref="AF506">IF(AD506="","",SUMPRODUCT(IF(LEFT($AD$1:AD506,2)="JS",1,0)))</f>
        <v/>
      </c>
      <c r="AG506" t="b">
        <f t="shared" si="28"/>
        <v>1</v>
      </c>
      <c r="AH506" t="str">
        <f t="shared" si="29"/>
        <v/>
      </c>
      <c r="AI506" t="str">
        <f>IF(AH506="","",MAX($AF$1:$AF506))</f>
        <v/>
      </c>
      <c r="AJ506" t="str">
        <f t="shared" si="30"/>
        <v>HMSC</v>
      </c>
      <c r="AK506">
        <f>IF(AJ506="","",MAX($AF$1:$AF506))</f>
        <v>10</v>
      </c>
      <c r="AL506" t="str">
        <f t="shared" si="31"/>
        <v/>
      </c>
      <c r="AM506" t="str">
        <f>IF(AL506="","",MAX($AF$1:$AF506))</f>
        <v/>
      </c>
    </row>
    <row r="507" spans="1:39" ht="13.5" customHeight="1" x14ac:dyDescent="0.3">
      <c r="A507" s="8" t="s">
        <v>221</v>
      </c>
      <c r="B507" s="9"/>
      <c r="C507" s="10">
        <v>7</v>
      </c>
      <c r="D507" s="11"/>
      <c r="AB507" t="str" cm="1">
        <f t="array" ref="AB507:AC507">_xlfn._xlws.FILTER(A507:Z507,A507:Z507&lt;&gt;"","")</f>
        <v>HIST</v>
      </c>
      <c r="AC507">
        <v>7</v>
      </c>
      <c r="AD507" t="str">
        <v/>
      </c>
      <c r="AE507" t="str">
        <v/>
      </c>
      <c r="AF507" t="str" cm="1">
        <f t="array" ref="AF507">IF(AD507="","",SUMPRODUCT(IF(LEFT($AD$1:AD507,2)="JS",1,0)))</f>
        <v/>
      </c>
      <c r="AG507" t="b">
        <f t="shared" si="28"/>
        <v>1</v>
      </c>
      <c r="AH507" t="str">
        <f t="shared" si="29"/>
        <v/>
      </c>
      <c r="AI507" t="str">
        <f>IF(AH507="","",MAX($AF$1:$AF507))</f>
        <v/>
      </c>
      <c r="AJ507" t="str">
        <f t="shared" si="30"/>
        <v>HIST</v>
      </c>
      <c r="AK507">
        <f>IF(AJ507="","",MAX($AF$1:$AF507))</f>
        <v>10</v>
      </c>
      <c r="AL507" t="str">
        <f t="shared" si="31"/>
        <v/>
      </c>
      <c r="AM507" t="str">
        <f>IF(AL507="","",MAX($AF$1:$AF507))</f>
        <v/>
      </c>
    </row>
    <row r="508" spans="1:39" ht="13.5" customHeight="1" x14ac:dyDescent="0.3">
      <c r="A508" s="8" t="s">
        <v>222</v>
      </c>
      <c r="B508" s="9"/>
      <c r="C508" s="10">
        <v>10</v>
      </c>
      <c r="D508" s="11"/>
      <c r="AB508" t="str" cm="1">
        <f t="array" ref="AB508:AC508">_xlfn._xlws.FILTER(A508:Z508,A508:Z508&lt;&gt;"","")</f>
        <v>ICT</v>
      </c>
      <c r="AC508">
        <v>10</v>
      </c>
      <c r="AD508" t="str">
        <v/>
      </c>
      <c r="AE508" t="str">
        <v/>
      </c>
      <c r="AF508" t="str" cm="1">
        <f t="array" ref="AF508">IF(AD508="","",SUMPRODUCT(IF(LEFT($AD$1:AD508,2)="JS",1,0)))</f>
        <v/>
      </c>
      <c r="AG508" t="b">
        <f t="shared" si="28"/>
        <v>1</v>
      </c>
      <c r="AH508" t="str">
        <f t="shared" si="29"/>
        <v>ICT</v>
      </c>
      <c r="AI508">
        <f>IF(AH508="","",MAX($AF$1:$AF508))</f>
        <v>10</v>
      </c>
      <c r="AJ508" t="str">
        <f t="shared" si="30"/>
        <v/>
      </c>
      <c r="AK508" t="str">
        <f>IF(AJ508="","",MAX($AF$1:$AF508))</f>
        <v/>
      </c>
      <c r="AL508" t="str">
        <f t="shared" si="31"/>
        <v/>
      </c>
      <c r="AM508" t="str">
        <f>IF(AL508="","",MAX($AF$1:$AF508))</f>
        <v/>
      </c>
    </row>
    <row r="509" spans="1:39" ht="13.5" customHeight="1" x14ac:dyDescent="0.3">
      <c r="A509" s="8" t="s">
        <v>13</v>
      </c>
      <c r="B509" s="9"/>
      <c r="C509" s="10">
        <v>10</v>
      </c>
      <c r="D509" s="11"/>
      <c r="AB509" t="str" cm="1">
        <f t="array" ref="AB509:AC509">_xlfn._xlws.FILTER(A509:Z509,A509:Z509&lt;&gt;"","")</f>
        <v>Integrated Science</v>
      </c>
      <c r="AC509">
        <v>10</v>
      </c>
      <c r="AD509" t="str">
        <v/>
      </c>
      <c r="AE509" t="str">
        <v/>
      </c>
      <c r="AF509" t="str" cm="1">
        <f t="array" ref="AF509">IF(AD509="","",SUMPRODUCT(IF(LEFT($AD$1:AD509,2)="JS",1,0)))</f>
        <v/>
      </c>
      <c r="AG509" t="str">
        <f t="shared" si="28"/>
        <v/>
      </c>
      <c r="AH509" t="str">
        <f t="shared" si="29"/>
        <v/>
      </c>
      <c r="AI509" t="str">
        <f>IF(AH509="","",MAX($AF$1:$AF509))</f>
        <v/>
      </c>
      <c r="AJ509" t="str">
        <f t="shared" si="30"/>
        <v/>
      </c>
      <c r="AK509" t="str">
        <f>IF(AJ509="","",MAX($AF$1:$AF509))</f>
        <v/>
      </c>
      <c r="AL509" t="str">
        <f t="shared" si="31"/>
        <v/>
      </c>
      <c r="AM509" t="str">
        <f>IF(AL509="","",MAX($AF$1:$AF509))</f>
        <v/>
      </c>
    </row>
    <row r="510" spans="1:39" ht="13.5" customHeight="1" x14ac:dyDescent="0.3">
      <c r="A510" s="8" t="s">
        <v>223</v>
      </c>
      <c r="B510" s="9"/>
      <c r="C510" s="10">
        <v>7</v>
      </c>
      <c r="D510" s="11"/>
      <c r="AB510" t="str" cm="1">
        <f t="array" ref="AB510:AC510">_xlfn._xlws.FILTER(A510:Z510,A510:Z510&lt;&gt;"","")</f>
        <v>通</v>
      </c>
      <c r="AC510">
        <v>7</v>
      </c>
      <c r="AD510" t="str">
        <v/>
      </c>
      <c r="AE510" t="str">
        <v/>
      </c>
      <c r="AF510" t="str" cm="1">
        <f t="array" ref="AF510">IF(AD510="","",SUMPRODUCT(IF(LEFT($AD$1:AD510,2)="JS",1,0)))</f>
        <v/>
      </c>
      <c r="AG510" t="b">
        <f t="shared" si="28"/>
        <v>1</v>
      </c>
      <c r="AH510" t="str">
        <f t="shared" si="29"/>
        <v/>
      </c>
      <c r="AI510" t="str">
        <f>IF(AH510="","",MAX($AF$1:$AF510))</f>
        <v/>
      </c>
      <c r="AJ510" t="str">
        <f t="shared" si="30"/>
        <v>通</v>
      </c>
      <c r="AK510">
        <f>IF(AJ510="","",MAX($AF$1:$AF510))</f>
        <v>10</v>
      </c>
      <c r="AL510" t="str">
        <f t="shared" si="31"/>
        <v/>
      </c>
      <c r="AM510" t="str">
        <f>IF(AL510="","",MAX($AF$1:$AF510))</f>
        <v/>
      </c>
    </row>
    <row r="511" spans="1:39" ht="13.5" customHeight="1" x14ac:dyDescent="0.3">
      <c r="A511" s="8" t="s">
        <v>14</v>
      </c>
      <c r="B511" s="9"/>
      <c r="C511" s="10">
        <v>7</v>
      </c>
      <c r="D511" s="11"/>
      <c r="AB511" t="str" cm="1">
        <f t="array" ref="AB511:AC511">_xlfn._xlws.FILTER(A511:Z511,A511:Z511&lt;&gt;"","")</f>
        <v>Literature in English</v>
      </c>
      <c r="AC511">
        <v>7</v>
      </c>
      <c r="AD511" t="str">
        <v/>
      </c>
      <c r="AE511" t="str">
        <v/>
      </c>
      <c r="AF511" t="str" cm="1">
        <f t="array" ref="AF511">IF(AD511="","",SUMPRODUCT(IF(LEFT($AD$1:AD511,2)="JS",1,0)))</f>
        <v/>
      </c>
      <c r="AG511" t="str">
        <f t="shared" si="28"/>
        <v/>
      </c>
      <c r="AH511" t="str">
        <f t="shared" si="29"/>
        <v/>
      </c>
      <c r="AI511" t="str">
        <f>IF(AH511="","",MAX($AF$1:$AF511))</f>
        <v/>
      </c>
      <c r="AJ511" t="str">
        <f t="shared" si="30"/>
        <v/>
      </c>
      <c r="AK511" t="str">
        <f>IF(AJ511="","",MAX($AF$1:$AF511))</f>
        <v/>
      </c>
      <c r="AL511" t="str">
        <f t="shared" si="31"/>
        <v/>
      </c>
      <c r="AM511" t="str">
        <f>IF(AL511="","",MAX($AF$1:$AF511))</f>
        <v/>
      </c>
    </row>
    <row r="512" spans="1:39" ht="13.5" customHeight="1" x14ac:dyDescent="0.3">
      <c r="A512" s="8" t="s">
        <v>224</v>
      </c>
      <c r="B512" s="9"/>
      <c r="C512" s="10">
        <v>10</v>
      </c>
      <c r="D512" s="11"/>
      <c r="AB512" t="str" cm="1">
        <f t="array" ref="AB512:AC512">_xlfn._xlws.FILTER(A512:Z512,A512:Z512&lt;&gt;"","")</f>
        <v>MATH</v>
      </c>
      <c r="AC512">
        <v>10</v>
      </c>
      <c r="AD512" t="str">
        <v/>
      </c>
      <c r="AE512" t="str">
        <v/>
      </c>
      <c r="AF512" t="str" cm="1">
        <f t="array" ref="AF512">IF(AD512="","",SUMPRODUCT(IF(LEFT($AD$1:AD512,2)="JS",1,0)))</f>
        <v/>
      </c>
      <c r="AG512" t="b">
        <f t="shared" si="28"/>
        <v>1</v>
      </c>
      <c r="AH512" t="str">
        <f t="shared" si="29"/>
        <v>MATH</v>
      </c>
      <c r="AI512">
        <f>IF(AH512="","",MAX($AF$1:$AF512))</f>
        <v>10</v>
      </c>
      <c r="AJ512" t="str">
        <f t="shared" si="30"/>
        <v/>
      </c>
      <c r="AK512" t="str">
        <f>IF(AJ512="","",MAX($AF$1:$AF512))</f>
        <v/>
      </c>
      <c r="AL512" t="str">
        <f t="shared" si="31"/>
        <v/>
      </c>
      <c r="AM512" t="str">
        <f>IF(AL512="","",MAX($AF$1:$AF512))</f>
        <v/>
      </c>
    </row>
    <row r="513" spans="1:39" ht="13.5" customHeight="1" x14ac:dyDescent="0.3">
      <c r="A513" s="8" t="s">
        <v>225</v>
      </c>
      <c r="B513" s="9"/>
      <c r="C513" s="10">
        <v>10</v>
      </c>
      <c r="D513" s="11"/>
      <c r="AB513" t="str" cm="1">
        <f t="array" ref="AB513:AC513">_xlfn._xlws.FILTER(A513:Z513,A513:Z513&lt;&gt;"","")</f>
        <v>M2</v>
      </c>
      <c r="AC513">
        <v>10</v>
      </c>
      <c r="AD513" t="str">
        <v/>
      </c>
      <c r="AE513" t="str">
        <v/>
      </c>
      <c r="AF513" t="str" cm="1">
        <f t="array" ref="AF513">IF(AD513="","",SUMPRODUCT(IF(LEFT($AD$1:AD513,2)="JS",1,0)))</f>
        <v/>
      </c>
      <c r="AG513" t="b">
        <f t="shared" ref="AG513:AG576" si="32">IF(ISNUMBER(MATCH(AB513,$AV$3:$AV$18,0)),TRUE,"")</f>
        <v>1</v>
      </c>
      <c r="AH513" t="str">
        <f t="shared" si="29"/>
        <v>M2</v>
      </c>
      <c r="AI513">
        <f>IF(AH513="","",MAX($AF$1:$AF513))</f>
        <v>10</v>
      </c>
      <c r="AJ513" t="str">
        <f t="shared" si="30"/>
        <v/>
      </c>
      <c r="AK513" t="str">
        <f>IF(AJ513="","",MAX($AF$1:$AF513))</f>
        <v/>
      </c>
      <c r="AL513" t="str">
        <f t="shared" si="31"/>
        <v/>
      </c>
      <c r="AM513" t="str">
        <f>IF(AL513="","",MAX($AF$1:$AF513))</f>
        <v/>
      </c>
    </row>
    <row r="514" spans="1:39" ht="13.5" customHeight="1" x14ac:dyDescent="0.3">
      <c r="A514" s="8" t="s">
        <v>15</v>
      </c>
      <c r="B514" s="9"/>
      <c r="C514" s="10">
        <v>10</v>
      </c>
      <c r="D514" s="11"/>
      <c r="AB514" t="str" cm="1">
        <f t="array" ref="AB514:AC514">_xlfn._xlws.FILTER(A514:Z514,A514:Z514&lt;&gt;"","")</f>
        <v>Mathematics (Extended part - Calculus and Statistics)</v>
      </c>
      <c r="AC514">
        <v>10</v>
      </c>
      <c r="AD514" t="str">
        <v/>
      </c>
      <c r="AE514" t="str">
        <v/>
      </c>
      <c r="AF514" t="str" cm="1">
        <f t="array" ref="AF514">IF(AD514="","",SUMPRODUCT(IF(LEFT($AD$1:AD514,2)="JS",1,0)))</f>
        <v/>
      </c>
      <c r="AG514" t="str">
        <f t="shared" si="32"/>
        <v/>
      </c>
      <c r="AH514" t="str">
        <f t="shared" ref="AH514:AH577" si="33">IF(AND(AC514=10,AG514=TRUE),AB514,"")</f>
        <v/>
      </c>
      <c r="AI514" t="str">
        <f>IF(AH514="","",MAX($AF$1:$AF514))</f>
        <v/>
      </c>
      <c r="AJ514" t="str">
        <f t="shared" ref="AJ514:AJ577" si="34">IF(AND(AC514=7,AG514=TRUE),AB514,"")</f>
        <v/>
      </c>
      <c r="AK514" t="str">
        <f>IF(AJ514="","",MAX($AF$1:$AF514))</f>
        <v/>
      </c>
      <c r="AL514" t="str">
        <f t="shared" ref="AL514:AL577" si="35">IF(AND(AC514=5,AG514=TRUE),AB514,"")</f>
        <v/>
      </c>
      <c r="AM514" t="str">
        <f>IF(AL514="","",MAX($AF$1:$AF514))</f>
        <v/>
      </c>
    </row>
    <row r="515" spans="1:39" ht="13.5" customHeight="1" x14ac:dyDescent="0.3">
      <c r="A515" s="8" t="s">
        <v>16</v>
      </c>
      <c r="B515" s="9"/>
      <c r="C515" s="10">
        <v>7</v>
      </c>
      <c r="D515" s="11"/>
      <c r="AB515" t="str" cm="1">
        <f t="array" ref="AB515:AC515">_xlfn._xlws.FILTER(A515:Z515,A515:Z515&lt;&gt;"","")</f>
        <v>Music</v>
      </c>
      <c r="AC515">
        <v>7</v>
      </c>
      <c r="AD515" t="str">
        <v/>
      </c>
      <c r="AE515" t="str">
        <v/>
      </c>
      <c r="AF515" t="str" cm="1">
        <f t="array" ref="AF515">IF(AD515="","",SUMPRODUCT(IF(LEFT($AD$1:AD515,2)="JS",1,0)))</f>
        <v/>
      </c>
      <c r="AG515" t="str">
        <f t="shared" si="32"/>
        <v/>
      </c>
      <c r="AH515" t="str">
        <f t="shared" si="33"/>
        <v/>
      </c>
      <c r="AI515" t="str">
        <f>IF(AH515="","",MAX($AF$1:$AF515))</f>
        <v/>
      </c>
      <c r="AJ515" t="str">
        <f t="shared" si="34"/>
        <v/>
      </c>
      <c r="AK515" t="str">
        <f>IF(AJ515="","",MAX($AF$1:$AF515))</f>
        <v/>
      </c>
      <c r="AL515" t="str">
        <f t="shared" si="35"/>
        <v/>
      </c>
      <c r="AM515" t="str">
        <f>IF(AL515="","",MAX($AF$1:$AF515))</f>
        <v/>
      </c>
    </row>
    <row r="516" spans="1:39" ht="13.5" customHeight="1" x14ac:dyDescent="0.3">
      <c r="A516" s="8" t="s">
        <v>17</v>
      </c>
      <c r="B516" s="9"/>
      <c r="C516" s="10">
        <v>7</v>
      </c>
      <c r="D516" s="11"/>
      <c r="AB516" t="str" cm="1">
        <f t="array" ref="AB516:AC516">_xlfn._xlws.FILTER(A516:Z516,A516:Z516&lt;&gt;"","")</f>
        <v>Physical Education</v>
      </c>
      <c r="AC516">
        <v>7</v>
      </c>
      <c r="AD516" t="str">
        <v/>
      </c>
      <c r="AE516" t="str">
        <v/>
      </c>
      <c r="AF516" t="str" cm="1">
        <f t="array" ref="AF516">IF(AD516="","",SUMPRODUCT(IF(LEFT($AD$1:AD516,2)="JS",1,0)))</f>
        <v/>
      </c>
      <c r="AG516" t="str">
        <f t="shared" si="32"/>
        <v/>
      </c>
      <c r="AH516" t="str">
        <f t="shared" si="33"/>
        <v/>
      </c>
      <c r="AI516" t="str">
        <f>IF(AH516="","",MAX($AF$1:$AF516))</f>
        <v/>
      </c>
      <c r="AJ516" t="str">
        <f t="shared" si="34"/>
        <v/>
      </c>
      <c r="AK516" t="str">
        <f>IF(AJ516="","",MAX($AF$1:$AF516))</f>
        <v/>
      </c>
      <c r="AL516" t="str">
        <f t="shared" si="35"/>
        <v/>
      </c>
      <c r="AM516" t="str">
        <f>IF(AL516="","",MAX($AF$1:$AF516))</f>
        <v/>
      </c>
    </row>
    <row r="517" spans="1:39" ht="13.5" customHeight="1" x14ac:dyDescent="0.3">
      <c r="A517" s="8" t="s">
        <v>226</v>
      </c>
      <c r="B517" s="9"/>
      <c r="C517" s="10">
        <v>10</v>
      </c>
      <c r="D517" s="11"/>
      <c r="AB517" t="str" cm="1">
        <f t="array" ref="AB517:AC517">_xlfn._xlws.FILTER(A517:Z517,A517:Z517&lt;&gt;"","")</f>
        <v>PHY</v>
      </c>
      <c r="AC517">
        <v>10</v>
      </c>
      <c r="AD517" t="str">
        <v/>
      </c>
      <c r="AE517" t="str">
        <v/>
      </c>
      <c r="AF517" t="str" cm="1">
        <f t="array" ref="AF517">IF(AD517="","",SUMPRODUCT(IF(LEFT($AD$1:AD517,2)="JS",1,0)))</f>
        <v/>
      </c>
      <c r="AG517" t="b">
        <f t="shared" si="32"/>
        <v>1</v>
      </c>
      <c r="AH517" t="str">
        <f t="shared" si="33"/>
        <v>PHY</v>
      </c>
      <c r="AI517">
        <f>IF(AH517="","",MAX($AF$1:$AF517))</f>
        <v>10</v>
      </c>
      <c r="AJ517" t="str">
        <f t="shared" si="34"/>
        <v/>
      </c>
      <c r="AK517" t="str">
        <f>IF(AJ517="","",MAX($AF$1:$AF517))</f>
        <v/>
      </c>
      <c r="AL517" t="str">
        <f t="shared" si="35"/>
        <v/>
      </c>
      <c r="AM517" t="str">
        <f>IF(AL517="","",MAX($AF$1:$AF517))</f>
        <v/>
      </c>
    </row>
    <row r="518" spans="1:39" ht="13.5" customHeight="1" x14ac:dyDescent="0.3">
      <c r="A518" s="8" t="s">
        <v>18</v>
      </c>
      <c r="B518" s="9"/>
      <c r="C518" s="10">
        <v>7</v>
      </c>
      <c r="D518" s="11"/>
      <c r="AB518" t="str" cm="1">
        <f t="array" ref="AB518:AC518">_xlfn._xlws.FILTER(A518:Z518,A518:Z518&lt;&gt;"","")</f>
        <v>Technology and Living (Fashion, Clothing and Textiles)</v>
      </c>
      <c r="AC518">
        <v>7</v>
      </c>
      <c r="AD518" t="str">
        <v/>
      </c>
      <c r="AE518" t="str">
        <v/>
      </c>
      <c r="AF518" t="str" cm="1">
        <f t="array" ref="AF518">IF(AD518="","",SUMPRODUCT(IF(LEFT($AD$1:AD518,2)="JS",1,0)))</f>
        <v/>
      </c>
      <c r="AG518" t="str">
        <f t="shared" si="32"/>
        <v/>
      </c>
      <c r="AH518" t="str">
        <f t="shared" si="33"/>
        <v/>
      </c>
      <c r="AI518" t="str">
        <f>IF(AH518="","",MAX($AF$1:$AF518))</f>
        <v/>
      </c>
      <c r="AJ518" t="str">
        <f t="shared" si="34"/>
        <v/>
      </c>
      <c r="AK518" t="str">
        <f>IF(AJ518="","",MAX($AF$1:$AF518))</f>
        <v/>
      </c>
      <c r="AL518" t="str">
        <f t="shared" si="35"/>
        <v/>
      </c>
      <c r="AM518" t="str">
        <f>IF(AL518="","",MAX($AF$1:$AF518))</f>
        <v/>
      </c>
    </row>
    <row r="519" spans="1:39" ht="13.5" customHeight="1" x14ac:dyDescent="0.3">
      <c r="A519" s="8" t="s">
        <v>19</v>
      </c>
      <c r="B519" s="9"/>
      <c r="C519" s="10">
        <v>7</v>
      </c>
      <c r="D519" s="11"/>
      <c r="AB519" t="str" cm="1">
        <f t="array" ref="AB519:AC519">_xlfn._xlws.FILTER(A519:Z519,A519:Z519&lt;&gt;"","")</f>
        <v>Technology and Living (Food Science and Technology)</v>
      </c>
      <c r="AC519">
        <v>7</v>
      </c>
      <c r="AD519" t="str">
        <v/>
      </c>
      <c r="AE519" t="str">
        <v/>
      </c>
      <c r="AF519" t="str" cm="1">
        <f t="array" ref="AF519">IF(AD519="","",SUMPRODUCT(IF(LEFT($AD$1:AD519,2)="JS",1,0)))</f>
        <v/>
      </c>
      <c r="AG519" t="str">
        <f t="shared" si="32"/>
        <v/>
      </c>
      <c r="AH519" t="str">
        <f t="shared" si="33"/>
        <v/>
      </c>
      <c r="AI519" t="str">
        <f>IF(AH519="","",MAX($AF$1:$AF519))</f>
        <v/>
      </c>
      <c r="AJ519" t="str">
        <f t="shared" si="34"/>
        <v/>
      </c>
      <c r="AK519" t="str">
        <f>IF(AJ519="","",MAX($AF$1:$AF519))</f>
        <v/>
      </c>
      <c r="AL519" t="str">
        <f t="shared" si="35"/>
        <v/>
      </c>
      <c r="AM519" t="str">
        <f>IF(AL519="","",MAX($AF$1:$AF519))</f>
        <v/>
      </c>
    </row>
    <row r="520" spans="1:39" ht="13.5" customHeight="1" x14ac:dyDescent="0.3">
      <c r="A520" s="8" t="s">
        <v>20</v>
      </c>
      <c r="B520" s="9"/>
      <c r="C520" s="10">
        <v>7</v>
      </c>
      <c r="D520" s="11"/>
      <c r="AB520" t="str" cm="1">
        <f t="array" ref="AB520:AC520">_xlfn._xlws.FILTER(A520:Z520,A520:Z520&lt;&gt;"","")</f>
        <v>Tourism and Hospitality Studies</v>
      </c>
      <c r="AC520">
        <v>7</v>
      </c>
      <c r="AD520" t="str">
        <v/>
      </c>
      <c r="AE520" t="str">
        <v/>
      </c>
      <c r="AF520" t="str" cm="1">
        <f t="array" ref="AF520">IF(AD520="","",SUMPRODUCT(IF(LEFT($AD$1:AD520,2)="JS",1,0)))</f>
        <v/>
      </c>
      <c r="AG520" t="str">
        <f t="shared" si="32"/>
        <v/>
      </c>
      <c r="AH520" t="str">
        <f t="shared" si="33"/>
        <v/>
      </c>
      <c r="AI520" t="str">
        <f>IF(AH520="","",MAX($AF$1:$AF520))</f>
        <v/>
      </c>
      <c r="AJ520" t="str">
        <f t="shared" si="34"/>
        <v/>
      </c>
      <c r="AK520" t="str">
        <f>IF(AJ520="","",MAX($AF$1:$AF520))</f>
        <v/>
      </c>
      <c r="AL520" t="str">
        <f t="shared" si="35"/>
        <v/>
      </c>
      <c r="AM520" t="str">
        <f>IF(AL520="","",MAX($AF$1:$AF520))</f>
        <v/>
      </c>
    </row>
    <row r="521" spans="1:39" ht="13.5" customHeight="1" x14ac:dyDescent="0.3">
      <c r="A521" s="8" t="s">
        <v>210</v>
      </c>
      <c r="B521" s="9"/>
      <c r="C521" s="10">
        <v>7</v>
      </c>
      <c r="D521" s="11"/>
      <c r="AB521" t="str" cm="1">
        <f t="array" ref="AB521:AC521">_xlfn._xlws.FILTER(A521:Z521,A521:Z521&lt;&gt;"","")</f>
        <v>VA</v>
      </c>
      <c r="AC521">
        <v>7</v>
      </c>
      <c r="AD521" t="str">
        <v/>
      </c>
      <c r="AE521" t="str">
        <v/>
      </c>
      <c r="AF521" t="str" cm="1">
        <f t="array" ref="AF521">IF(AD521="","",SUMPRODUCT(IF(LEFT($AD$1:AD521,2)="JS",1,0)))</f>
        <v/>
      </c>
      <c r="AG521" t="b">
        <f t="shared" si="32"/>
        <v>1</v>
      </c>
      <c r="AH521" t="str">
        <f t="shared" si="33"/>
        <v/>
      </c>
      <c r="AI521" t="str">
        <f>IF(AH521="","",MAX($AF$1:$AF521))</f>
        <v/>
      </c>
      <c r="AJ521" t="str">
        <f t="shared" si="34"/>
        <v>VA</v>
      </c>
      <c r="AK521">
        <f>IF(AJ521="","",MAX($AF$1:$AF521))</f>
        <v>10</v>
      </c>
      <c r="AL521" t="str">
        <f t="shared" si="35"/>
        <v/>
      </c>
      <c r="AM521" t="str">
        <f>IF(AL521="","",MAX($AF$1:$AF521))</f>
        <v/>
      </c>
    </row>
    <row r="522" spans="1:39" ht="14.5" customHeight="1" x14ac:dyDescent="0.3">
      <c r="A522" s="12"/>
      <c r="B522" s="12"/>
      <c r="C522" s="2"/>
      <c r="D522" s="2"/>
      <c r="AB522" t="str" cm="1">
        <f t="array" ref="AB522">_xlfn._xlws.FILTER(A522:Z522,A522:Z522&lt;&gt;"","")</f>
        <v/>
      </c>
      <c r="AD522" t="str">
        <v/>
      </c>
      <c r="AE522" t="str">
        <v/>
      </c>
      <c r="AF522" t="str" cm="1">
        <f t="array" ref="AF522">IF(AD522="","",SUMPRODUCT(IF(LEFT($AD$1:AD522,2)="JS",1,0)))</f>
        <v/>
      </c>
      <c r="AG522" t="str">
        <f t="shared" si="32"/>
        <v/>
      </c>
      <c r="AH522" t="str">
        <f t="shared" si="33"/>
        <v/>
      </c>
      <c r="AI522" t="str">
        <f>IF(AH522="","",MAX($AF$1:$AF522))</f>
        <v/>
      </c>
      <c r="AJ522" t="str">
        <f t="shared" si="34"/>
        <v/>
      </c>
      <c r="AK522" t="str">
        <f>IF(AJ522="","",MAX($AF$1:$AF522))</f>
        <v/>
      </c>
      <c r="AL522" t="str">
        <f t="shared" si="35"/>
        <v/>
      </c>
      <c r="AM522" t="str">
        <f>IF(AL522="","",MAX($AF$1:$AF522))</f>
        <v/>
      </c>
    </row>
    <row r="523" spans="1:39" ht="13.5" customHeight="1" x14ac:dyDescent="0.3">
      <c r="A523" s="13" t="s">
        <v>34</v>
      </c>
      <c r="B523" s="13"/>
      <c r="C523" s="13"/>
      <c r="D523" s="13"/>
      <c r="AB523" t="str" cm="1">
        <f t="array" ref="AB523">_xlfn._xlws.FILTER(A523:Z523,A523:Z523&lt;&gt;"","")</f>
        <v>Category C: Other Language Subjects</v>
      </c>
      <c r="AD523" t="str">
        <v/>
      </c>
      <c r="AE523" t="str">
        <v/>
      </c>
      <c r="AF523" t="str" cm="1">
        <f t="array" ref="AF523">IF(AD523="","",SUMPRODUCT(IF(LEFT($AD$1:AD523,2)="JS",1,0)))</f>
        <v/>
      </c>
      <c r="AG523" t="str">
        <f t="shared" si="32"/>
        <v/>
      </c>
      <c r="AH523" t="str">
        <f t="shared" si="33"/>
        <v/>
      </c>
      <c r="AI523" t="str">
        <f>IF(AH523="","",MAX($AF$1:$AF523))</f>
        <v/>
      </c>
      <c r="AJ523" t="str">
        <f t="shared" si="34"/>
        <v/>
      </c>
      <c r="AK523" t="str">
        <f>IF(AJ523="","",MAX($AF$1:$AF523))</f>
        <v/>
      </c>
      <c r="AL523" t="str">
        <f t="shared" si="35"/>
        <v/>
      </c>
      <c r="AM523" t="str">
        <f>IF(AL523="","",MAX($AF$1:$AF523))</f>
        <v/>
      </c>
    </row>
    <row r="524" spans="1:39" ht="13.5" customHeight="1" x14ac:dyDescent="0.3">
      <c r="A524" s="14" t="s">
        <v>3</v>
      </c>
      <c r="B524" s="15"/>
      <c r="C524" s="16" t="s">
        <v>4</v>
      </c>
      <c r="D524" s="17"/>
      <c r="AB524" t="str" cm="1">
        <f t="array" ref="AB524:AC524">_xlfn._xlws.FILTER(A524:Z524,A524:Z524&lt;&gt;"","")</f>
        <v>Subject Name</v>
      </c>
      <c r="AC524" t="str">
        <v>Subject Weighting for 2023/24 Admission Exercise *</v>
      </c>
      <c r="AD524" t="str">
        <v/>
      </c>
      <c r="AE524" t="str">
        <v/>
      </c>
      <c r="AF524" t="str" cm="1">
        <f t="array" ref="AF524">IF(AD524="","",SUMPRODUCT(IF(LEFT($AD$1:AD524,2)="JS",1,0)))</f>
        <v/>
      </c>
      <c r="AG524" t="str">
        <f t="shared" si="32"/>
        <v/>
      </c>
      <c r="AH524" t="str">
        <f t="shared" si="33"/>
        <v/>
      </c>
      <c r="AI524" t="str">
        <f>IF(AH524="","",MAX($AF$1:$AF524))</f>
        <v/>
      </c>
      <c r="AJ524" t="str">
        <f t="shared" si="34"/>
        <v/>
      </c>
      <c r="AK524" t="str">
        <f>IF(AJ524="","",MAX($AF$1:$AF524))</f>
        <v/>
      </c>
      <c r="AL524" t="str">
        <f t="shared" si="35"/>
        <v/>
      </c>
      <c r="AM524" t="str">
        <f>IF(AL524="","",MAX($AF$1:$AF524))</f>
        <v/>
      </c>
    </row>
    <row r="525" spans="1:39" ht="13.5" customHeight="1" x14ac:dyDescent="0.3">
      <c r="A525" s="8" t="s">
        <v>35</v>
      </c>
      <c r="B525" s="9"/>
      <c r="C525" s="10">
        <v>5</v>
      </c>
      <c r="D525" s="11"/>
      <c r="AB525" t="str" cm="1">
        <f t="array" ref="AB525:AC525">_xlfn._xlws.FILTER(A525:Z525,A525:Z525&lt;&gt;"","")</f>
        <v>French</v>
      </c>
      <c r="AC525">
        <v>5</v>
      </c>
      <c r="AD525" t="str">
        <v/>
      </c>
      <c r="AE525" t="str">
        <v/>
      </c>
      <c r="AF525" t="str" cm="1">
        <f t="array" ref="AF525">IF(AD525="","",SUMPRODUCT(IF(LEFT($AD$1:AD525,2)="JS",1,0)))</f>
        <v/>
      </c>
      <c r="AG525" t="str">
        <f t="shared" si="32"/>
        <v/>
      </c>
      <c r="AH525" t="str">
        <f t="shared" si="33"/>
        <v/>
      </c>
      <c r="AI525" t="str">
        <f>IF(AH525="","",MAX($AF$1:$AF525))</f>
        <v/>
      </c>
      <c r="AJ525" t="str">
        <f t="shared" si="34"/>
        <v/>
      </c>
      <c r="AK525" t="str">
        <f>IF(AJ525="","",MAX($AF$1:$AF525))</f>
        <v/>
      </c>
      <c r="AL525" t="str">
        <f t="shared" si="35"/>
        <v/>
      </c>
      <c r="AM525" t="str">
        <f>IF(AL525="","",MAX($AF$1:$AF525))</f>
        <v/>
      </c>
    </row>
    <row r="526" spans="1:39" ht="13.5" customHeight="1" x14ac:dyDescent="0.3">
      <c r="A526" s="8" t="s">
        <v>36</v>
      </c>
      <c r="B526" s="9"/>
      <c r="C526" s="10">
        <v>5</v>
      </c>
      <c r="D526" s="11"/>
      <c r="AB526" t="str" cm="1">
        <f t="array" ref="AB526:AC526">_xlfn._xlws.FILTER(A526:Z526,A526:Z526&lt;&gt;"","")</f>
        <v>German</v>
      </c>
      <c r="AC526">
        <v>5</v>
      </c>
      <c r="AD526" t="str">
        <v/>
      </c>
      <c r="AE526" t="str">
        <v/>
      </c>
      <c r="AF526" t="str" cm="1">
        <f t="array" ref="AF526">IF(AD526="","",SUMPRODUCT(IF(LEFT($AD$1:AD526,2)="JS",1,0)))</f>
        <v/>
      </c>
      <c r="AG526" t="str">
        <f t="shared" si="32"/>
        <v/>
      </c>
      <c r="AH526" t="str">
        <f t="shared" si="33"/>
        <v/>
      </c>
      <c r="AI526" t="str">
        <f>IF(AH526="","",MAX($AF$1:$AF526))</f>
        <v/>
      </c>
      <c r="AJ526" t="str">
        <f t="shared" si="34"/>
        <v/>
      </c>
      <c r="AK526" t="str">
        <f>IF(AJ526="","",MAX($AF$1:$AF526))</f>
        <v/>
      </c>
      <c r="AL526" t="str">
        <f t="shared" si="35"/>
        <v/>
      </c>
      <c r="AM526" t="str">
        <f>IF(AL526="","",MAX($AF$1:$AF526))</f>
        <v/>
      </c>
    </row>
    <row r="527" spans="1:39" ht="13.5" customHeight="1" x14ac:dyDescent="0.3">
      <c r="A527" s="8" t="s">
        <v>37</v>
      </c>
      <c r="B527" s="9"/>
      <c r="C527" s="10">
        <v>5</v>
      </c>
      <c r="D527" s="11"/>
      <c r="AB527" t="str" cm="1">
        <f t="array" ref="AB527:AC527">_xlfn._xlws.FILTER(A527:Z527,A527:Z527&lt;&gt;"","")</f>
        <v>Hindi</v>
      </c>
      <c r="AC527">
        <v>5</v>
      </c>
      <c r="AD527" t="str">
        <v/>
      </c>
      <c r="AE527" t="str">
        <v/>
      </c>
      <c r="AF527" t="str" cm="1">
        <f t="array" ref="AF527">IF(AD527="","",SUMPRODUCT(IF(LEFT($AD$1:AD527,2)="JS",1,0)))</f>
        <v/>
      </c>
      <c r="AG527" t="str">
        <f t="shared" si="32"/>
        <v/>
      </c>
      <c r="AH527" t="str">
        <f t="shared" si="33"/>
        <v/>
      </c>
      <c r="AI527" t="str">
        <f>IF(AH527="","",MAX($AF$1:$AF527))</f>
        <v/>
      </c>
      <c r="AJ527" t="str">
        <f t="shared" si="34"/>
        <v/>
      </c>
      <c r="AK527" t="str">
        <f>IF(AJ527="","",MAX($AF$1:$AF527))</f>
        <v/>
      </c>
      <c r="AL527" t="str">
        <f t="shared" si="35"/>
        <v/>
      </c>
      <c r="AM527" t="str">
        <f>IF(AL527="","",MAX($AF$1:$AF527))</f>
        <v/>
      </c>
    </row>
    <row r="528" spans="1:39" ht="13.5" customHeight="1" x14ac:dyDescent="0.3">
      <c r="A528" s="8" t="s">
        <v>38</v>
      </c>
      <c r="B528" s="9"/>
      <c r="C528" s="10">
        <v>5</v>
      </c>
      <c r="D528" s="11"/>
      <c r="AB528" t="str" cm="1">
        <f t="array" ref="AB528:AC528">_xlfn._xlws.FILTER(A528:Z528,A528:Z528&lt;&gt;"","")</f>
        <v>Japanese</v>
      </c>
      <c r="AC528">
        <v>5</v>
      </c>
      <c r="AD528" t="str">
        <v/>
      </c>
      <c r="AE528" t="str">
        <v/>
      </c>
      <c r="AF528" t="str" cm="1">
        <f t="array" ref="AF528">IF(AD528="","",SUMPRODUCT(IF(LEFT($AD$1:AD528,2)="JS",1,0)))</f>
        <v/>
      </c>
      <c r="AG528" t="str">
        <f t="shared" si="32"/>
        <v/>
      </c>
      <c r="AH528" t="str">
        <f t="shared" si="33"/>
        <v/>
      </c>
      <c r="AI528" t="str">
        <f>IF(AH528="","",MAX($AF$1:$AF528))</f>
        <v/>
      </c>
      <c r="AJ528" t="str">
        <f t="shared" si="34"/>
        <v/>
      </c>
      <c r="AK528" t="str">
        <f>IF(AJ528="","",MAX($AF$1:$AF528))</f>
        <v/>
      </c>
      <c r="AL528" t="str">
        <f t="shared" si="35"/>
        <v/>
      </c>
      <c r="AM528" t="str">
        <f>IF(AL528="","",MAX($AF$1:$AF528))</f>
        <v/>
      </c>
    </row>
    <row r="529" spans="1:39" ht="13.5" customHeight="1" x14ac:dyDescent="0.3">
      <c r="A529" s="8" t="s">
        <v>39</v>
      </c>
      <c r="B529" s="9"/>
      <c r="C529" s="10">
        <v>5</v>
      </c>
      <c r="D529" s="11"/>
      <c r="AB529" t="str" cm="1">
        <f t="array" ref="AB529:AC529">_xlfn._xlws.FILTER(A529:Z529,A529:Z529&lt;&gt;"","")</f>
        <v>Spanish</v>
      </c>
      <c r="AC529">
        <v>5</v>
      </c>
      <c r="AD529" t="str">
        <v/>
      </c>
      <c r="AE529" t="str">
        <v/>
      </c>
      <c r="AF529" t="str" cm="1">
        <f t="array" ref="AF529">IF(AD529="","",SUMPRODUCT(IF(LEFT($AD$1:AD529,2)="JS",1,0)))</f>
        <v/>
      </c>
      <c r="AG529" t="str">
        <f t="shared" si="32"/>
        <v/>
      </c>
      <c r="AH529" t="str">
        <f t="shared" si="33"/>
        <v/>
      </c>
      <c r="AI529" t="str">
        <f>IF(AH529="","",MAX($AF$1:$AF529))</f>
        <v/>
      </c>
      <c r="AJ529" t="str">
        <f t="shared" si="34"/>
        <v/>
      </c>
      <c r="AK529" t="str">
        <f>IF(AJ529="","",MAX($AF$1:$AF529))</f>
        <v/>
      </c>
      <c r="AL529" t="str">
        <f t="shared" si="35"/>
        <v/>
      </c>
      <c r="AM529" t="str">
        <f>IF(AL529="","",MAX($AF$1:$AF529))</f>
        <v/>
      </c>
    </row>
    <row r="530" spans="1:39" ht="13.5" customHeight="1" x14ac:dyDescent="0.3">
      <c r="A530" s="8" t="s">
        <v>40</v>
      </c>
      <c r="B530" s="9"/>
      <c r="C530" s="10">
        <v>5</v>
      </c>
      <c r="D530" s="11"/>
      <c r="AB530" t="str" cm="1">
        <f t="array" ref="AB530:AC530">_xlfn._xlws.FILTER(A530:Z530,A530:Z530&lt;&gt;"","")</f>
        <v>Urdu</v>
      </c>
      <c r="AC530">
        <v>5</v>
      </c>
      <c r="AD530" t="str">
        <v/>
      </c>
      <c r="AE530" t="str">
        <v/>
      </c>
      <c r="AF530" t="str" cm="1">
        <f t="array" ref="AF530">IF(AD530="","",SUMPRODUCT(IF(LEFT($AD$1:AD530,2)="JS",1,0)))</f>
        <v/>
      </c>
      <c r="AG530" t="str">
        <f t="shared" si="32"/>
        <v/>
      </c>
      <c r="AH530" t="str">
        <f t="shared" si="33"/>
        <v/>
      </c>
      <c r="AI530" t="str">
        <f>IF(AH530="","",MAX($AF$1:$AF530))</f>
        <v/>
      </c>
      <c r="AJ530" t="str">
        <f t="shared" si="34"/>
        <v/>
      </c>
      <c r="AK530" t="str">
        <f>IF(AJ530="","",MAX($AF$1:$AF530))</f>
        <v/>
      </c>
      <c r="AL530" t="str">
        <f t="shared" si="35"/>
        <v/>
      </c>
      <c r="AM530" t="str">
        <f>IF(AL530="","",MAX($AF$1:$AF530))</f>
        <v/>
      </c>
    </row>
    <row r="531" spans="1:39" ht="15" customHeight="1" x14ac:dyDescent="0.3">
      <c r="A531" s="18" t="s">
        <v>99</v>
      </c>
      <c r="B531" s="18"/>
      <c r="C531" s="18"/>
      <c r="D531" s="1"/>
      <c r="AB531" t="str" cm="1">
        <f t="array" ref="AB531">_xlfn._xlws.FILTER(A531:Z531,A531:Z531&lt;&gt;"","")</f>
        <v>JUPAS Code: JS3140</v>
      </c>
      <c r="AD531" t="str">
        <v>JS3140</v>
      </c>
      <c r="AE531" t="str">
        <v/>
      </c>
      <c r="AF531" cm="1">
        <f t="array" ref="AF531">IF(AD531="","",SUMPRODUCT(IF(LEFT($AD$1:AD531,2)="JS",1,0)))</f>
        <v>11</v>
      </c>
      <c r="AG531" t="str">
        <f t="shared" si="32"/>
        <v/>
      </c>
      <c r="AH531" t="str">
        <f t="shared" si="33"/>
        <v/>
      </c>
      <c r="AI531" t="str">
        <f>IF(AH531="","",MAX($AF$1:$AF531))</f>
        <v/>
      </c>
      <c r="AJ531" t="str">
        <f t="shared" si="34"/>
        <v/>
      </c>
      <c r="AK531" t="str">
        <f>IF(AJ531="","",MAX($AF$1:$AF531))</f>
        <v/>
      </c>
      <c r="AL531" t="str">
        <f t="shared" si="35"/>
        <v/>
      </c>
      <c r="AM531" t="str">
        <f>IF(AL531="","",MAX($AF$1:$AF531))</f>
        <v/>
      </c>
    </row>
    <row r="532" spans="1:39" ht="13.5" customHeight="1" x14ac:dyDescent="0.3">
      <c r="A532" s="18" t="s">
        <v>100</v>
      </c>
      <c r="B532" s="18"/>
      <c r="C532" s="18"/>
      <c r="D532" s="1"/>
      <c r="AB532" t="str" cm="1">
        <f t="array" ref="AB532">_xlfn._xlws.FILTER(A532:Z532,A532:Z532&lt;&gt;"","")</f>
        <v>Programme Title: BEng (Hons) Scheme in Aviation Engineering</v>
      </c>
      <c r="AD532" t="str">
        <v/>
      </c>
      <c r="AE532" t="str">
        <v>BEng (Hons) Scheme in Aviation Engineering</v>
      </c>
      <c r="AF532" t="str" cm="1">
        <f t="array" ref="AF532">IF(AD532="","",SUMPRODUCT(IF(LEFT($AD$1:AD532,2)="JS",1,0)))</f>
        <v/>
      </c>
      <c r="AG532" t="str">
        <f t="shared" si="32"/>
        <v/>
      </c>
      <c r="AH532" t="str">
        <f t="shared" si="33"/>
        <v/>
      </c>
      <c r="AI532" t="str">
        <f>IF(AH532="","",MAX($AF$1:$AF532))</f>
        <v/>
      </c>
      <c r="AJ532" t="str">
        <f t="shared" si="34"/>
        <v/>
      </c>
      <c r="AK532" t="str">
        <f>IF(AJ532="","",MAX($AF$1:$AF532))</f>
        <v/>
      </c>
      <c r="AL532" t="str">
        <f t="shared" si="35"/>
        <v/>
      </c>
      <c r="AM532" t="str">
        <f>IF(AL532="","",MAX($AF$1:$AF532))</f>
        <v/>
      </c>
    </row>
    <row r="533" spans="1:39" ht="14.5" customHeight="1" x14ac:dyDescent="0.3">
      <c r="A533" s="12"/>
      <c r="B533" s="12"/>
      <c r="C533" s="2"/>
      <c r="D533" s="2"/>
      <c r="AB533" t="str" cm="1">
        <f t="array" ref="AB533">_xlfn._xlws.FILTER(A533:Z533,A533:Z533&lt;&gt;"","")</f>
        <v/>
      </c>
      <c r="AD533" t="str">
        <v/>
      </c>
      <c r="AE533" t="str">
        <v/>
      </c>
      <c r="AF533" t="str" cm="1">
        <f t="array" ref="AF533">IF(AD533="","",SUMPRODUCT(IF(LEFT($AD$1:AD533,2)="JS",1,0)))</f>
        <v/>
      </c>
      <c r="AG533" t="str">
        <f t="shared" si="32"/>
        <v/>
      </c>
      <c r="AH533" t="str">
        <f t="shared" si="33"/>
        <v/>
      </c>
      <c r="AI533" t="str">
        <f>IF(AH533="","",MAX($AF$1:$AF533))</f>
        <v/>
      </c>
      <c r="AJ533" t="str">
        <f t="shared" si="34"/>
        <v/>
      </c>
      <c r="AK533" t="str">
        <f>IF(AJ533="","",MAX($AF$1:$AF533))</f>
        <v/>
      </c>
      <c r="AL533" t="str">
        <f t="shared" si="35"/>
        <v/>
      </c>
      <c r="AM533" t="str">
        <f>IF(AL533="","",MAX($AF$1:$AF533))</f>
        <v/>
      </c>
    </row>
    <row r="534" spans="1:39" ht="13.5" customHeight="1" x14ac:dyDescent="0.3">
      <c r="A534" s="13" t="s">
        <v>2</v>
      </c>
      <c r="B534" s="13"/>
      <c r="C534" s="13"/>
      <c r="D534" s="13"/>
      <c r="AB534" t="str" cm="1">
        <f t="array" ref="AB534">_xlfn._xlws.FILTER(A534:Z534,A534:Z534&lt;&gt;"","")</f>
        <v>Category A: Core and Elective Subjects</v>
      </c>
      <c r="AD534" t="str">
        <v/>
      </c>
      <c r="AE534" t="str">
        <v/>
      </c>
      <c r="AF534" t="str" cm="1">
        <f t="array" ref="AF534">IF(AD534="","",SUMPRODUCT(IF(LEFT($AD$1:AD534,2)="JS",1,0)))</f>
        <v/>
      </c>
      <c r="AG534" t="str">
        <f t="shared" si="32"/>
        <v/>
      </c>
      <c r="AH534" t="str">
        <f t="shared" si="33"/>
        <v/>
      </c>
      <c r="AI534" t="str">
        <f>IF(AH534="","",MAX($AF$1:$AF534))</f>
        <v/>
      </c>
      <c r="AJ534" t="str">
        <f t="shared" si="34"/>
        <v/>
      </c>
      <c r="AK534" t="str">
        <f>IF(AJ534="","",MAX($AF$1:$AF534))</f>
        <v/>
      </c>
      <c r="AL534" t="str">
        <f t="shared" si="35"/>
        <v/>
      </c>
      <c r="AM534" t="str">
        <f>IF(AL534="","",MAX($AF$1:$AF534))</f>
        <v/>
      </c>
    </row>
    <row r="535" spans="1:39" ht="13.5" customHeight="1" x14ac:dyDescent="0.3">
      <c r="A535" s="14" t="s">
        <v>3</v>
      </c>
      <c r="B535" s="15"/>
      <c r="C535" s="16" t="s">
        <v>4</v>
      </c>
      <c r="D535" s="17"/>
      <c r="AB535" t="str" cm="1">
        <f t="array" ref="AB535:AC535">_xlfn._xlws.FILTER(A535:Z535,A535:Z535&lt;&gt;"","")</f>
        <v>Subject Name</v>
      </c>
      <c r="AC535" t="str">
        <v>Subject Weighting for 2023/24 Admission Exercise *</v>
      </c>
      <c r="AD535" t="str">
        <v/>
      </c>
      <c r="AE535" t="str">
        <v/>
      </c>
      <c r="AF535" t="str" cm="1">
        <f t="array" ref="AF535">IF(AD535="","",SUMPRODUCT(IF(LEFT($AD$1:AD535,2)="JS",1,0)))</f>
        <v/>
      </c>
      <c r="AG535" t="str">
        <f t="shared" si="32"/>
        <v/>
      </c>
      <c r="AH535" t="str">
        <f t="shared" si="33"/>
        <v/>
      </c>
      <c r="AI535" t="str">
        <f>IF(AH535="","",MAX($AF$1:$AF535))</f>
        <v/>
      </c>
      <c r="AJ535" t="str">
        <f t="shared" si="34"/>
        <v/>
      </c>
      <c r="AK535" t="str">
        <f>IF(AJ535="","",MAX($AF$1:$AF535))</f>
        <v/>
      </c>
      <c r="AL535" t="str">
        <f t="shared" si="35"/>
        <v/>
      </c>
      <c r="AM535" t="str">
        <f>IF(AL535="","",MAX($AF$1:$AF535))</f>
        <v/>
      </c>
    </row>
    <row r="536" spans="1:39" ht="13.5" customHeight="1" x14ac:dyDescent="0.3">
      <c r="A536" s="8" t="s">
        <v>211</v>
      </c>
      <c r="B536" s="9"/>
      <c r="C536" s="10">
        <v>7</v>
      </c>
      <c r="D536" s="11"/>
      <c r="AB536" t="str" cm="1">
        <f t="array" ref="AB536:AC536">_xlfn._xlws.FILTER(A536:Z536,A536:Z536&lt;&gt;"","")</f>
        <v>BIO</v>
      </c>
      <c r="AC536">
        <v>7</v>
      </c>
      <c r="AD536" t="str">
        <v/>
      </c>
      <c r="AE536" t="str">
        <v/>
      </c>
      <c r="AF536" t="str" cm="1">
        <f t="array" ref="AF536">IF(AD536="","",SUMPRODUCT(IF(LEFT($AD$1:AD536,2)="JS",1,0)))</f>
        <v/>
      </c>
      <c r="AG536" t="b">
        <f t="shared" si="32"/>
        <v>1</v>
      </c>
      <c r="AH536" t="str">
        <f t="shared" si="33"/>
        <v/>
      </c>
      <c r="AI536" t="str">
        <f>IF(AH536="","",MAX($AF$1:$AF536))</f>
        <v/>
      </c>
      <c r="AJ536" t="str">
        <f t="shared" si="34"/>
        <v>BIO</v>
      </c>
      <c r="AK536">
        <f>IF(AJ536="","",MAX($AF$1:$AF536))</f>
        <v>11</v>
      </c>
      <c r="AL536" t="str">
        <f t="shared" si="35"/>
        <v/>
      </c>
      <c r="AM536" t="str">
        <f>IF(AL536="","",MAX($AF$1:$AF536))</f>
        <v/>
      </c>
    </row>
    <row r="537" spans="1:39" ht="13.5" customHeight="1" x14ac:dyDescent="0.3">
      <c r="A537" s="8" t="s">
        <v>213</v>
      </c>
      <c r="B537" s="9"/>
      <c r="C537" s="10">
        <v>5</v>
      </c>
      <c r="D537" s="11"/>
      <c r="AB537" t="str" cm="1">
        <f t="array" ref="AB537:AC537">_xlfn._xlws.FILTER(A537:Z537,A537:Z537&lt;&gt;"","")</f>
        <v>BAFS</v>
      </c>
      <c r="AC537">
        <v>5</v>
      </c>
      <c r="AD537" t="str">
        <v/>
      </c>
      <c r="AE537" t="str">
        <v/>
      </c>
      <c r="AF537" t="str" cm="1">
        <f t="array" ref="AF537">IF(AD537="","",SUMPRODUCT(IF(LEFT($AD$1:AD537,2)="JS",1,0)))</f>
        <v/>
      </c>
      <c r="AG537" t="b">
        <f t="shared" si="32"/>
        <v>1</v>
      </c>
      <c r="AH537" t="str">
        <f t="shared" si="33"/>
        <v/>
      </c>
      <c r="AI537" t="str">
        <f>IF(AH537="","",MAX($AF$1:$AF537))</f>
        <v/>
      </c>
      <c r="AJ537" t="str">
        <f t="shared" si="34"/>
        <v/>
      </c>
      <c r="AK537" t="str">
        <f>IF(AJ537="","",MAX($AF$1:$AF537))</f>
        <v/>
      </c>
      <c r="AL537" t="str">
        <f t="shared" si="35"/>
        <v>BAFS</v>
      </c>
      <c r="AM537">
        <f>IF(AL537="","",MAX($AF$1:$AF537))</f>
        <v>11</v>
      </c>
    </row>
    <row r="538" spans="1:39" ht="13.5" customHeight="1" x14ac:dyDescent="0.3">
      <c r="A538" s="8" t="s">
        <v>5</v>
      </c>
      <c r="B538" s="9"/>
      <c r="C538" s="10">
        <v>5</v>
      </c>
      <c r="D538" s="11"/>
      <c r="AB538" t="str" cm="1">
        <f t="array" ref="AB538:AC538">_xlfn._xlws.FILTER(A538:Z538,A538:Z538&lt;&gt;"","")</f>
        <v>Business, Accounting and Financial Studies (Accounting)</v>
      </c>
      <c r="AC538">
        <v>5</v>
      </c>
      <c r="AD538" t="str">
        <v/>
      </c>
      <c r="AE538" t="str">
        <v/>
      </c>
      <c r="AF538" t="str" cm="1">
        <f t="array" ref="AF538">IF(AD538="","",SUMPRODUCT(IF(LEFT($AD$1:AD538,2)="JS",1,0)))</f>
        <v/>
      </c>
      <c r="AG538" t="str">
        <f t="shared" si="32"/>
        <v/>
      </c>
      <c r="AH538" t="str">
        <f t="shared" si="33"/>
        <v/>
      </c>
      <c r="AI538" t="str">
        <f>IF(AH538="","",MAX($AF$1:$AF538))</f>
        <v/>
      </c>
      <c r="AJ538" t="str">
        <f t="shared" si="34"/>
        <v/>
      </c>
      <c r="AK538" t="str">
        <f>IF(AJ538="","",MAX($AF$1:$AF538))</f>
        <v/>
      </c>
      <c r="AL538" t="str">
        <f t="shared" si="35"/>
        <v/>
      </c>
      <c r="AM538" t="str">
        <f>IF(AL538="","",MAX($AF$1:$AF538))</f>
        <v/>
      </c>
    </row>
    <row r="539" spans="1:39" ht="13.5" customHeight="1" x14ac:dyDescent="0.3">
      <c r="A539" s="8" t="s">
        <v>6</v>
      </c>
      <c r="B539" s="9"/>
      <c r="C539" s="10">
        <v>5</v>
      </c>
      <c r="D539" s="11"/>
      <c r="AB539" t="str" cm="1">
        <f t="array" ref="AB539:AC539">_xlfn._xlws.FILTER(A539:Z539,A539:Z539&lt;&gt;"","")</f>
        <v>Business, Accounting and Financial Studies (Business Management)</v>
      </c>
      <c r="AC539">
        <v>5</v>
      </c>
      <c r="AD539" t="str">
        <v/>
      </c>
      <c r="AE539" t="str">
        <v/>
      </c>
      <c r="AF539" t="str" cm="1">
        <f t="array" ref="AF539">IF(AD539="","",SUMPRODUCT(IF(LEFT($AD$1:AD539,2)="JS",1,0)))</f>
        <v/>
      </c>
      <c r="AG539" t="str">
        <f t="shared" si="32"/>
        <v/>
      </c>
      <c r="AH539" t="str">
        <f t="shared" si="33"/>
        <v/>
      </c>
      <c r="AI539" t="str">
        <f>IF(AH539="","",MAX($AF$1:$AF539))</f>
        <v/>
      </c>
      <c r="AJ539" t="str">
        <f t="shared" si="34"/>
        <v/>
      </c>
      <c r="AK539" t="str">
        <f>IF(AJ539="","",MAX($AF$1:$AF539))</f>
        <v/>
      </c>
      <c r="AL539" t="str">
        <f t="shared" si="35"/>
        <v/>
      </c>
      <c r="AM539" t="str">
        <f>IF(AL539="","",MAX($AF$1:$AF539))</f>
        <v/>
      </c>
    </row>
    <row r="540" spans="1:39" ht="13.5" customHeight="1" x14ac:dyDescent="0.3">
      <c r="A540" s="8" t="s">
        <v>212</v>
      </c>
      <c r="B540" s="9"/>
      <c r="C540" s="10">
        <v>10</v>
      </c>
      <c r="D540" s="11"/>
      <c r="AB540" t="str" cm="1">
        <f t="array" ref="AB540:AC540">_xlfn._xlws.FILTER(A540:Z540,A540:Z540&lt;&gt;"","")</f>
        <v>CHEM</v>
      </c>
      <c r="AC540">
        <v>10</v>
      </c>
      <c r="AD540" t="str">
        <v/>
      </c>
      <c r="AE540" t="str">
        <v/>
      </c>
      <c r="AF540" t="str" cm="1">
        <f t="array" ref="AF540">IF(AD540="","",SUMPRODUCT(IF(LEFT($AD$1:AD540,2)="JS",1,0)))</f>
        <v/>
      </c>
      <c r="AG540" t="b">
        <f t="shared" si="32"/>
        <v>1</v>
      </c>
      <c r="AH540" t="str">
        <f t="shared" si="33"/>
        <v>CHEM</v>
      </c>
      <c r="AI540">
        <f>IF(AH540="","",MAX($AF$1:$AF540))</f>
        <v>11</v>
      </c>
      <c r="AJ540" t="str">
        <f t="shared" si="34"/>
        <v/>
      </c>
      <c r="AK540" t="str">
        <f>IF(AJ540="","",MAX($AF$1:$AF540))</f>
        <v/>
      </c>
      <c r="AL540" t="str">
        <f t="shared" si="35"/>
        <v/>
      </c>
      <c r="AM540" t="str">
        <f>IF(AL540="","",MAX($AF$1:$AF540))</f>
        <v/>
      </c>
    </row>
    <row r="541" spans="1:39" ht="13.5" customHeight="1" x14ac:dyDescent="0.3">
      <c r="A541" s="8" t="s">
        <v>214</v>
      </c>
      <c r="B541" s="9"/>
      <c r="C541" s="10">
        <v>5</v>
      </c>
      <c r="D541" s="11"/>
      <c r="AB541" t="str" cm="1">
        <f t="array" ref="AB541:AC541">_xlfn._xlws.FILTER(A541:Z541,A541:Z541&lt;&gt;"","")</f>
        <v>中史</v>
      </c>
      <c r="AC541">
        <v>5</v>
      </c>
      <c r="AD541" t="str">
        <v/>
      </c>
      <c r="AE541" t="str">
        <v/>
      </c>
      <c r="AF541" t="str" cm="1">
        <f t="array" ref="AF541">IF(AD541="","",SUMPRODUCT(IF(LEFT($AD$1:AD541,2)="JS",1,0)))</f>
        <v/>
      </c>
      <c r="AG541" t="b">
        <f t="shared" si="32"/>
        <v>1</v>
      </c>
      <c r="AH541" t="str">
        <f t="shared" si="33"/>
        <v/>
      </c>
      <c r="AI541" t="str">
        <f>IF(AH541="","",MAX($AF$1:$AF541))</f>
        <v/>
      </c>
      <c r="AJ541" t="str">
        <f t="shared" si="34"/>
        <v/>
      </c>
      <c r="AK541" t="str">
        <f>IF(AJ541="","",MAX($AF$1:$AF541))</f>
        <v/>
      </c>
      <c r="AL541" t="str">
        <f t="shared" si="35"/>
        <v>中史</v>
      </c>
      <c r="AM541">
        <f>IF(AL541="","",MAX($AF$1:$AF541))</f>
        <v>11</v>
      </c>
    </row>
    <row r="542" spans="1:39" ht="13.5" customHeight="1" x14ac:dyDescent="0.3">
      <c r="A542" s="8" t="s">
        <v>216</v>
      </c>
      <c r="B542" s="9"/>
      <c r="C542" s="10">
        <v>7</v>
      </c>
      <c r="D542" s="11"/>
      <c r="AB542" t="str" cm="1">
        <f t="array" ref="AB542:AC542">_xlfn._xlws.FILTER(A542:Z542,A542:Z542&lt;&gt;"","")</f>
        <v>中文</v>
      </c>
      <c r="AC542">
        <v>7</v>
      </c>
      <c r="AD542" t="str">
        <v/>
      </c>
      <c r="AE542" t="str">
        <v/>
      </c>
      <c r="AF542" t="str" cm="1">
        <f t="array" ref="AF542">IF(AD542="","",SUMPRODUCT(IF(LEFT($AD$1:AD542,2)="JS",1,0)))</f>
        <v/>
      </c>
      <c r="AG542" t="b">
        <f t="shared" si="32"/>
        <v>1</v>
      </c>
      <c r="AH542" t="str">
        <f t="shared" si="33"/>
        <v/>
      </c>
      <c r="AI542" t="str">
        <f>IF(AH542="","",MAX($AF$1:$AF542))</f>
        <v/>
      </c>
      <c r="AJ542" t="str">
        <f t="shared" si="34"/>
        <v>中文</v>
      </c>
      <c r="AK542">
        <f>IF(AJ542="","",MAX($AF$1:$AF542))</f>
        <v>11</v>
      </c>
      <c r="AL542" t="str">
        <f t="shared" si="35"/>
        <v/>
      </c>
      <c r="AM542" t="str">
        <f>IF(AL542="","",MAX($AF$1:$AF542))</f>
        <v/>
      </c>
    </row>
    <row r="543" spans="1:39" ht="13.5" customHeight="1" x14ac:dyDescent="0.3">
      <c r="A543" s="8" t="s">
        <v>7</v>
      </c>
      <c r="B543" s="9"/>
      <c r="C543" s="10">
        <v>5</v>
      </c>
      <c r="D543" s="11"/>
      <c r="AB543" t="str" cm="1">
        <f t="array" ref="AB543:AC543">_xlfn._xlws.FILTER(A543:Z543,A543:Z543&lt;&gt;"","")</f>
        <v>Chinese Literature</v>
      </c>
      <c r="AC543">
        <v>5</v>
      </c>
      <c r="AD543" t="str">
        <v/>
      </c>
      <c r="AE543" t="str">
        <v/>
      </c>
      <c r="AF543" t="str" cm="1">
        <f t="array" ref="AF543">IF(AD543="","",SUMPRODUCT(IF(LEFT($AD$1:AD543,2)="JS",1,0)))</f>
        <v/>
      </c>
      <c r="AG543" t="str">
        <f t="shared" si="32"/>
        <v/>
      </c>
      <c r="AH543" t="str">
        <f t="shared" si="33"/>
        <v/>
      </c>
      <c r="AI543" t="str">
        <f>IF(AH543="","",MAX($AF$1:$AF543))</f>
        <v/>
      </c>
      <c r="AJ543" t="str">
        <f t="shared" si="34"/>
        <v/>
      </c>
      <c r="AK543" t="str">
        <f>IF(AJ543="","",MAX($AF$1:$AF543))</f>
        <v/>
      </c>
      <c r="AL543" t="str">
        <f t="shared" si="35"/>
        <v/>
      </c>
      <c r="AM543" t="str">
        <f>IF(AL543="","",MAX($AF$1:$AF543))</f>
        <v/>
      </c>
    </row>
    <row r="544" spans="1:39" ht="13.5" customHeight="1" x14ac:dyDescent="0.3">
      <c r="A544" s="8" t="s">
        <v>8</v>
      </c>
      <c r="B544" s="9"/>
      <c r="C544" s="10">
        <v>7</v>
      </c>
      <c r="D544" s="11"/>
      <c r="AB544" t="str" cm="1">
        <f t="array" ref="AB544:AC544">_xlfn._xlws.FILTER(A544:Z544,A544:Z544&lt;&gt;"","")</f>
        <v>Combined Science: Biology + Chemistry</v>
      </c>
      <c r="AC544">
        <v>7</v>
      </c>
      <c r="AD544" t="str">
        <v/>
      </c>
      <c r="AE544" t="str">
        <v/>
      </c>
      <c r="AF544" t="str" cm="1">
        <f t="array" ref="AF544">IF(AD544="","",SUMPRODUCT(IF(LEFT($AD$1:AD544,2)="JS",1,0)))</f>
        <v/>
      </c>
      <c r="AG544" t="str">
        <f t="shared" si="32"/>
        <v/>
      </c>
      <c r="AH544" t="str">
        <f t="shared" si="33"/>
        <v/>
      </c>
      <c r="AI544" t="str">
        <f>IF(AH544="","",MAX($AF$1:$AF544))</f>
        <v/>
      </c>
      <c r="AJ544" t="str">
        <f t="shared" si="34"/>
        <v/>
      </c>
      <c r="AK544" t="str">
        <f>IF(AJ544="","",MAX($AF$1:$AF544))</f>
        <v/>
      </c>
      <c r="AL544" t="str">
        <f t="shared" si="35"/>
        <v/>
      </c>
      <c r="AM544" t="str">
        <f>IF(AL544="","",MAX($AF$1:$AF544))</f>
        <v/>
      </c>
    </row>
    <row r="545" spans="1:39" ht="13.5" customHeight="1" x14ac:dyDescent="0.3">
      <c r="A545" s="8" t="s">
        <v>9</v>
      </c>
      <c r="B545" s="9"/>
      <c r="C545" s="10">
        <v>7</v>
      </c>
      <c r="D545" s="11"/>
      <c r="AB545" t="str" cm="1">
        <f t="array" ref="AB545:AC545">_xlfn._xlws.FILTER(A545:Z545,A545:Z545&lt;&gt;"","")</f>
        <v>Combined Science: Biology + Physics</v>
      </c>
      <c r="AC545">
        <v>7</v>
      </c>
      <c r="AD545" t="str">
        <v/>
      </c>
      <c r="AE545" t="str">
        <v/>
      </c>
      <c r="AF545" t="str" cm="1">
        <f t="array" ref="AF545">IF(AD545="","",SUMPRODUCT(IF(LEFT($AD$1:AD545,2)="JS",1,0)))</f>
        <v/>
      </c>
      <c r="AG545" t="str">
        <f t="shared" si="32"/>
        <v/>
      </c>
      <c r="AH545" t="str">
        <f t="shared" si="33"/>
        <v/>
      </c>
      <c r="AI545" t="str">
        <f>IF(AH545="","",MAX($AF$1:$AF545))</f>
        <v/>
      </c>
      <c r="AJ545" t="str">
        <f t="shared" si="34"/>
        <v/>
      </c>
      <c r="AK545" t="str">
        <f>IF(AJ545="","",MAX($AF$1:$AF545))</f>
        <v/>
      </c>
      <c r="AL545" t="str">
        <f t="shared" si="35"/>
        <v/>
      </c>
      <c r="AM545" t="str">
        <f>IF(AL545="","",MAX($AF$1:$AF545))</f>
        <v/>
      </c>
    </row>
    <row r="546" spans="1:39" ht="13.5" customHeight="1" x14ac:dyDescent="0.3">
      <c r="A546" s="8" t="s">
        <v>10</v>
      </c>
      <c r="B546" s="9"/>
      <c r="C546" s="10">
        <v>10</v>
      </c>
      <c r="D546" s="11"/>
      <c r="AB546" t="str" cm="1">
        <f t="array" ref="AB546:AC546">_xlfn._xlws.FILTER(A546:Z546,A546:Z546&lt;&gt;"","")</f>
        <v>Combined Science: Physics + Chemistry</v>
      </c>
      <c r="AC546">
        <v>10</v>
      </c>
      <c r="AD546" t="str">
        <v/>
      </c>
      <c r="AE546" t="str">
        <v/>
      </c>
      <c r="AF546" t="str" cm="1">
        <f t="array" ref="AF546">IF(AD546="","",SUMPRODUCT(IF(LEFT($AD$1:AD546,2)="JS",1,0)))</f>
        <v/>
      </c>
      <c r="AG546" t="str">
        <f t="shared" si="32"/>
        <v/>
      </c>
      <c r="AH546" t="str">
        <f t="shared" si="33"/>
        <v/>
      </c>
      <c r="AI546" t="str">
        <f>IF(AH546="","",MAX($AF$1:$AF546))</f>
        <v/>
      </c>
      <c r="AJ546" t="str">
        <f t="shared" si="34"/>
        <v/>
      </c>
      <c r="AK546" t="str">
        <f>IF(AJ546="","",MAX($AF$1:$AF546))</f>
        <v/>
      </c>
      <c r="AL546" t="str">
        <f t="shared" si="35"/>
        <v/>
      </c>
      <c r="AM546" t="str">
        <f>IF(AL546="","",MAX($AF$1:$AF546))</f>
        <v/>
      </c>
    </row>
    <row r="547" spans="1:39" ht="13.5" customHeight="1" x14ac:dyDescent="0.3">
      <c r="A547" s="8" t="s">
        <v>11</v>
      </c>
      <c r="B547" s="9"/>
      <c r="C547" s="10">
        <v>5</v>
      </c>
      <c r="D547" s="11"/>
      <c r="AB547" t="str" cm="1">
        <f t="array" ref="AB547:AC547">_xlfn._xlws.FILTER(A547:Z547,A547:Z547&lt;&gt;"","")</f>
        <v>Design and Applied Technology</v>
      </c>
      <c r="AC547">
        <v>5</v>
      </c>
      <c r="AD547" t="str">
        <v/>
      </c>
      <c r="AE547" t="str">
        <v/>
      </c>
      <c r="AF547" t="str" cm="1">
        <f t="array" ref="AF547">IF(AD547="","",SUMPRODUCT(IF(LEFT($AD$1:AD547,2)="JS",1,0)))</f>
        <v/>
      </c>
      <c r="AG547" t="str">
        <f t="shared" si="32"/>
        <v/>
      </c>
      <c r="AH547" t="str">
        <f t="shared" si="33"/>
        <v/>
      </c>
      <c r="AI547" t="str">
        <f>IF(AH547="","",MAX($AF$1:$AF547))</f>
        <v/>
      </c>
      <c r="AJ547" t="str">
        <f t="shared" si="34"/>
        <v/>
      </c>
      <c r="AK547" t="str">
        <f>IF(AJ547="","",MAX($AF$1:$AF547))</f>
        <v/>
      </c>
      <c r="AL547" t="str">
        <f t="shared" si="35"/>
        <v/>
      </c>
      <c r="AM547" t="str">
        <f>IF(AL547="","",MAX($AF$1:$AF547))</f>
        <v/>
      </c>
    </row>
    <row r="548" spans="1:39" ht="13.5" customHeight="1" x14ac:dyDescent="0.3">
      <c r="A548" s="8" t="s">
        <v>217</v>
      </c>
      <c r="B548" s="9"/>
      <c r="C548" s="10">
        <v>5</v>
      </c>
      <c r="D548" s="11"/>
      <c r="AB548" t="str" cm="1">
        <f t="array" ref="AB548:AC548">_xlfn._xlws.FILTER(A548:Z548,A548:Z548&lt;&gt;"","")</f>
        <v>ECON</v>
      </c>
      <c r="AC548">
        <v>5</v>
      </c>
      <c r="AD548" t="str">
        <v/>
      </c>
      <c r="AE548" t="str">
        <v/>
      </c>
      <c r="AF548" t="str" cm="1">
        <f t="array" ref="AF548">IF(AD548="","",SUMPRODUCT(IF(LEFT($AD$1:AD548,2)="JS",1,0)))</f>
        <v/>
      </c>
      <c r="AG548" t="b">
        <f t="shared" si="32"/>
        <v>1</v>
      </c>
      <c r="AH548" t="str">
        <f t="shared" si="33"/>
        <v/>
      </c>
      <c r="AI548" t="str">
        <f>IF(AH548="","",MAX($AF$1:$AF548))</f>
        <v/>
      </c>
      <c r="AJ548" t="str">
        <f t="shared" si="34"/>
        <v/>
      </c>
      <c r="AK548" t="str">
        <f>IF(AJ548="","",MAX($AF$1:$AF548))</f>
        <v/>
      </c>
      <c r="AL548" t="str">
        <f t="shared" si="35"/>
        <v>ECON</v>
      </c>
      <c r="AM548">
        <f>IF(AL548="","",MAX($AF$1:$AF548))</f>
        <v>11</v>
      </c>
    </row>
    <row r="549" spans="1:39" ht="13.5" customHeight="1" x14ac:dyDescent="0.3">
      <c r="A549" s="8" t="s">
        <v>218</v>
      </c>
      <c r="B549" s="9"/>
      <c r="C549" s="10">
        <v>10</v>
      </c>
      <c r="D549" s="11"/>
      <c r="AB549" t="str" cm="1">
        <f t="array" ref="AB549:AC549">_xlfn._xlws.FILTER(A549:Z549,A549:Z549&lt;&gt;"","")</f>
        <v>ENG</v>
      </c>
      <c r="AC549">
        <v>10</v>
      </c>
      <c r="AD549" t="str">
        <v/>
      </c>
      <c r="AE549" t="str">
        <v/>
      </c>
      <c r="AF549" t="str" cm="1">
        <f t="array" ref="AF549">IF(AD549="","",SUMPRODUCT(IF(LEFT($AD$1:AD549,2)="JS",1,0)))</f>
        <v/>
      </c>
      <c r="AG549" t="b">
        <f t="shared" si="32"/>
        <v>1</v>
      </c>
      <c r="AH549" t="str">
        <f t="shared" si="33"/>
        <v>ENG</v>
      </c>
      <c r="AI549">
        <f>IF(AH549="","",MAX($AF$1:$AF549))</f>
        <v>11</v>
      </c>
      <c r="AJ549" t="str">
        <f t="shared" si="34"/>
        <v/>
      </c>
      <c r="AK549" t="str">
        <f>IF(AJ549="","",MAX($AF$1:$AF549))</f>
        <v/>
      </c>
      <c r="AL549" t="str">
        <f t="shared" si="35"/>
        <v/>
      </c>
      <c r="AM549" t="str">
        <f>IF(AL549="","",MAX($AF$1:$AF549))</f>
        <v/>
      </c>
    </row>
    <row r="550" spans="1:39" ht="13.5" customHeight="1" x14ac:dyDescent="0.3">
      <c r="A550" s="8" t="s">
        <v>12</v>
      </c>
      <c r="B550" s="9"/>
      <c r="C550" s="10">
        <v>5</v>
      </c>
      <c r="D550" s="11"/>
      <c r="AB550" t="str" cm="1">
        <f t="array" ref="AB550:AC550">_xlfn._xlws.FILTER(A550:Z550,A550:Z550&lt;&gt;"","")</f>
        <v>Ethics and Religious Studies</v>
      </c>
      <c r="AC550">
        <v>5</v>
      </c>
      <c r="AD550" t="str">
        <v/>
      </c>
      <c r="AE550" t="str">
        <v/>
      </c>
      <c r="AF550" t="str" cm="1">
        <f t="array" ref="AF550">IF(AD550="","",SUMPRODUCT(IF(LEFT($AD$1:AD550,2)="JS",1,0)))</f>
        <v/>
      </c>
      <c r="AG550" t="str">
        <f t="shared" si="32"/>
        <v/>
      </c>
      <c r="AH550" t="str">
        <f t="shared" si="33"/>
        <v/>
      </c>
      <c r="AI550" t="str">
        <f>IF(AH550="","",MAX($AF$1:$AF550))</f>
        <v/>
      </c>
      <c r="AJ550" t="str">
        <f t="shared" si="34"/>
        <v/>
      </c>
      <c r="AK550" t="str">
        <f>IF(AJ550="","",MAX($AF$1:$AF550))</f>
        <v/>
      </c>
      <c r="AL550" t="str">
        <f t="shared" si="35"/>
        <v/>
      </c>
      <c r="AM550" t="str">
        <f>IF(AL550="","",MAX($AF$1:$AF550))</f>
        <v/>
      </c>
    </row>
    <row r="551" spans="1:39" ht="13.5" customHeight="1" x14ac:dyDescent="0.3">
      <c r="A551" s="8" t="s">
        <v>219</v>
      </c>
      <c r="B551" s="9"/>
      <c r="C551" s="10">
        <v>5</v>
      </c>
      <c r="D551" s="11"/>
      <c r="AB551" t="str" cm="1">
        <f t="array" ref="AB551:AC551">_xlfn._xlws.FILTER(A551:Z551,A551:Z551&lt;&gt;"","")</f>
        <v>GEOG</v>
      </c>
      <c r="AC551">
        <v>5</v>
      </c>
      <c r="AD551" t="str">
        <v/>
      </c>
      <c r="AE551" t="str">
        <v/>
      </c>
      <c r="AF551" t="str" cm="1">
        <f t="array" ref="AF551">IF(AD551="","",SUMPRODUCT(IF(LEFT($AD$1:AD551,2)="JS",1,0)))</f>
        <v/>
      </c>
      <c r="AG551" t="b">
        <f t="shared" si="32"/>
        <v>1</v>
      </c>
      <c r="AH551" t="str">
        <f t="shared" si="33"/>
        <v/>
      </c>
      <c r="AI551" t="str">
        <f>IF(AH551="","",MAX($AF$1:$AF551))</f>
        <v/>
      </c>
      <c r="AJ551" t="str">
        <f t="shared" si="34"/>
        <v/>
      </c>
      <c r="AK551" t="str">
        <f>IF(AJ551="","",MAX($AF$1:$AF551))</f>
        <v/>
      </c>
      <c r="AL551" t="str">
        <f t="shared" si="35"/>
        <v>GEOG</v>
      </c>
      <c r="AM551">
        <f>IF(AL551="","",MAX($AF$1:$AF551))</f>
        <v>11</v>
      </c>
    </row>
    <row r="552" spans="1:39" ht="13.5" customHeight="1" x14ac:dyDescent="0.3">
      <c r="A552" s="8" t="s">
        <v>220</v>
      </c>
      <c r="B552" s="9"/>
      <c r="C552" s="10">
        <v>5</v>
      </c>
      <c r="D552" s="11"/>
      <c r="AB552" t="str" cm="1">
        <f t="array" ref="AB552:AC552">_xlfn._xlws.FILTER(A552:Z552,A552:Z552&lt;&gt;"","")</f>
        <v>HMSC</v>
      </c>
      <c r="AC552">
        <v>5</v>
      </c>
      <c r="AD552" t="str">
        <v/>
      </c>
      <c r="AE552" t="str">
        <v/>
      </c>
      <c r="AF552" t="str" cm="1">
        <f t="array" ref="AF552">IF(AD552="","",SUMPRODUCT(IF(LEFT($AD$1:AD552,2)="JS",1,0)))</f>
        <v/>
      </c>
      <c r="AG552" t="b">
        <f t="shared" si="32"/>
        <v>1</v>
      </c>
      <c r="AH552" t="str">
        <f t="shared" si="33"/>
        <v/>
      </c>
      <c r="AI552" t="str">
        <f>IF(AH552="","",MAX($AF$1:$AF552))</f>
        <v/>
      </c>
      <c r="AJ552" t="str">
        <f t="shared" si="34"/>
        <v/>
      </c>
      <c r="AK552" t="str">
        <f>IF(AJ552="","",MAX($AF$1:$AF552))</f>
        <v/>
      </c>
      <c r="AL552" t="str">
        <f t="shared" si="35"/>
        <v>HMSC</v>
      </c>
      <c r="AM552">
        <f>IF(AL552="","",MAX($AF$1:$AF552))</f>
        <v>11</v>
      </c>
    </row>
    <row r="553" spans="1:39" ht="13.5" customHeight="1" x14ac:dyDescent="0.3">
      <c r="A553" s="8" t="s">
        <v>221</v>
      </c>
      <c r="B553" s="9"/>
      <c r="C553" s="10">
        <v>5</v>
      </c>
      <c r="D553" s="11"/>
      <c r="AB553" t="str" cm="1">
        <f t="array" ref="AB553:AC553">_xlfn._xlws.FILTER(A553:Z553,A553:Z553&lt;&gt;"","")</f>
        <v>HIST</v>
      </c>
      <c r="AC553">
        <v>5</v>
      </c>
      <c r="AD553" t="str">
        <v/>
      </c>
      <c r="AE553" t="str">
        <v/>
      </c>
      <c r="AF553" t="str" cm="1">
        <f t="array" ref="AF553">IF(AD553="","",SUMPRODUCT(IF(LEFT($AD$1:AD553,2)="JS",1,0)))</f>
        <v/>
      </c>
      <c r="AG553" t="b">
        <f t="shared" si="32"/>
        <v>1</v>
      </c>
      <c r="AH553" t="str">
        <f t="shared" si="33"/>
        <v/>
      </c>
      <c r="AI553" t="str">
        <f>IF(AH553="","",MAX($AF$1:$AF553))</f>
        <v/>
      </c>
      <c r="AJ553" t="str">
        <f t="shared" si="34"/>
        <v/>
      </c>
      <c r="AK553" t="str">
        <f>IF(AJ553="","",MAX($AF$1:$AF553))</f>
        <v/>
      </c>
      <c r="AL553" t="str">
        <f t="shared" si="35"/>
        <v>HIST</v>
      </c>
      <c r="AM553">
        <f>IF(AL553="","",MAX($AF$1:$AF553))</f>
        <v>11</v>
      </c>
    </row>
    <row r="554" spans="1:39" ht="13.5" customHeight="1" x14ac:dyDescent="0.3">
      <c r="A554" s="8" t="s">
        <v>222</v>
      </c>
      <c r="B554" s="9"/>
      <c r="C554" s="10">
        <v>10</v>
      </c>
      <c r="D554" s="11"/>
      <c r="AB554" t="str" cm="1">
        <f t="array" ref="AB554:AC554">_xlfn._xlws.FILTER(A554:Z554,A554:Z554&lt;&gt;"","")</f>
        <v>ICT</v>
      </c>
      <c r="AC554">
        <v>10</v>
      </c>
      <c r="AD554" t="str">
        <v/>
      </c>
      <c r="AE554" t="str">
        <v/>
      </c>
      <c r="AF554" t="str" cm="1">
        <f t="array" ref="AF554">IF(AD554="","",SUMPRODUCT(IF(LEFT($AD$1:AD554,2)="JS",1,0)))</f>
        <v/>
      </c>
      <c r="AG554" t="b">
        <f t="shared" si="32"/>
        <v>1</v>
      </c>
      <c r="AH554" t="str">
        <f t="shared" si="33"/>
        <v>ICT</v>
      </c>
      <c r="AI554">
        <f>IF(AH554="","",MAX($AF$1:$AF554))</f>
        <v>11</v>
      </c>
      <c r="AJ554" t="str">
        <f t="shared" si="34"/>
        <v/>
      </c>
      <c r="AK554" t="str">
        <f>IF(AJ554="","",MAX($AF$1:$AF554))</f>
        <v/>
      </c>
      <c r="AL554" t="str">
        <f t="shared" si="35"/>
        <v/>
      </c>
      <c r="AM554" t="str">
        <f>IF(AL554="","",MAX($AF$1:$AF554))</f>
        <v/>
      </c>
    </row>
    <row r="555" spans="1:39" ht="13.5" customHeight="1" x14ac:dyDescent="0.3">
      <c r="A555" s="8" t="s">
        <v>13</v>
      </c>
      <c r="B555" s="9"/>
      <c r="C555" s="10">
        <v>7</v>
      </c>
      <c r="D555" s="11"/>
      <c r="AB555" t="str" cm="1">
        <f t="array" ref="AB555:AC555">_xlfn._xlws.FILTER(A555:Z555,A555:Z555&lt;&gt;"","")</f>
        <v>Integrated Science</v>
      </c>
      <c r="AC555">
        <v>7</v>
      </c>
      <c r="AD555" t="str">
        <v/>
      </c>
      <c r="AE555" t="str">
        <v/>
      </c>
      <c r="AF555" t="str" cm="1">
        <f t="array" ref="AF555">IF(AD555="","",SUMPRODUCT(IF(LEFT($AD$1:AD555,2)="JS",1,0)))</f>
        <v/>
      </c>
      <c r="AG555" t="str">
        <f t="shared" si="32"/>
        <v/>
      </c>
      <c r="AH555" t="str">
        <f t="shared" si="33"/>
        <v/>
      </c>
      <c r="AI555" t="str">
        <f>IF(AH555="","",MAX($AF$1:$AF555))</f>
        <v/>
      </c>
      <c r="AJ555" t="str">
        <f t="shared" si="34"/>
        <v/>
      </c>
      <c r="AK555" t="str">
        <f>IF(AJ555="","",MAX($AF$1:$AF555))</f>
        <v/>
      </c>
      <c r="AL555" t="str">
        <f t="shared" si="35"/>
        <v/>
      </c>
      <c r="AM555" t="str">
        <f>IF(AL555="","",MAX($AF$1:$AF555))</f>
        <v/>
      </c>
    </row>
    <row r="556" spans="1:39" ht="13.5" customHeight="1" x14ac:dyDescent="0.3">
      <c r="A556" s="8" t="s">
        <v>223</v>
      </c>
      <c r="B556" s="9"/>
      <c r="C556" s="10">
        <v>7</v>
      </c>
      <c r="D556" s="11"/>
      <c r="AB556" t="str" cm="1">
        <f t="array" ref="AB556:AC556">_xlfn._xlws.FILTER(A556:Z556,A556:Z556&lt;&gt;"","")</f>
        <v>通</v>
      </c>
      <c r="AC556">
        <v>7</v>
      </c>
      <c r="AD556" t="str">
        <v/>
      </c>
      <c r="AE556" t="str">
        <v/>
      </c>
      <c r="AF556" t="str" cm="1">
        <f t="array" ref="AF556">IF(AD556="","",SUMPRODUCT(IF(LEFT($AD$1:AD556,2)="JS",1,0)))</f>
        <v/>
      </c>
      <c r="AG556" t="b">
        <f t="shared" si="32"/>
        <v>1</v>
      </c>
      <c r="AH556" t="str">
        <f t="shared" si="33"/>
        <v/>
      </c>
      <c r="AI556" t="str">
        <f>IF(AH556="","",MAX($AF$1:$AF556))</f>
        <v/>
      </c>
      <c r="AJ556" t="str">
        <f t="shared" si="34"/>
        <v>通</v>
      </c>
      <c r="AK556">
        <f>IF(AJ556="","",MAX($AF$1:$AF556))</f>
        <v>11</v>
      </c>
      <c r="AL556" t="str">
        <f t="shared" si="35"/>
        <v/>
      </c>
      <c r="AM556" t="str">
        <f>IF(AL556="","",MAX($AF$1:$AF556))</f>
        <v/>
      </c>
    </row>
    <row r="557" spans="1:39" ht="13.5" customHeight="1" x14ac:dyDescent="0.3">
      <c r="A557" s="8" t="s">
        <v>14</v>
      </c>
      <c r="B557" s="9"/>
      <c r="C557" s="10">
        <v>5</v>
      </c>
      <c r="D557" s="11"/>
      <c r="AB557" t="str" cm="1">
        <f t="array" ref="AB557:AC557">_xlfn._xlws.FILTER(A557:Z557,A557:Z557&lt;&gt;"","")</f>
        <v>Literature in English</v>
      </c>
      <c r="AC557">
        <v>5</v>
      </c>
      <c r="AD557" t="str">
        <v/>
      </c>
      <c r="AE557" t="str">
        <v/>
      </c>
      <c r="AF557" t="str" cm="1">
        <f t="array" ref="AF557">IF(AD557="","",SUMPRODUCT(IF(LEFT($AD$1:AD557,2)="JS",1,0)))</f>
        <v/>
      </c>
      <c r="AG557" t="str">
        <f t="shared" si="32"/>
        <v/>
      </c>
      <c r="AH557" t="str">
        <f t="shared" si="33"/>
        <v/>
      </c>
      <c r="AI557" t="str">
        <f>IF(AH557="","",MAX($AF$1:$AF557))</f>
        <v/>
      </c>
      <c r="AJ557" t="str">
        <f t="shared" si="34"/>
        <v/>
      </c>
      <c r="AK557" t="str">
        <f>IF(AJ557="","",MAX($AF$1:$AF557))</f>
        <v/>
      </c>
      <c r="AL557" t="str">
        <f t="shared" si="35"/>
        <v/>
      </c>
      <c r="AM557" t="str">
        <f>IF(AL557="","",MAX($AF$1:$AF557))</f>
        <v/>
      </c>
    </row>
    <row r="558" spans="1:39" ht="13.5" customHeight="1" x14ac:dyDescent="0.3">
      <c r="A558" s="8" t="s">
        <v>224</v>
      </c>
      <c r="B558" s="9"/>
      <c r="C558" s="10">
        <v>10</v>
      </c>
      <c r="D558" s="11"/>
      <c r="AB558" t="str" cm="1">
        <f t="array" ref="AB558:AC558">_xlfn._xlws.FILTER(A558:Z558,A558:Z558&lt;&gt;"","")</f>
        <v>MATH</v>
      </c>
      <c r="AC558">
        <v>10</v>
      </c>
      <c r="AD558" t="str">
        <v/>
      </c>
      <c r="AE558" t="str">
        <v/>
      </c>
      <c r="AF558" t="str" cm="1">
        <f t="array" ref="AF558">IF(AD558="","",SUMPRODUCT(IF(LEFT($AD$1:AD558,2)="JS",1,0)))</f>
        <v/>
      </c>
      <c r="AG558" t="b">
        <f t="shared" si="32"/>
        <v>1</v>
      </c>
      <c r="AH558" t="str">
        <f t="shared" si="33"/>
        <v>MATH</v>
      </c>
      <c r="AI558">
        <f>IF(AH558="","",MAX($AF$1:$AF558))</f>
        <v>11</v>
      </c>
      <c r="AJ558" t="str">
        <f t="shared" si="34"/>
        <v/>
      </c>
      <c r="AK558" t="str">
        <f>IF(AJ558="","",MAX($AF$1:$AF558))</f>
        <v/>
      </c>
      <c r="AL558" t="str">
        <f t="shared" si="35"/>
        <v/>
      </c>
      <c r="AM558" t="str">
        <f>IF(AL558="","",MAX($AF$1:$AF558))</f>
        <v/>
      </c>
    </row>
    <row r="559" spans="1:39" ht="13.5" customHeight="1" x14ac:dyDescent="0.3">
      <c r="A559" s="8" t="s">
        <v>225</v>
      </c>
      <c r="B559" s="9"/>
      <c r="C559" s="10">
        <v>10</v>
      </c>
      <c r="D559" s="11"/>
      <c r="AB559" t="str" cm="1">
        <f t="array" ref="AB559:AC559">_xlfn._xlws.FILTER(A559:Z559,A559:Z559&lt;&gt;"","")</f>
        <v>M2</v>
      </c>
      <c r="AC559">
        <v>10</v>
      </c>
      <c r="AD559" t="str">
        <v/>
      </c>
      <c r="AE559" t="str">
        <v/>
      </c>
      <c r="AF559" t="str" cm="1">
        <f t="array" ref="AF559">IF(AD559="","",SUMPRODUCT(IF(LEFT($AD$1:AD559,2)="JS",1,0)))</f>
        <v/>
      </c>
      <c r="AG559" t="b">
        <f t="shared" si="32"/>
        <v>1</v>
      </c>
      <c r="AH559" t="str">
        <f t="shared" si="33"/>
        <v>M2</v>
      </c>
      <c r="AI559">
        <f>IF(AH559="","",MAX($AF$1:$AF559))</f>
        <v>11</v>
      </c>
      <c r="AJ559" t="str">
        <f t="shared" si="34"/>
        <v/>
      </c>
      <c r="AK559" t="str">
        <f>IF(AJ559="","",MAX($AF$1:$AF559))</f>
        <v/>
      </c>
      <c r="AL559" t="str">
        <f t="shared" si="35"/>
        <v/>
      </c>
      <c r="AM559" t="str">
        <f>IF(AL559="","",MAX($AF$1:$AF559))</f>
        <v/>
      </c>
    </row>
    <row r="560" spans="1:39" ht="13.5" customHeight="1" x14ac:dyDescent="0.3">
      <c r="A560" s="8" t="s">
        <v>15</v>
      </c>
      <c r="B560" s="9"/>
      <c r="C560" s="10">
        <v>10</v>
      </c>
      <c r="D560" s="11"/>
      <c r="AB560" t="str" cm="1">
        <f t="array" ref="AB560:AC560">_xlfn._xlws.FILTER(A560:Z560,A560:Z560&lt;&gt;"","")</f>
        <v>Mathematics (Extended part - Calculus and Statistics)</v>
      </c>
      <c r="AC560">
        <v>10</v>
      </c>
      <c r="AD560" t="str">
        <v/>
      </c>
      <c r="AE560" t="str">
        <v/>
      </c>
      <c r="AF560" t="str" cm="1">
        <f t="array" ref="AF560">IF(AD560="","",SUMPRODUCT(IF(LEFT($AD$1:AD560,2)="JS",1,0)))</f>
        <v/>
      </c>
      <c r="AG560" t="str">
        <f t="shared" si="32"/>
        <v/>
      </c>
      <c r="AH560" t="str">
        <f t="shared" si="33"/>
        <v/>
      </c>
      <c r="AI560" t="str">
        <f>IF(AH560="","",MAX($AF$1:$AF560))</f>
        <v/>
      </c>
      <c r="AJ560" t="str">
        <f t="shared" si="34"/>
        <v/>
      </c>
      <c r="AK560" t="str">
        <f>IF(AJ560="","",MAX($AF$1:$AF560))</f>
        <v/>
      </c>
      <c r="AL560" t="str">
        <f t="shared" si="35"/>
        <v/>
      </c>
      <c r="AM560" t="str">
        <f>IF(AL560="","",MAX($AF$1:$AF560))</f>
        <v/>
      </c>
    </row>
    <row r="561" spans="1:39" ht="13.5" customHeight="1" x14ac:dyDescent="0.3">
      <c r="A561" s="8" t="s">
        <v>16</v>
      </c>
      <c r="B561" s="9"/>
      <c r="C561" s="10">
        <v>5</v>
      </c>
      <c r="D561" s="11"/>
      <c r="AB561" t="str" cm="1">
        <f t="array" ref="AB561:AC561">_xlfn._xlws.FILTER(A561:Z561,A561:Z561&lt;&gt;"","")</f>
        <v>Music</v>
      </c>
      <c r="AC561">
        <v>5</v>
      </c>
      <c r="AD561" t="str">
        <v/>
      </c>
      <c r="AE561" t="str">
        <v/>
      </c>
      <c r="AF561" t="str" cm="1">
        <f t="array" ref="AF561">IF(AD561="","",SUMPRODUCT(IF(LEFT($AD$1:AD561,2)="JS",1,0)))</f>
        <v/>
      </c>
      <c r="AG561" t="str">
        <f t="shared" si="32"/>
        <v/>
      </c>
      <c r="AH561" t="str">
        <f t="shared" si="33"/>
        <v/>
      </c>
      <c r="AI561" t="str">
        <f>IF(AH561="","",MAX($AF$1:$AF561))</f>
        <v/>
      </c>
      <c r="AJ561" t="str">
        <f t="shared" si="34"/>
        <v/>
      </c>
      <c r="AK561" t="str">
        <f>IF(AJ561="","",MAX($AF$1:$AF561))</f>
        <v/>
      </c>
      <c r="AL561" t="str">
        <f t="shared" si="35"/>
        <v/>
      </c>
      <c r="AM561" t="str">
        <f>IF(AL561="","",MAX($AF$1:$AF561))</f>
        <v/>
      </c>
    </row>
    <row r="562" spans="1:39" ht="13.5" customHeight="1" x14ac:dyDescent="0.3">
      <c r="A562" s="8" t="s">
        <v>17</v>
      </c>
      <c r="B562" s="9"/>
      <c r="C562" s="10">
        <v>5</v>
      </c>
      <c r="D562" s="11"/>
      <c r="AB562" t="str" cm="1">
        <f t="array" ref="AB562:AC562">_xlfn._xlws.FILTER(A562:Z562,A562:Z562&lt;&gt;"","")</f>
        <v>Physical Education</v>
      </c>
      <c r="AC562">
        <v>5</v>
      </c>
      <c r="AD562" t="str">
        <v/>
      </c>
      <c r="AE562" t="str">
        <v/>
      </c>
      <c r="AF562" t="str" cm="1">
        <f t="array" ref="AF562">IF(AD562="","",SUMPRODUCT(IF(LEFT($AD$1:AD562,2)="JS",1,0)))</f>
        <v/>
      </c>
      <c r="AG562" t="str">
        <f t="shared" si="32"/>
        <v/>
      </c>
      <c r="AH562" t="str">
        <f t="shared" si="33"/>
        <v/>
      </c>
      <c r="AI562" t="str">
        <f>IF(AH562="","",MAX($AF$1:$AF562))</f>
        <v/>
      </c>
      <c r="AJ562" t="str">
        <f t="shared" si="34"/>
        <v/>
      </c>
      <c r="AK562" t="str">
        <f>IF(AJ562="","",MAX($AF$1:$AF562))</f>
        <v/>
      </c>
      <c r="AL562" t="str">
        <f t="shared" si="35"/>
        <v/>
      </c>
      <c r="AM562" t="str">
        <f>IF(AL562="","",MAX($AF$1:$AF562))</f>
        <v/>
      </c>
    </row>
    <row r="563" spans="1:39" ht="13.5" customHeight="1" x14ac:dyDescent="0.3">
      <c r="A563" s="8" t="s">
        <v>226</v>
      </c>
      <c r="B563" s="9"/>
      <c r="C563" s="10">
        <v>10</v>
      </c>
      <c r="D563" s="11"/>
      <c r="AB563" t="str" cm="1">
        <f t="array" ref="AB563:AC563">_xlfn._xlws.FILTER(A563:Z563,A563:Z563&lt;&gt;"","")</f>
        <v>PHY</v>
      </c>
      <c r="AC563">
        <v>10</v>
      </c>
      <c r="AD563" t="str">
        <v/>
      </c>
      <c r="AE563" t="str">
        <v/>
      </c>
      <c r="AF563" t="str" cm="1">
        <f t="array" ref="AF563">IF(AD563="","",SUMPRODUCT(IF(LEFT($AD$1:AD563,2)="JS",1,0)))</f>
        <v/>
      </c>
      <c r="AG563" t="b">
        <f t="shared" si="32"/>
        <v>1</v>
      </c>
      <c r="AH563" t="str">
        <f t="shared" si="33"/>
        <v>PHY</v>
      </c>
      <c r="AI563">
        <f>IF(AH563="","",MAX($AF$1:$AF563))</f>
        <v>11</v>
      </c>
      <c r="AJ563" t="str">
        <f t="shared" si="34"/>
        <v/>
      </c>
      <c r="AK563" t="str">
        <f>IF(AJ563="","",MAX($AF$1:$AF563))</f>
        <v/>
      </c>
      <c r="AL563" t="str">
        <f t="shared" si="35"/>
        <v/>
      </c>
      <c r="AM563" t="str">
        <f>IF(AL563="","",MAX($AF$1:$AF563))</f>
        <v/>
      </c>
    </row>
    <row r="564" spans="1:39" ht="13.5" customHeight="1" x14ac:dyDescent="0.3">
      <c r="A564" s="8" t="s">
        <v>18</v>
      </c>
      <c r="B564" s="9"/>
      <c r="C564" s="10">
        <v>5</v>
      </c>
      <c r="D564" s="11"/>
      <c r="AB564" t="str" cm="1">
        <f t="array" ref="AB564:AC564">_xlfn._xlws.FILTER(A564:Z564,A564:Z564&lt;&gt;"","")</f>
        <v>Technology and Living (Fashion, Clothing and Textiles)</v>
      </c>
      <c r="AC564">
        <v>5</v>
      </c>
      <c r="AD564" t="str">
        <v/>
      </c>
      <c r="AE564" t="str">
        <v/>
      </c>
      <c r="AF564" t="str" cm="1">
        <f t="array" ref="AF564">IF(AD564="","",SUMPRODUCT(IF(LEFT($AD$1:AD564,2)="JS",1,0)))</f>
        <v/>
      </c>
      <c r="AG564" t="str">
        <f t="shared" si="32"/>
        <v/>
      </c>
      <c r="AH564" t="str">
        <f t="shared" si="33"/>
        <v/>
      </c>
      <c r="AI564" t="str">
        <f>IF(AH564="","",MAX($AF$1:$AF564))</f>
        <v/>
      </c>
      <c r="AJ564" t="str">
        <f t="shared" si="34"/>
        <v/>
      </c>
      <c r="AK564" t="str">
        <f>IF(AJ564="","",MAX($AF$1:$AF564))</f>
        <v/>
      </c>
      <c r="AL564" t="str">
        <f t="shared" si="35"/>
        <v/>
      </c>
      <c r="AM564" t="str">
        <f>IF(AL564="","",MAX($AF$1:$AF564))</f>
        <v/>
      </c>
    </row>
    <row r="565" spans="1:39" ht="13.5" customHeight="1" x14ac:dyDescent="0.3">
      <c r="A565" s="8" t="s">
        <v>19</v>
      </c>
      <c r="B565" s="9"/>
      <c r="C565" s="10">
        <v>5</v>
      </c>
      <c r="D565" s="11"/>
      <c r="AB565" t="str" cm="1">
        <f t="array" ref="AB565:AC565">_xlfn._xlws.FILTER(A565:Z565,A565:Z565&lt;&gt;"","")</f>
        <v>Technology and Living (Food Science and Technology)</v>
      </c>
      <c r="AC565">
        <v>5</v>
      </c>
      <c r="AD565" t="str">
        <v/>
      </c>
      <c r="AE565" t="str">
        <v/>
      </c>
      <c r="AF565" t="str" cm="1">
        <f t="array" ref="AF565">IF(AD565="","",SUMPRODUCT(IF(LEFT($AD$1:AD565,2)="JS",1,0)))</f>
        <v/>
      </c>
      <c r="AG565" t="str">
        <f t="shared" si="32"/>
        <v/>
      </c>
      <c r="AH565" t="str">
        <f t="shared" si="33"/>
        <v/>
      </c>
      <c r="AI565" t="str">
        <f>IF(AH565="","",MAX($AF$1:$AF565))</f>
        <v/>
      </c>
      <c r="AJ565" t="str">
        <f t="shared" si="34"/>
        <v/>
      </c>
      <c r="AK565" t="str">
        <f>IF(AJ565="","",MAX($AF$1:$AF565))</f>
        <v/>
      </c>
      <c r="AL565" t="str">
        <f t="shared" si="35"/>
        <v/>
      </c>
      <c r="AM565" t="str">
        <f>IF(AL565="","",MAX($AF$1:$AF565))</f>
        <v/>
      </c>
    </row>
    <row r="566" spans="1:39" ht="13.5" customHeight="1" x14ac:dyDescent="0.3">
      <c r="A566" s="8" t="s">
        <v>20</v>
      </c>
      <c r="B566" s="9"/>
      <c r="C566" s="10">
        <v>5</v>
      </c>
      <c r="D566" s="11"/>
      <c r="AB566" t="str" cm="1">
        <f t="array" ref="AB566:AC566">_xlfn._xlws.FILTER(A566:Z566,A566:Z566&lt;&gt;"","")</f>
        <v>Tourism and Hospitality Studies</v>
      </c>
      <c r="AC566">
        <v>5</v>
      </c>
      <c r="AD566" t="str">
        <v/>
      </c>
      <c r="AE566" t="str">
        <v/>
      </c>
      <c r="AF566" t="str" cm="1">
        <f t="array" ref="AF566">IF(AD566="","",SUMPRODUCT(IF(LEFT($AD$1:AD566,2)="JS",1,0)))</f>
        <v/>
      </c>
      <c r="AG566" t="str">
        <f t="shared" si="32"/>
        <v/>
      </c>
      <c r="AH566" t="str">
        <f t="shared" si="33"/>
        <v/>
      </c>
      <c r="AI566" t="str">
        <f>IF(AH566="","",MAX($AF$1:$AF566))</f>
        <v/>
      </c>
      <c r="AJ566" t="str">
        <f t="shared" si="34"/>
        <v/>
      </c>
      <c r="AK566" t="str">
        <f>IF(AJ566="","",MAX($AF$1:$AF566))</f>
        <v/>
      </c>
      <c r="AL566" t="str">
        <f t="shared" si="35"/>
        <v/>
      </c>
      <c r="AM566" t="str">
        <f>IF(AL566="","",MAX($AF$1:$AF566))</f>
        <v/>
      </c>
    </row>
    <row r="567" spans="1:39" ht="13.5" customHeight="1" x14ac:dyDescent="0.3">
      <c r="A567" s="8" t="s">
        <v>210</v>
      </c>
      <c r="B567" s="9"/>
      <c r="C567" s="10">
        <v>5</v>
      </c>
      <c r="D567" s="11"/>
      <c r="AB567" t="str" cm="1">
        <f t="array" ref="AB567:AC567">_xlfn._xlws.FILTER(A567:Z567,A567:Z567&lt;&gt;"","")</f>
        <v>VA</v>
      </c>
      <c r="AC567">
        <v>5</v>
      </c>
      <c r="AD567" t="str">
        <v/>
      </c>
      <c r="AE567" t="str">
        <v/>
      </c>
      <c r="AF567" t="str" cm="1">
        <f t="array" ref="AF567">IF(AD567="","",SUMPRODUCT(IF(LEFT($AD$1:AD567,2)="JS",1,0)))</f>
        <v/>
      </c>
      <c r="AG567" t="b">
        <f t="shared" si="32"/>
        <v>1</v>
      </c>
      <c r="AH567" t="str">
        <f t="shared" si="33"/>
        <v/>
      </c>
      <c r="AI567" t="str">
        <f>IF(AH567="","",MAX($AF$1:$AF567))</f>
        <v/>
      </c>
      <c r="AJ567" t="str">
        <f t="shared" si="34"/>
        <v/>
      </c>
      <c r="AK567" t="str">
        <f>IF(AJ567="","",MAX($AF$1:$AF567))</f>
        <v/>
      </c>
      <c r="AL567" t="str">
        <f t="shared" si="35"/>
        <v>VA</v>
      </c>
      <c r="AM567">
        <f>IF(AL567="","",MAX($AF$1:$AF567))</f>
        <v>11</v>
      </c>
    </row>
    <row r="568" spans="1:39" ht="14.5" customHeight="1" x14ac:dyDescent="0.3">
      <c r="A568" s="12"/>
      <c r="B568" s="12"/>
      <c r="C568" s="2"/>
      <c r="D568" s="2"/>
      <c r="AB568" t="str" cm="1">
        <f t="array" ref="AB568">_xlfn._xlws.FILTER(A568:Z568,A568:Z568&lt;&gt;"","")</f>
        <v/>
      </c>
      <c r="AD568" t="str">
        <v/>
      </c>
      <c r="AE568" t="str">
        <v/>
      </c>
      <c r="AF568" t="str" cm="1">
        <f t="array" ref="AF568">IF(AD568="","",SUMPRODUCT(IF(LEFT($AD$1:AD568,2)="JS",1,0)))</f>
        <v/>
      </c>
      <c r="AG568" t="str">
        <f t="shared" si="32"/>
        <v/>
      </c>
      <c r="AH568" t="str">
        <f t="shared" si="33"/>
        <v/>
      </c>
      <c r="AI568" t="str">
        <f>IF(AH568="","",MAX($AF$1:$AF568))</f>
        <v/>
      </c>
      <c r="AJ568" t="str">
        <f t="shared" si="34"/>
        <v/>
      </c>
      <c r="AK568" t="str">
        <f>IF(AJ568="","",MAX($AF$1:$AF568))</f>
        <v/>
      </c>
      <c r="AL568" t="str">
        <f t="shared" si="35"/>
        <v/>
      </c>
      <c r="AM568" t="str">
        <f>IF(AL568="","",MAX($AF$1:$AF568))</f>
        <v/>
      </c>
    </row>
    <row r="569" spans="1:39" ht="13.5" customHeight="1" x14ac:dyDescent="0.3">
      <c r="A569" s="13" t="s">
        <v>34</v>
      </c>
      <c r="B569" s="13"/>
      <c r="C569" s="13"/>
      <c r="D569" s="13"/>
      <c r="AB569" t="str" cm="1">
        <f t="array" ref="AB569">_xlfn._xlws.FILTER(A569:Z569,A569:Z569&lt;&gt;"","")</f>
        <v>Category C: Other Language Subjects</v>
      </c>
      <c r="AD569" t="str">
        <v/>
      </c>
      <c r="AE569" t="str">
        <v/>
      </c>
      <c r="AF569" t="str" cm="1">
        <f t="array" ref="AF569">IF(AD569="","",SUMPRODUCT(IF(LEFT($AD$1:AD569,2)="JS",1,0)))</f>
        <v/>
      </c>
      <c r="AG569" t="str">
        <f t="shared" si="32"/>
        <v/>
      </c>
      <c r="AH569" t="str">
        <f t="shared" si="33"/>
        <v/>
      </c>
      <c r="AI569" t="str">
        <f>IF(AH569="","",MAX($AF$1:$AF569))</f>
        <v/>
      </c>
      <c r="AJ569" t="str">
        <f t="shared" si="34"/>
        <v/>
      </c>
      <c r="AK569" t="str">
        <f>IF(AJ569="","",MAX($AF$1:$AF569))</f>
        <v/>
      </c>
      <c r="AL569" t="str">
        <f t="shared" si="35"/>
        <v/>
      </c>
      <c r="AM569" t="str">
        <f>IF(AL569="","",MAX($AF$1:$AF569))</f>
        <v/>
      </c>
    </row>
    <row r="570" spans="1:39" ht="13.5" customHeight="1" x14ac:dyDescent="0.3">
      <c r="A570" s="14" t="s">
        <v>3</v>
      </c>
      <c r="B570" s="15"/>
      <c r="C570" s="16" t="s">
        <v>4</v>
      </c>
      <c r="D570" s="17"/>
      <c r="AB570" t="str" cm="1">
        <f t="array" ref="AB570:AC570">_xlfn._xlws.FILTER(A570:Z570,A570:Z570&lt;&gt;"","")</f>
        <v>Subject Name</v>
      </c>
      <c r="AC570" t="str">
        <v>Subject Weighting for 2023/24 Admission Exercise *</v>
      </c>
      <c r="AD570" t="str">
        <v/>
      </c>
      <c r="AE570" t="str">
        <v/>
      </c>
      <c r="AF570" t="str" cm="1">
        <f t="array" ref="AF570">IF(AD570="","",SUMPRODUCT(IF(LEFT($AD$1:AD570,2)="JS",1,0)))</f>
        <v/>
      </c>
      <c r="AG570" t="str">
        <f t="shared" si="32"/>
        <v/>
      </c>
      <c r="AH570" t="str">
        <f t="shared" si="33"/>
        <v/>
      </c>
      <c r="AI570" t="str">
        <f>IF(AH570="","",MAX($AF$1:$AF570))</f>
        <v/>
      </c>
      <c r="AJ570" t="str">
        <f t="shared" si="34"/>
        <v/>
      </c>
      <c r="AK570" t="str">
        <f>IF(AJ570="","",MAX($AF$1:$AF570))</f>
        <v/>
      </c>
      <c r="AL570" t="str">
        <f t="shared" si="35"/>
        <v/>
      </c>
      <c r="AM570" t="str">
        <f>IF(AL570="","",MAX($AF$1:$AF570))</f>
        <v/>
      </c>
    </row>
    <row r="571" spans="1:39" ht="13.5" customHeight="1" x14ac:dyDescent="0.3">
      <c r="A571" s="8" t="s">
        <v>35</v>
      </c>
      <c r="B571" s="9"/>
      <c r="C571" s="10">
        <v>5</v>
      </c>
      <c r="D571" s="11"/>
      <c r="AB571" t="str" cm="1">
        <f t="array" ref="AB571:AC571">_xlfn._xlws.FILTER(A571:Z571,A571:Z571&lt;&gt;"","")</f>
        <v>French</v>
      </c>
      <c r="AC571">
        <v>5</v>
      </c>
      <c r="AD571" t="str">
        <v/>
      </c>
      <c r="AE571" t="str">
        <v/>
      </c>
      <c r="AF571" t="str" cm="1">
        <f t="array" ref="AF571">IF(AD571="","",SUMPRODUCT(IF(LEFT($AD$1:AD571,2)="JS",1,0)))</f>
        <v/>
      </c>
      <c r="AG571" t="str">
        <f t="shared" si="32"/>
        <v/>
      </c>
      <c r="AH571" t="str">
        <f t="shared" si="33"/>
        <v/>
      </c>
      <c r="AI571" t="str">
        <f>IF(AH571="","",MAX($AF$1:$AF571))</f>
        <v/>
      </c>
      <c r="AJ571" t="str">
        <f t="shared" si="34"/>
        <v/>
      </c>
      <c r="AK571" t="str">
        <f>IF(AJ571="","",MAX($AF$1:$AF571))</f>
        <v/>
      </c>
      <c r="AL571" t="str">
        <f t="shared" si="35"/>
        <v/>
      </c>
      <c r="AM571" t="str">
        <f>IF(AL571="","",MAX($AF$1:$AF571))</f>
        <v/>
      </c>
    </row>
    <row r="572" spans="1:39" ht="13.5" customHeight="1" x14ac:dyDescent="0.3">
      <c r="A572" s="8" t="s">
        <v>36</v>
      </c>
      <c r="B572" s="9"/>
      <c r="C572" s="10">
        <v>5</v>
      </c>
      <c r="D572" s="11"/>
      <c r="AB572" t="str" cm="1">
        <f t="array" ref="AB572:AC572">_xlfn._xlws.FILTER(A572:Z572,A572:Z572&lt;&gt;"","")</f>
        <v>German</v>
      </c>
      <c r="AC572">
        <v>5</v>
      </c>
      <c r="AD572" t="str">
        <v/>
      </c>
      <c r="AE572" t="str">
        <v/>
      </c>
      <c r="AF572" t="str" cm="1">
        <f t="array" ref="AF572">IF(AD572="","",SUMPRODUCT(IF(LEFT($AD$1:AD572,2)="JS",1,0)))</f>
        <v/>
      </c>
      <c r="AG572" t="str">
        <f t="shared" si="32"/>
        <v/>
      </c>
      <c r="AH572" t="str">
        <f t="shared" si="33"/>
        <v/>
      </c>
      <c r="AI572" t="str">
        <f>IF(AH572="","",MAX($AF$1:$AF572))</f>
        <v/>
      </c>
      <c r="AJ572" t="str">
        <f t="shared" si="34"/>
        <v/>
      </c>
      <c r="AK572" t="str">
        <f>IF(AJ572="","",MAX($AF$1:$AF572))</f>
        <v/>
      </c>
      <c r="AL572" t="str">
        <f t="shared" si="35"/>
        <v/>
      </c>
      <c r="AM572" t="str">
        <f>IF(AL572="","",MAX($AF$1:$AF572))</f>
        <v/>
      </c>
    </row>
    <row r="573" spans="1:39" ht="13.5" customHeight="1" x14ac:dyDescent="0.3">
      <c r="A573" s="8" t="s">
        <v>37</v>
      </c>
      <c r="B573" s="9"/>
      <c r="C573" s="10">
        <v>5</v>
      </c>
      <c r="D573" s="11"/>
      <c r="AB573" t="str" cm="1">
        <f t="array" ref="AB573:AC573">_xlfn._xlws.FILTER(A573:Z573,A573:Z573&lt;&gt;"","")</f>
        <v>Hindi</v>
      </c>
      <c r="AC573">
        <v>5</v>
      </c>
      <c r="AD573" t="str">
        <v/>
      </c>
      <c r="AE573" t="str">
        <v/>
      </c>
      <c r="AF573" t="str" cm="1">
        <f t="array" ref="AF573">IF(AD573="","",SUMPRODUCT(IF(LEFT($AD$1:AD573,2)="JS",1,0)))</f>
        <v/>
      </c>
      <c r="AG573" t="str">
        <f t="shared" si="32"/>
        <v/>
      </c>
      <c r="AH573" t="str">
        <f t="shared" si="33"/>
        <v/>
      </c>
      <c r="AI573" t="str">
        <f>IF(AH573="","",MAX($AF$1:$AF573))</f>
        <v/>
      </c>
      <c r="AJ573" t="str">
        <f t="shared" si="34"/>
        <v/>
      </c>
      <c r="AK573" t="str">
        <f>IF(AJ573="","",MAX($AF$1:$AF573))</f>
        <v/>
      </c>
      <c r="AL573" t="str">
        <f t="shared" si="35"/>
        <v/>
      </c>
      <c r="AM573" t="str">
        <f>IF(AL573="","",MAX($AF$1:$AF573))</f>
        <v/>
      </c>
    </row>
    <row r="574" spans="1:39" ht="13.5" customHeight="1" x14ac:dyDescent="0.3">
      <c r="A574" s="8" t="s">
        <v>38</v>
      </c>
      <c r="B574" s="9"/>
      <c r="C574" s="10">
        <v>5</v>
      </c>
      <c r="D574" s="11"/>
      <c r="AB574" t="str" cm="1">
        <f t="array" ref="AB574:AC574">_xlfn._xlws.FILTER(A574:Z574,A574:Z574&lt;&gt;"","")</f>
        <v>Japanese</v>
      </c>
      <c r="AC574">
        <v>5</v>
      </c>
      <c r="AD574" t="str">
        <v/>
      </c>
      <c r="AE574" t="str">
        <v/>
      </c>
      <c r="AF574" t="str" cm="1">
        <f t="array" ref="AF574">IF(AD574="","",SUMPRODUCT(IF(LEFT($AD$1:AD574,2)="JS",1,0)))</f>
        <v/>
      </c>
      <c r="AG574" t="str">
        <f t="shared" si="32"/>
        <v/>
      </c>
      <c r="AH574" t="str">
        <f t="shared" si="33"/>
        <v/>
      </c>
      <c r="AI574" t="str">
        <f>IF(AH574="","",MAX($AF$1:$AF574))</f>
        <v/>
      </c>
      <c r="AJ574" t="str">
        <f t="shared" si="34"/>
        <v/>
      </c>
      <c r="AK574" t="str">
        <f>IF(AJ574="","",MAX($AF$1:$AF574))</f>
        <v/>
      </c>
      <c r="AL574" t="str">
        <f t="shared" si="35"/>
        <v/>
      </c>
      <c r="AM574" t="str">
        <f>IF(AL574="","",MAX($AF$1:$AF574))</f>
        <v/>
      </c>
    </row>
    <row r="575" spans="1:39" ht="13.5" customHeight="1" x14ac:dyDescent="0.3">
      <c r="A575" s="8" t="s">
        <v>39</v>
      </c>
      <c r="B575" s="9"/>
      <c r="C575" s="10">
        <v>5</v>
      </c>
      <c r="D575" s="11"/>
      <c r="AB575" t="str" cm="1">
        <f t="array" ref="AB575:AC575">_xlfn._xlws.FILTER(A575:Z575,A575:Z575&lt;&gt;"","")</f>
        <v>Spanish</v>
      </c>
      <c r="AC575">
        <v>5</v>
      </c>
      <c r="AD575" t="str">
        <v/>
      </c>
      <c r="AE575" t="str">
        <v/>
      </c>
      <c r="AF575" t="str" cm="1">
        <f t="array" ref="AF575">IF(AD575="","",SUMPRODUCT(IF(LEFT($AD$1:AD575,2)="JS",1,0)))</f>
        <v/>
      </c>
      <c r="AG575" t="str">
        <f t="shared" si="32"/>
        <v/>
      </c>
      <c r="AH575" t="str">
        <f t="shared" si="33"/>
        <v/>
      </c>
      <c r="AI575" t="str">
        <f>IF(AH575="","",MAX($AF$1:$AF575))</f>
        <v/>
      </c>
      <c r="AJ575" t="str">
        <f t="shared" si="34"/>
        <v/>
      </c>
      <c r="AK575" t="str">
        <f>IF(AJ575="","",MAX($AF$1:$AF575))</f>
        <v/>
      </c>
      <c r="AL575" t="str">
        <f t="shared" si="35"/>
        <v/>
      </c>
      <c r="AM575" t="str">
        <f>IF(AL575="","",MAX($AF$1:$AF575))</f>
        <v/>
      </c>
    </row>
    <row r="576" spans="1:39" ht="13.5" customHeight="1" x14ac:dyDescent="0.3">
      <c r="A576" s="8" t="s">
        <v>40</v>
      </c>
      <c r="B576" s="9"/>
      <c r="C576" s="10">
        <v>5</v>
      </c>
      <c r="D576" s="11"/>
      <c r="AB576" t="str" cm="1">
        <f t="array" ref="AB576:AC576">_xlfn._xlws.FILTER(A576:Z576,A576:Z576&lt;&gt;"","")</f>
        <v>Urdu</v>
      </c>
      <c r="AC576">
        <v>5</v>
      </c>
      <c r="AD576" t="str">
        <v/>
      </c>
      <c r="AE576" t="str">
        <v/>
      </c>
      <c r="AF576" t="str" cm="1">
        <f t="array" ref="AF576">IF(AD576="","",SUMPRODUCT(IF(LEFT($AD$1:AD576,2)="JS",1,0)))</f>
        <v/>
      </c>
      <c r="AG576" t="str">
        <f t="shared" si="32"/>
        <v/>
      </c>
      <c r="AH576" t="str">
        <f t="shared" si="33"/>
        <v/>
      </c>
      <c r="AI576" t="str">
        <f>IF(AH576="","",MAX($AF$1:$AF576))</f>
        <v/>
      </c>
      <c r="AJ576" t="str">
        <f t="shared" si="34"/>
        <v/>
      </c>
      <c r="AK576" t="str">
        <f>IF(AJ576="","",MAX($AF$1:$AF576))</f>
        <v/>
      </c>
      <c r="AL576" t="str">
        <f t="shared" si="35"/>
        <v/>
      </c>
      <c r="AM576" t="str">
        <f>IF(AL576="","",MAX($AF$1:$AF576))</f>
        <v/>
      </c>
    </row>
    <row r="577" spans="1:39" ht="15" customHeight="1" x14ac:dyDescent="0.3">
      <c r="A577" s="18" t="s">
        <v>101</v>
      </c>
      <c r="B577" s="18"/>
      <c r="C577" s="18"/>
      <c r="D577" s="1"/>
      <c r="AB577" t="str" cm="1">
        <f t="array" ref="AB577">_xlfn._xlws.FILTER(A577:Z577,A577:Z577&lt;&gt;"","")</f>
        <v>JUPAS Code: JS3150</v>
      </c>
      <c r="AD577" t="str">
        <v>JS3150</v>
      </c>
      <c r="AE577" t="str">
        <v/>
      </c>
      <c r="AF577" cm="1">
        <f t="array" ref="AF577">IF(AD577="","",SUMPRODUCT(IF(LEFT($AD$1:AD577,2)="JS",1,0)))</f>
        <v>12</v>
      </c>
      <c r="AG577" t="str">
        <f t="shared" ref="AG577:AG640" si="36">IF(ISNUMBER(MATCH(AB577,$AV$3:$AV$18,0)),TRUE,"")</f>
        <v/>
      </c>
      <c r="AH577" t="str">
        <f t="shared" si="33"/>
        <v/>
      </c>
      <c r="AI577" t="str">
        <f>IF(AH577="","",MAX($AF$1:$AF577))</f>
        <v/>
      </c>
      <c r="AJ577" t="str">
        <f t="shared" si="34"/>
        <v/>
      </c>
      <c r="AK577" t="str">
        <f>IF(AJ577="","",MAX($AF$1:$AF577))</f>
        <v/>
      </c>
      <c r="AL577" t="str">
        <f t="shared" si="35"/>
        <v/>
      </c>
      <c r="AM577" t="str">
        <f>IF(AL577="","",MAX($AF$1:$AF577))</f>
        <v/>
      </c>
    </row>
    <row r="578" spans="1:39" ht="13.5" customHeight="1" x14ac:dyDescent="0.3">
      <c r="A578" s="18" t="s">
        <v>102</v>
      </c>
      <c r="B578" s="18"/>
      <c r="C578" s="18"/>
      <c r="D578" s="1"/>
      <c r="AB578" t="str" cm="1">
        <f t="array" ref="AB578">_xlfn._xlws.FILTER(A578:Z578,A578:Z578&lt;&gt;"","")</f>
        <v>Programme Title: BSc (Hons) Scheme in Biomedical Engineering</v>
      </c>
      <c r="AD578" t="str">
        <v/>
      </c>
      <c r="AE578" t="str">
        <v>BSc (Hons) Scheme in Biomedical Engineering</v>
      </c>
      <c r="AF578" t="str" cm="1">
        <f t="array" ref="AF578">IF(AD578="","",SUMPRODUCT(IF(LEFT($AD$1:AD578,2)="JS",1,0)))</f>
        <v/>
      </c>
      <c r="AG578" t="str">
        <f t="shared" si="36"/>
        <v/>
      </c>
      <c r="AH578" t="str">
        <f t="shared" ref="AH578:AH641" si="37">IF(AND(AC578=10,AG578=TRUE),AB578,"")</f>
        <v/>
      </c>
      <c r="AI578" t="str">
        <f>IF(AH578="","",MAX($AF$1:$AF578))</f>
        <v/>
      </c>
      <c r="AJ578" t="str">
        <f t="shared" ref="AJ578:AJ641" si="38">IF(AND(AC578=7,AG578=TRUE),AB578,"")</f>
        <v/>
      </c>
      <c r="AK578" t="str">
        <f>IF(AJ578="","",MAX($AF$1:$AF578))</f>
        <v/>
      </c>
      <c r="AL578" t="str">
        <f t="shared" ref="AL578:AL641" si="39">IF(AND(AC578=5,AG578=TRUE),AB578,"")</f>
        <v/>
      </c>
      <c r="AM578" t="str">
        <f>IF(AL578="","",MAX($AF$1:$AF578))</f>
        <v/>
      </c>
    </row>
    <row r="579" spans="1:39" ht="14.5" customHeight="1" x14ac:dyDescent="0.3">
      <c r="A579" s="12"/>
      <c r="B579" s="12"/>
      <c r="C579" s="2"/>
      <c r="D579" s="2"/>
      <c r="AB579" t="str" cm="1">
        <f t="array" ref="AB579">_xlfn._xlws.FILTER(A579:Z579,A579:Z579&lt;&gt;"","")</f>
        <v/>
      </c>
      <c r="AD579" t="str">
        <v/>
      </c>
      <c r="AE579" t="str">
        <v/>
      </c>
      <c r="AF579" t="str" cm="1">
        <f t="array" ref="AF579">IF(AD579="","",SUMPRODUCT(IF(LEFT($AD$1:AD579,2)="JS",1,0)))</f>
        <v/>
      </c>
      <c r="AG579" t="str">
        <f t="shared" si="36"/>
        <v/>
      </c>
      <c r="AH579" t="str">
        <f t="shared" si="37"/>
        <v/>
      </c>
      <c r="AI579" t="str">
        <f>IF(AH579="","",MAX($AF$1:$AF579))</f>
        <v/>
      </c>
      <c r="AJ579" t="str">
        <f t="shared" si="38"/>
        <v/>
      </c>
      <c r="AK579" t="str">
        <f>IF(AJ579="","",MAX($AF$1:$AF579))</f>
        <v/>
      </c>
      <c r="AL579" t="str">
        <f t="shared" si="39"/>
        <v/>
      </c>
      <c r="AM579" t="str">
        <f>IF(AL579="","",MAX($AF$1:$AF579))</f>
        <v/>
      </c>
    </row>
    <row r="580" spans="1:39" ht="13.5" customHeight="1" x14ac:dyDescent="0.3">
      <c r="A580" s="13" t="s">
        <v>2</v>
      </c>
      <c r="B580" s="13"/>
      <c r="C580" s="13"/>
      <c r="D580" s="13"/>
      <c r="AB580" t="str" cm="1">
        <f t="array" ref="AB580">_xlfn._xlws.FILTER(A580:Z580,A580:Z580&lt;&gt;"","")</f>
        <v>Category A: Core and Elective Subjects</v>
      </c>
      <c r="AD580" t="str">
        <v/>
      </c>
      <c r="AE580" t="str">
        <v/>
      </c>
      <c r="AF580" t="str" cm="1">
        <f t="array" ref="AF580">IF(AD580="","",SUMPRODUCT(IF(LEFT($AD$1:AD580,2)="JS",1,0)))</f>
        <v/>
      </c>
      <c r="AG580" t="str">
        <f t="shared" si="36"/>
        <v/>
      </c>
      <c r="AH580" t="str">
        <f t="shared" si="37"/>
        <v/>
      </c>
      <c r="AI580" t="str">
        <f>IF(AH580="","",MAX($AF$1:$AF580))</f>
        <v/>
      </c>
      <c r="AJ580" t="str">
        <f t="shared" si="38"/>
        <v/>
      </c>
      <c r="AK580" t="str">
        <f>IF(AJ580="","",MAX($AF$1:$AF580))</f>
        <v/>
      </c>
      <c r="AL580" t="str">
        <f t="shared" si="39"/>
        <v/>
      </c>
      <c r="AM580" t="str">
        <f>IF(AL580="","",MAX($AF$1:$AF580))</f>
        <v/>
      </c>
    </row>
    <row r="581" spans="1:39" ht="13.5" customHeight="1" x14ac:dyDescent="0.3">
      <c r="A581" s="14" t="s">
        <v>3</v>
      </c>
      <c r="B581" s="15"/>
      <c r="C581" s="16" t="s">
        <v>4</v>
      </c>
      <c r="D581" s="17"/>
      <c r="AB581" t="str" cm="1">
        <f t="array" ref="AB581:AC581">_xlfn._xlws.FILTER(A581:Z581,A581:Z581&lt;&gt;"","")</f>
        <v>Subject Name</v>
      </c>
      <c r="AC581" t="str">
        <v>Subject Weighting for 2023/24 Admission Exercise *</v>
      </c>
      <c r="AD581" t="str">
        <v/>
      </c>
      <c r="AE581" t="str">
        <v/>
      </c>
      <c r="AF581" t="str" cm="1">
        <f t="array" ref="AF581">IF(AD581="","",SUMPRODUCT(IF(LEFT($AD$1:AD581,2)="JS",1,0)))</f>
        <v/>
      </c>
      <c r="AG581" t="str">
        <f t="shared" si="36"/>
        <v/>
      </c>
      <c r="AH581" t="str">
        <f t="shared" si="37"/>
        <v/>
      </c>
      <c r="AI581" t="str">
        <f>IF(AH581="","",MAX($AF$1:$AF581))</f>
        <v/>
      </c>
      <c r="AJ581" t="str">
        <f t="shared" si="38"/>
        <v/>
      </c>
      <c r="AK581" t="str">
        <f>IF(AJ581="","",MAX($AF$1:$AF581))</f>
        <v/>
      </c>
      <c r="AL581" t="str">
        <f t="shared" si="39"/>
        <v/>
      </c>
      <c r="AM581" t="str">
        <f>IF(AL581="","",MAX($AF$1:$AF581))</f>
        <v/>
      </c>
    </row>
    <row r="582" spans="1:39" ht="13.5" customHeight="1" x14ac:dyDescent="0.3">
      <c r="A582" s="8" t="s">
        <v>211</v>
      </c>
      <c r="B582" s="9"/>
      <c r="C582" s="10">
        <v>10</v>
      </c>
      <c r="D582" s="11"/>
      <c r="AB582" t="str" cm="1">
        <f t="array" ref="AB582:AC582">_xlfn._xlws.FILTER(A582:Z582,A582:Z582&lt;&gt;"","")</f>
        <v>BIO</v>
      </c>
      <c r="AC582">
        <v>10</v>
      </c>
      <c r="AD582" t="str">
        <v/>
      </c>
      <c r="AE582" t="str">
        <v/>
      </c>
      <c r="AF582" t="str" cm="1">
        <f t="array" ref="AF582">IF(AD582="","",SUMPRODUCT(IF(LEFT($AD$1:AD582,2)="JS",1,0)))</f>
        <v/>
      </c>
      <c r="AG582" t="b">
        <f t="shared" si="36"/>
        <v>1</v>
      </c>
      <c r="AH582" t="str">
        <f t="shared" si="37"/>
        <v>BIO</v>
      </c>
      <c r="AI582">
        <f>IF(AH582="","",MAX($AF$1:$AF582))</f>
        <v>12</v>
      </c>
      <c r="AJ582" t="str">
        <f t="shared" si="38"/>
        <v/>
      </c>
      <c r="AK582" t="str">
        <f>IF(AJ582="","",MAX($AF$1:$AF582))</f>
        <v/>
      </c>
      <c r="AL582" t="str">
        <f t="shared" si="39"/>
        <v/>
      </c>
      <c r="AM582" t="str">
        <f>IF(AL582="","",MAX($AF$1:$AF582))</f>
        <v/>
      </c>
    </row>
    <row r="583" spans="1:39" ht="13.5" customHeight="1" x14ac:dyDescent="0.3">
      <c r="A583" s="8" t="s">
        <v>213</v>
      </c>
      <c r="B583" s="9"/>
      <c r="C583" s="10">
        <v>5</v>
      </c>
      <c r="D583" s="11"/>
      <c r="AB583" t="str" cm="1">
        <f t="array" ref="AB583:AC583">_xlfn._xlws.FILTER(A583:Z583,A583:Z583&lt;&gt;"","")</f>
        <v>BAFS</v>
      </c>
      <c r="AC583">
        <v>5</v>
      </c>
      <c r="AD583" t="str">
        <v/>
      </c>
      <c r="AE583" t="str">
        <v/>
      </c>
      <c r="AF583" t="str" cm="1">
        <f t="array" ref="AF583">IF(AD583="","",SUMPRODUCT(IF(LEFT($AD$1:AD583,2)="JS",1,0)))</f>
        <v/>
      </c>
      <c r="AG583" t="b">
        <f t="shared" si="36"/>
        <v>1</v>
      </c>
      <c r="AH583" t="str">
        <f t="shared" si="37"/>
        <v/>
      </c>
      <c r="AI583" t="str">
        <f>IF(AH583="","",MAX($AF$1:$AF583))</f>
        <v/>
      </c>
      <c r="AJ583" t="str">
        <f t="shared" si="38"/>
        <v/>
      </c>
      <c r="AK583" t="str">
        <f>IF(AJ583="","",MAX($AF$1:$AF583))</f>
        <v/>
      </c>
      <c r="AL583" t="str">
        <f t="shared" si="39"/>
        <v>BAFS</v>
      </c>
      <c r="AM583">
        <f>IF(AL583="","",MAX($AF$1:$AF583))</f>
        <v>12</v>
      </c>
    </row>
    <row r="584" spans="1:39" ht="13.5" customHeight="1" x14ac:dyDescent="0.3">
      <c r="A584" s="8" t="s">
        <v>5</v>
      </c>
      <c r="B584" s="9"/>
      <c r="C584" s="10">
        <v>5</v>
      </c>
      <c r="D584" s="11"/>
      <c r="AB584" t="str" cm="1">
        <f t="array" ref="AB584:AC584">_xlfn._xlws.FILTER(A584:Z584,A584:Z584&lt;&gt;"","")</f>
        <v>Business, Accounting and Financial Studies (Accounting)</v>
      </c>
      <c r="AC584">
        <v>5</v>
      </c>
      <c r="AD584" t="str">
        <v/>
      </c>
      <c r="AE584" t="str">
        <v/>
      </c>
      <c r="AF584" t="str" cm="1">
        <f t="array" ref="AF584">IF(AD584="","",SUMPRODUCT(IF(LEFT($AD$1:AD584,2)="JS",1,0)))</f>
        <v/>
      </c>
      <c r="AG584" t="str">
        <f t="shared" si="36"/>
        <v/>
      </c>
      <c r="AH584" t="str">
        <f t="shared" si="37"/>
        <v/>
      </c>
      <c r="AI584" t="str">
        <f>IF(AH584="","",MAX($AF$1:$AF584))</f>
        <v/>
      </c>
      <c r="AJ584" t="str">
        <f t="shared" si="38"/>
        <v/>
      </c>
      <c r="AK584" t="str">
        <f>IF(AJ584="","",MAX($AF$1:$AF584))</f>
        <v/>
      </c>
      <c r="AL584" t="str">
        <f t="shared" si="39"/>
        <v/>
      </c>
      <c r="AM584" t="str">
        <f>IF(AL584="","",MAX($AF$1:$AF584))</f>
        <v/>
      </c>
    </row>
    <row r="585" spans="1:39" ht="13.5" customHeight="1" x14ac:dyDescent="0.3">
      <c r="A585" s="8" t="s">
        <v>6</v>
      </c>
      <c r="B585" s="9"/>
      <c r="C585" s="10">
        <v>5</v>
      </c>
      <c r="D585" s="11"/>
      <c r="AB585" t="str" cm="1">
        <f t="array" ref="AB585:AC585">_xlfn._xlws.FILTER(A585:Z585,A585:Z585&lt;&gt;"","")</f>
        <v>Business, Accounting and Financial Studies (Business Management)</v>
      </c>
      <c r="AC585">
        <v>5</v>
      </c>
      <c r="AD585" t="str">
        <v/>
      </c>
      <c r="AE585" t="str">
        <v/>
      </c>
      <c r="AF585" t="str" cm="1">
        <f t="array" ref="AF585">IF(AD585="","",SUMPRODUCT(IF(LEFT($AD$1:AD585,2)="JS",1,0)))</f>
        <v/>
      </c>
      <c r="AG585" t="str">
        <f t="shared" si="36"/>
        <v/>
      </c>
      <c r="AH585" t="str">
        <f t="shared" si="37"/>
        <v/>
      </c>
      <c r="AI585" t="str">
        <f>IF(AH585="","",MAX($AF$1:$AF585))</f>
        <v/>
      </c>
      <c r="AJ585" t="str">
        <f t="shared" si="38"/>
        <v/>
      </c>
      <c r="AK585" t="str">
        <f>IF(AJ585="","",MAX($AF$1:$AF585))</f>
        <v/>
      </c>
      <c r="AL585" t="str">
        <f t="shared" si="39"/>
        <v/>
      </c>
      <c r="AM585" t="str">
        <f>IF(AL585="","",MAX($AF$1:$AF585))</f>
        <v/>
      </c>
    </row>
    <row r="586" spans="1:39" ht="13.5" customHeight="1" x14ac:dyDescent="0.3">
      <c r="A586" s="8" t="s">
        <v>212</v>
      </c>
      <c r="B586" s="9"/>
      <c r="C586" s="10">
        <v>10</v>
      </c>
      <c r="D586" s="11"/>
      <c r="AB586" t="str" cm="1">
        <f t="array" ref="AB586:AC586">_xlfn._xlws.FILTER(A586:Z586,A586:Z586&lt;&gt;"","")</f>
        <v>CHEM</v>
      </c>
      <c r="AC586">
        <v>10</v>
      </c>
      <c r="AD586" t="str">
        <v/>
      </c>
      <c r="AE586" t="str">
        <v/>
      </c>
      <c r="AF586" t="str" cm="1">
        <f t="array" ref="AF586">IF(AD586="","",SUMPRODUCT(IF(LEFT($AD$1:AD586,2)="JS",1,0)))</f>
        <v/>
      </c>
      <c r="AG586" t="b">
        <f t="shared" si="36"/>
        <v>1</v>
      </c>
      <c r="AH586" t="str">
        <f t="shared" si="37"/>
        <v>CHEM</v>
      </c>
      <c r="AI586">
        <f>IF(AH586="","",MAX($AF$1:$AF586))</f>
        <v>12</v>
      </c>
      <c r="AJ586" t="str">
        <f t="shared" si="38"/>
        <v/>
      </c>
      <c r="AK586" t="str">
        <f>IF(AJ586="","",MAX($AF$1:$AF586))</f>
        <v/>
      </c>
      <c r="AL586" t="str">
        <f t="shared" si="39"/>
        <v/>
      </c>
      <c r="AM586" t="str">
        <f>IF(AL586="","",MAX($AF$1:$AF586))</f>
        <v/>
      </c>
    </row>
    <row r="587" spans="1:39" ht="13.5" customHeight="1" x14ac:dyDescent="0.3">
      <c r="A587" s="8" t="s">
        <v>214</v>
      </c>
      <c r="B587" s="9"/>
      <c r="C587" s="10">
        <v>5</v>
      </c>
      <c r="D587" s="11"/>
      <c r="AB587" t="str" cm="1">
        <f t="array" ref="AB587:AC587">_xlfn._xlws.FILTER(A587:Z587,A587:Z587&lt;&gt;"","")</f>
        <v>中史</v>
      </c>
      <c r="AC587">
        <v>5</v>
      </c>
      <c r="AD587" t="str">
        <v/>
      </c>
      <c r="AE587" t="str">
        <v/>
      </c>
      <c r="AF587" t="str" cm="1">
        <f t="array" ref="AF587">IF(AD587="","",SUMPRODUCT(IF(LEFT($AD$1:AD587,2)="JS",1,0)))</f>
        <v/>
      </c>
      <c r="AG587" t="b">
        <f t="shared" si="36"/>
        <v>1</v>
      </c>
      <c r="AH587" t="str">
        <f t="shared" si="37"/>
        <v/>
      </c>
      <c r="AI587" t="str">
        <f>IF(AH587="","",MAX($AF$1:$AF587))</f>
        <v/>
      </c>
      <c r="AJ587" t="str">
        <f t="shared" si="38"/>
        <v/>
      </c>
      <c r="AK587" t="str">
        <f>IF(AJ587="","",MAX($AF$1:$AF587))</f>
        <v/>
      </c>
      <c r="AL587" t="str">
        <f t="shared" si="39"/>
        <v>中史</v>
      </c>
      <c r="AM587">
        <f>IF(AL587="","",MAX($AF$1:$AF587))</f>
        <v>12</v>
      </c>
    </row>
    <row r="588" spans="1:39" ht="13.5" customHeight="1" x14ac:dyDescent="0.3">
      <c r="A588" s="8" t="s">
        <v>216</v>
      </c>
      <c r="B588" s="9"/>
      <c r="C588" s="10">
        <v>7</v>
      </c>
      <c r="D588" s="11"/>
      <c r="AB588" t="str" cm="1">
        <f t="array" ref="AB588:AC588">_xlfn._xlws.FILTER(A588:Z588,A588:Z588&lt;&gt;"","")</f>
        <v>中文</v>
      </c>
      <c r="AC588">
        <v>7</v>
      </c>
      <c r="AD588" t="str">
        <v/>
      </c>
      <c r="AE588" t="str">
        <v/>
      </c>
      <c r="AF588" t="str" cm="1">
        <f t="array" ref="AF588">IF(AD588="","",SUMPRODUCT(IF(LEFT($AD$1:AD588,2)="JS",1,0)))</f>
        <v/>
      </c>
      <c r="AG588" t="b">
        <f t="shared" si="36"/>
        <v>1</v>
      </c>
      <c r="AH588" t="str">
        <f t="shared" si="37"/>
        <v/>
      </c>
      <c r="AI588" t="str">
        <f>IF(AH588="","",MAX($AF$1:$AF588))</f>
        <v/>
      </c>
      <c r="AJ588" t="str">
        <f t="shared" si="38"/>
        <v>中文</v>
      </c>
      <c r="AK588">
        <f>IF(AJ588="","",MAX($AF$1:$AF588))</f>
        <v>12</v>
      </c>
      <c r="AL588" t="str">
        <f t="shared" si="39"/>
        <v/>
      </c>
      <c r="AM588" t="str">
        <f>IF(AL588="","",MAX($AF$1:$AF588))</f>
        <v/>
      </c>
    </row>
    <row r="589" spans="1:39" ht="13.5" customHeight="1" x14ac:dyDescent="0.3">
      <c r="A589" s="8" t="s">
        <v>7</v>
      </c>
      <c r="B589" s="9"/>
      <c r="C589" s="10">
        <v>5</v>
      </c>
      <c r="D589" s="11"/>
      <c r="AB589" t="str" cm="1">
        <f t="array" ref="AB589:AC589">_xlfn._xlws.FILTER(A589:Z589,A589:Z589&lt;&gt;"","")</f>
        <v>Chinese Literature</v>
      </c>
      <c r="AC589">
        <v>5</v>
      </c>
      <c r="AD589" t="str">
        <v/>
      </c>
      <c r="AE589" t="str">
        <v/>
      </c>
      <c r="AF589" t="str" cm="1">
        <f t="array" ref="AF589">IF(AD589="","",SUMPRODUCT(IF(LEFT($AD$1:AD589,2)="JS",1,0)))</f>
        <v/>
      </c>
      <c r="AG589" t="str">
        <f t="shared" si="36"/>
        <v/>
      </c>
      <c r="AH589" t="str">
        <f t="shared" si="37"/>
        <v/>
      </c>
      <c r="AI589" t="str">
        <f>IF(AH589="","",MAX($AF$1:$AF589))</f>
        <v/>
      </c>
      <c r="AJ589" t="str">
        <f t="shared" si="38"/>
        <v/>
      </c>
      <c r="AK589" t="str">
        <f>IF(AJ589="","",MAX($AF$1:$AF589))</f>
        <v/>
      </c>
      <c r="AL589" t="str">
        <f t="shared" si="39"/>
        <v/>
      </c>
      <c r="AM589" t="str">
        <f>IF(AL589="","",MAX($AF$1:$AF589))</f>
        <v/>
      </c>
    </row>
    <row r="590" spans="1:39" ht="13.5" customHeight="1" x14ac:dyDescent="0.3">
      <c r="A590" s="8" t="s">
        <v>8</v>
      </c>
      <c r="B590" s="9"/>
      <c r="C590" s="10">
        <v>10</v>
      </c>
      <c r="D590" s="11"/>
      <c r="AB590" t="str" cm="1">
        <f t="array" ref="AB590:AC590">_xlfn._xlws.FILTER(A590:Z590,A590:Z590&lt;&gt;"","")</f>
        <v>Combined Science: Biology + Chemistry</v>
      </c>
      <c r="AC590">
        <v>10</v>
      </c>
      <c r="AD590" t="str">
        <v/>
      </c>
      <c r="AE590" t="str">
        <v/>
      </c>
      <c r="AF590" t="str" cm="1">
        <f t="array" ref="AF590">IF(AD590="","",SUMPRODUCT(IF(LEFT($AD$1:AD590,2)="JS",1,0)))</f>
        <v/>
      </c>
      <c r="AG590" t="str">
        <f t="shared" si="36"/>
        <v/>
      </c>
      <c r="AH590" t="str">
        <f t="shared" si="37"/>
        <v/>
      </c>
      <c r="AI590" t="str">
        <f>IF(AH590="","",MAX($AF$1:$AF590))</f>
        <v/>
      </c>
      <c r="AJ590" t="str">
        <f t="shared" si="38"/>
        <v/>
      </c>
      <c r="AK590" t="str">
        <f>IF(AJ590="","",MAX($AF$1:$AF590))</f>
        <v/>
      </c>
      <c r="AL590" t="str">
        <f t="shared" si="39"/>
        <v/>
      </c>
      <c r="AM590" t="str">
        <f>IF(AL590="","",MAX($AF$1:$AF590))</f>
        <v/>
      </c>
    </row>
    <row r="591" spans="1:39" ht="13.5" customHeight="1" x14ac:dyDescent="0.3">
      <c r="A591" s="8" t="s">
        <v>9</v>
      </c>
      <c r="B591" s="9"/>
      <c r="C591" s="10">
        <v>10</v>
      </c>
      <c r="D591" s="11"/>
      <c r="AB591" t="str" cm="1">
        <f t="array" ref="AB591:AC591">_xlfn._xlws.FILTER(A591:Z591,A591:Z591&lt;&gt;"","")</f>
        <v>Combined Science: Biology + Physics</v>
      </c>
      <c r="AC591">
        <v>10</v>
      </c>
      <c r="AD591" t="str">
        <v/>
      </c>
      <c r="AE591" t="str">
        <v/>
      </c>
      <c r="AF591" t="str" cm="1">
        <f t="array" ref="AF591">IF(AD591="","",SUMPRODUCT(IF(LEFT($AD$1:AD591,2)="JS",1,0)))</f>
        <v/>
      </c>
      <c r="AG591" t="str">
        <f t="shared" si="36"/>
        <v/>
      </c>
      <c r="AH591" t="str">
        <f t="shared" si="37"/>
        <v/>
      </c>
      <c r="AI591" t="str">
        <f>IF(AH591="","",MAX($AF$1:$AF591))</f>
        <v/>
      </c>
      <c r="AJ591" t="str">
        <f t="shared" si="38"/>
        <v/>
      </c>
      <c r="AK591" t="str">
        <f>IF(AJ591="","",MAX($AF$1:$AF591))</f>
        <v/>
      </c>
      <c r="AL591" t="str">
        <f t="shared" si="39"/>
        <v/>
      </c>
      <c r="AM591" t="str">
        <f>IF(AL591="","",MAX($AF$1:$AF591))</f>
        <v/>
      </c>
    </row>
    <row r="592" spans="1:39" ht="13.5" customHeight="1" x14ac:dyDescent="0.3">
      <c r="A592" s="8" t="s">
        <v>10</v>
      </c>
      <c r="B592" s="9"/>
      <c r="C592" s="10">
        <v>10</v>
      </c>
      <c r="D592" s="11"/>
      <c r="AB592" t="str" cm="1">
        <f t="array" ref="AB592:AC592">_xlfn._xlws.FILTER(A592:Z592,A592:Z592&lt;&gt;"","")</f>
        <v>Combined Science: Physics + Chemistry</v>
      </c>
      <c r="AC592">
        <v>10</v>
      </c>
      <c r="AD592" t="str">
        <v/>
      </c>
      <c r="AE592" t="str">
        <v/>
      </c>
      <c r="AF592" t="str" cm="1">
        <f t="array" ref="AF592">IF(AD592="","",SUMPRODUCT(IF(LEFT($AD$1:AD592,2)="JS",1,0)))</f>
        <v/>
      </c>
      <c r="AG592" t="str">
        <f t="shared" si="36"/>
        <v/>
      </c>
      <c r="AH592" t="str">
        <f t="shared" si="37"/>
        <v/>
      </c>
      <c r="AI592" t="str">
        <f>IF(AH592="","",MAX($AF$1:$AF592))</f>
        <v/>
      </c>
      <c r="AJ592" t="str">
        <f t="shared" si="38"/>
        <v/>
      </c>
      <c r="AK592" t="str">
        <f>IF(AJ592="","",MAX($AF$1:$AF592))</f>
        <v/>
      </c>
      <c r="AL592" t="str">
        <f t="shared" si="39"/>
        <v/>
      </c>
      <c r="AM592" t="str">
        <f>IF(AL592="","",MAX($AF$1:$AF592))</f>
        <v/>
      </c>
    </row>
    <row r="593" spans="1:39" ht="13.5" customHeight="1" x14ac:dyDescent="0.3">
      <c r="A593" s="8" t="s">
        <v>11</v>
      </c>
      <c r="B593" s="9"/>
      <c r="C593" s="10">
        <v>5</v>
      </c>
      <c r="D593" s="11"/>
      <c r="AB593" t="str" cm="1">
        <f t="array" ref="AB593:AC593">_xlfn._xlws.FILTER(A593:Z593,A593:Z593&lt;&gt;"","")</f>
        <v>Design and Applied Technology</v>
      </c>
      <c r="AC593">
        <v>5</v>
      </c>
      <c r="AD593" t="str">
        <v/>
      </c>
      <c r="AE593" t="str">
        <v/>
      </c>
      <c r="AF593" t="str" cm="1">
        <f t="array" ref="AF593">IF(AD593="","",SUMPRODUCT(IF(LEFT($AD$1:AD593,2)="JS",1,0)))</f>
        <v/>
      </c>
      <c r="AG593" t="str">
        <f t="shared" si="36"/>
        <v/>
      </c>
      <c r="AH593" t="str">
        <f t="shared" si="37"/>
        <v/>
      </c>
      <c r="AI593" t="str">
        <f>IF(AH593="","",MAX($AF$1:$AF593))</f>
        <v/>
      </c>
      <c r="AJ593" t="str">
        <f t="shared" si="38"/>
        <v/>
      </c>
      <c r="AK593" t="str">
        <f>IF(AJ593="","",MAX($AF$1:$AF593))</f>
        <v/>
      </c>
      <c r="AL593" t="str">
        <f t="shared" si="39"/>
        <v/>
      </c>
      <c r="AM593" t="str">
        <f>IF(AL593="","",MAX($AF$1:$AF593))</f>
        <v/>
      </c>
    </row>
    <row r="594" spans="1:39" ht="13.5" customHeight="1" x14ac:dyDescent="0.3">
      <c r="A594" s="8" t="s">
        <v>217</v>
      </c>
      <c r="B594" s="9"/>
      <c r="C594" s="10">
        <v>5</v>
      </c>
      <c r="D594" s="11"/>
      <c r="AB594" t="str" cm="1">
        <f t="array" ref="AB594:AC594">_xlfn._xlws.FILTER(A594:Z594,A594:Z594&lt;&gt;"","")</f>
        <v>ECON</v>
      </c>
      <c r="AC594">
        <v>5</v>
      </c>
      <c r="AD594" t="str">
        <v/>
      </c>
      <c r="AE594" t="str">
        <v/>
      </c>
      <c r="AF594" t="str" cm="1">
        <f t="array" ref="AF594">IF(AD594="","",SUMPRODUCT(IF(LEFT($AD$1:AD594,2)="JS",1,0)))</f>
        <v/>
      </c>
      <c r="AG594" t="b">
        <f t="shared" si="36"/>
        <v>1</v>
      </c>
      <c r="AH594" t="str">
        <f t="shared" si="37"/>
        <v/>
      </c>
      <c r="AI594" t="str">
        <f>IF(AH594="","",MAX($AF$1:$AF594))</f>
        <v/>
      </c>
      <c r="AJ594" t="str">
        <f t="shared" si="38"/>
        <v/>
      </c>
      <c r="AK594" t="str">
        <f>IF(AJ594="","",MAX($AF$1:$AF594))</f>
        <v/>
      </c>
      <c r="AL594" t="str">
        <f t="shared" si="39"/>
        <v>ECON</v>
      </c>
      <c r="AM594">
        <f>IF(AL594="","",MAX($AF$1:$AF594))</f>
        <v>12</v>
      </c>
    </row>
    <row r="595" spans="1:39" ht="13.5" customHeight="1" x14ac:dyDescent="0.3">
      <c r="A595" s="8" t="s">
        <v>218</v>
      </c>
      <c r="B595" s="9"/>
      <c r="C595" s="10">
        <v>7</v>
      </c>
      <c r="D595" s="11"/>
      <c r="AB595" t="str" cm="1">
        <f t="array" ref="AB595:AC595">_xlfn._xlws.FILTER(A595:Z595,A595:Z595&lt;&gt;"","")</f>
        <v>ENG</v>
      </c>
      <c r="AC595">
        <v>7</v>
      </c>
      <c r="AD595" t="str">
        <v/>
      </c>
      <c r="AE595" t="str">
        <v/>
      </c>
      <c r="AF595" t="str" cm="1">
        <f t="array" ref="AF595">IF(AD595="","",SUMPRODUCT(IF(LEFT($AD$1:AD595,2)="JS",1,0)))</f>
        <v/>
      </c>
      <c r="AG595" t="b">
        <f t="shared" si="36"/>
        <v>1</v>
      </c>
      <c r="AH595" t="str">
        <f t="shared" si="37"/>
        <v/>
      </c>
      <c r="AI595" t="str">
        <f>IF(AH595="","",MAX($AF$1:$AF595))</f>
        <v/>
      </c>
      <c r="AJ595" t="str">
        <f t="shared" si="38"/>
        <v>ENG</v>
      </c>
      <c r="AK595">
        <f>IF(AJ595="","",MAX($AF$1:$AF595))</f>
        <v>12</v>
      </c>
      <c r="AL595" t="str">
        <f t="shared" si="39"/>
        <v/>
      </c>
      <c r="AM595" t="str">
        <f>IF(AL595="","",MAX($AF$1:$AF595))</f>
        <v/>
      </c>
    </row>
    <row r="596" spans="1:39" ht="13.5" customHeight="1" x14ac:dyDescent="0.3">
      <c r="A596" s="8" t="s">
        <v>12</v>
      </c>
      <c r="B596" s="9"/>
      <c r="C596" s="10">
        <v>5</v>
      </c>
      <c r="D596" s="11"/>
      <c r="AB596" t="str" cm="1">
        <f t="array" ref="AB596:AC596">_xlfn._xlws.FILTER(A596:Z596,A596:Z596&lt;&gt;"","")</f>
        <v>Ethics and Religious Studies</v>
      </c>
      <c r="AC596">
        <v>5</v>
      </c>
      <c r="AD596" t="str">
        <v/>
      </c>
      <c r="AE596" t="str">
        <v/>
      </c>
      <c r="AF596" t="str" cm="1">
        <f t="array" ref="AF596">IF(AD596="","",SUMPRODUCT(IF(LEFT($AD$1:AD596,2)="JS",1,0)))</f>
        <v/>
      </c>
      <c r="AG596" t="str">
        <f t="shared" si="36"/>
        <v/>
      </c>
      <c r="AH596" t="str">
        <f t="shared" si="37"/>
        <v/>
      </c>
      <c r="AI596" t="str">
        <f>IF(AH596="","",MAX($AF$1:$AF596))</f>
        <v/>
      </c>
      <c r="AJ596" t="str">
        <f t="shared" si="38"/>
        <v/>
      </c>
      <c r="AK596" t="str">
        <f>IF(AJ596="","",MAX($AF$1:$AF596))</f>
        <v/>
      </c>
      <c r="AL596" t="str">
        <f t="shared" si="39"/>
        <v/>
      </c>
      <c r="AM596" t="str">
        <f>IF(AL596="","",MAX($AF$1:$AF596))</f>
        <v/>
      </c>
    </row>
    <row r="597" spans="1:39" ht="13.5" customHeight="1" x14ac:dyDescent="0.3">
      <c r="A597" s="8" t="s">
        <v>219</v>
      </c>
      <c r="B597" s="9"/>
      <c r="C597" s="10">
        <v>5</v>
      </c>
      <c r="D597" s="11"/>
      <c r="AB597" t="str" cm="1">
        <f t="array" ref="AB597:AC597">_xlfn._xlws.FILTER(A597:Z597,A597:Z597&lt;&gt;"","")</f>
        <v>GEOG</v>
      </c>
      <c r="AC597">
        <v>5</v>
      </c>
      <c r="AD597" t="str">
        <v/>
      </c>
      <c r="AE597" t="str">
        <v/>
      </c>
      <c r="AF597" t="str" cm="1">
        <f t="array" ref="AF597">IF(AD597="","",SUMPRODUCT(IF(LEFT($AD$1:AD597,2)="JS",1,0)))</f>
        <v/>
      </c>
      <c r="AG597" t="b">
        <f t="shared" si="36"/>
        <v>1</v>
      </c>
      <c r="AH597" t="str">
        <f t="shared" si="37"/>
        <v/>
      </c>
      <c r="AI597" t="str">
        <f>IF(AH597="","",MAX($AF$1:$AF597))</f>
        <v/>
      </c>
      <c r="AJ597" t="str">
        <f t="shared" si="38"/>
        <v/>
      </c>
      <c r="AK597" t="str">
        <f>IF(AJ597="","",MAX($AF$1:$AF597))</f>
        <v/>
      </c>
      <c r="AL597" t="str">
        <f t="shared" si="39"/>
        <v>GEOG</v>
      </c>
      <c r="AM597">
        <f>IF(AL597="","",MAX($AF$1:$AF597))</f>
        <v>12</v>
      </c>
    </row>
    <row r="598" spans="1:39" ht="13.5" customHeight="1" x14ac:dyDescent="0.3">
      <c r="A598" s="8" t="s">
        <v>220</v>
      </c>
      <c r="B598" s="9"/>
      <c r="C598" s="10">
        <v>5</v>
      </c>
      <c r="D598" s="11"/>
      <c r="AB598" t="str" cm="1">
        <f t="array" ref="AB598:AC598">_xlfn._xlws.FILTER(A598:Z598,A598:Z598&lt;&gt;"","")</f>
        <v>HMSC</v>
      </c>
      <c r="AC598">
        <v>5</v>
      </c>
      <c r="AD598" t="str">
        <v/>
      </c>
      <c r="AE598" t="str">
        <v/>
      </c>
      <c r="AF598" t="str" cm="1">
        <f t="array" ref="AF598">IF(AD598="","",SUMPRODUCT(IF(LEFT($AD$1:AD598,2)="JS",1,0)))</f>
        <v/>
      </c>
      <c r="AG598" t="b">
        <f t="shared" si="36"/>
        <v>1</v>
      </c>
      <c r="AH598" t="str">
        <f t="shared" si="37"/>
        <v/>
      </c>
      <c r="AI598" t="str">
        <f>IF(AH598="","",MAX($AF$1:$AF598))</f>
        <v/>
      </c>
      <c r="AJ598" t="str">
        <f t="shared" si="38"/>
        <v/>
      </c>
      <c r="AK598" t="str">
        <f>IF(AJ598="","",MAX($AF$1:$AF598))</f>
        <v/>
      </c>
      <c r="AL598" t="str">
        <f t="shared" si="39"/>
        <v>HMSC</v>
      </c>
      <c r="AM598">
        <f>IF(AL598="","",MAX($AF$1:$AF598))</f>
        <v>12</v>
      </c>
    </row>
    <row r="599" spans="1:39" ht="13.5" customHeight="1" x14ac:dyDescent="0.3">
      <c r="A599" s="8" t="s">
        <v>221</v>
      </c>
      <c r="B599" s="9"/>
      <c r="C599" s="10">
        <v>5</v>
      </c>
      <c r="D599" s="11"/>
      <c r="AB599" t="str" cm="1">
        <f t="array" ref="AB599:AC599">_xlfn._xlws.FILTER(A599:Z599,A599:Z599&lt;&gt;"","")</f>
        <v>HIST</v>
      </c>
      <c r="AC599">
        <v>5</v>
      </c>
      <c r="AD599" t="str">
        <v/>
      </c>
      <c r="AE599" t="str">
        <v/>
      </c>
      <c r="AF599" t="str" cm="1">
        <f t="array" ref="AF599">IF(AD599="","",SUMPRODUCT(IF(LEFT($AD$1:AD599,2)="JS",1,0)))</f>
        <v/>
      </c>
      <c r="AG599" t="b">
        <f t="shared" si="36"/>
        <v>1</v>
      </c>
      <c r="AH599" t="str">
        <f t="shared" si="37"/>
        <v/>
      </c>
      <c r="AI599" t="str">
        <f>IF(AH599="","",MAX($AF$1:$AF599))</f>
        <v/>
      </c>
      <c r="AJ599" t="str">
        <f t="shared" si="38"/>
        <v/>
      </c>
      <c r="AK599" t="str">
        <f>IF(AJ599="","",MAX($AF$1:$AF599))</f>
        <v/>
      </c>
      <c r="AL599" t="str">
        <f t="shared" si="39"/>
        <v>HIST</v>
      </c>
      <c r="AM599">
        <f>IF(AL599="","",MAX($AF$1:$AF599))</f>
        <v>12</v>
      </c>
    </row>
    <row r="600" spans="1:39" ht="13.5" customHeight="1" x14ac:dyDescent="0.3">
      <c r="A600" s="8" t="s">
        <v>222</v>
      </c>
      <c r="B600" s="9"/>
      <c r="C600" s="10">
        <v>5</v>
      </c>
      <c r="D600" s="11"/>
      <c r="AB600" t="str" cm="1">
        <f t="array" ref="AB600:AC600">_xlfn._xlws.FILTER(A600:Z600,A600:Z600&lt;&gt;"","")</f>
        <v>ICT</v>
      </c>
      <c r="AC600">
        <v>5</v>
      </c>
      <c r="AD600" t="str">
        <v/>
      </c>
      <c r="AE600" t="str">
        <v/>
      </c>
      <c r="AF600" t="str" cm="1">
        <f t="array" ref="AF600">IF(AD600="","",SUMPRODUCT(IF(LEFT($AD$1:AD600,2)="JS",1,0)))</f>
        <v/>
      </c>
      <c r="AG600" t="b">
        <f t="shared" si="36"/>
        <v>1</v>
      </c>
      <c r="AH600" t="str">
        <f t="shared" si="37"/>
        <v/>
      </c>
      <c r="AI600" t="str">
        <f>IF(AH600="","",MAX($AF$1:$AF600))</f>
        <v/>
      </c>
      <c r="AJ600" t="str">
        <f t="shared" si="38"/>
        <v/>
      </c>
      <c r="AK600" t="str">
        <f>IF(AJ600="","",MAX($AF$1:$AF600))</f>
        <v/>
      </c>
      <c r="AL600" t="str">
        <f t="shared" si="39"/>
        <v>ICT</v>
      </c>
      <c r="AM600">
        <f>IF(AL600="","",MAX($AF$1:$AF600))</f>
        <v>12</v>
      </c>
    </row>
    <row r="601" spans="1:39" ht="13.5" customHeight="1" x14ac:dyDescent="0.3">
      <c r="A601" s="8" t="s">
        <v>13</v>
      </c>
      <c r="B601" s="9"/>
      <c r="C601" s="10">
        <v>5</v>
      </c>
      <c r="D601" s="11"/>
      <c r="AB601" t="str" cm="1">
        <f t="array" ref="AB601:AC601">_xlfn._xlws.FILTER(A601:Z601,A601:Z601&lt;&gt;"","")</f>
        <v>Integrated Science</v>
      </c>
      <c r="AC601">
        <v>5</v>
      </c>
      <c r="AD601" t="str">
        <v/>
      </c>
      <c r="AE601" t="str">
        <v/>
      </c>
      <c r="AF601" t="str" cm="1">
        <f t="array" ref="AF601">IF(AD601="","",SUMPRODUCT(IF(LEFT($AD$1:AD601,2)="JS",1,0)))</f>
        <v/>
      </c>
      <c r="AG601" t="str">
        <f t="shared" si="36"/>
        <v/>
      </c>
      <c r="AH601" t="str">
        <f t="shared" si="37"/>
        <v/>
      </c>
      <c r="AI601" t="str">
        <f>IF(AH601="","",MAX($AF$1:$AF601))</f>
        <v/>
      </c>
      <c r="AJ601" t="str">
        <f t="shared" si="38"/>
        <v/>
      </c>
      <c r="AK601" t="str">
        <f>IF(AJ601="","",MAX($AF$1:$AF601))</f>
        <v/>
      </c>
      <c r="AL601" t="str">
        <f t="shared" si="39"/>
        <v/>
      </c>
      <c r="AM601" t="str">
        <f>IF(AL601="","",MAX($AF$1:$AF601))</f>
        <v/>
      </c>
    </row>
    <row r="602" spans="1:39" ht="13.5" customHeight="1" x14ac:dyDescent="0.3">
      <c r="A602" s="8" t="s">
        <v>223</v>
      </c>
      <c r="B602" s="9"/>
      <c r="C602" s="10">
        <v>7</v>
      </c>
      <c r="D602" s="11"/>
      <c r="AB602" t="str" cm="1">
        <f t="array" ref="AB602:AC602">_xlfn._xlws.FILTER(A602:Z602,A602:Z602&lt;&gt;"","")</f>
        <v>通</v>
      </c>
      <c r="AC602">
        <v>7</v>
      </c>
      <c r="AD602" t="str">
        <v/>
      </c>
      <c r="AE602" t="str">
        <v/>
      </c>
      <c r="AF602" t="str" cm="1">
        <f t="array" ref="AF602">IF(AD602="","",SUMPRODUCT(IF(LEFT($AD$1:AD602,2)="JS",1,0)))</f>
        <v/>
      </c>
      <c r="AG602" t="b">
        <f t="shared" si="36"/>
        <v>1</v>
      </c>
      <c r="AH602" t="str">
        <f t="shared" si="37"/>
        <v/>
      </c>
      <c r="AI602" t="str">
        <f>IF(AH602="","",MAX($AF$1:$AF602))</f>
        <v/>
      </c>
      <c r="AJ602" t="str">
        <f t="shared" si="38"/>
        <v>通</v>
      </c>
      <c r="AK602">
        <f>IF(AJ602="","",MAX($AF$1:$AF602))</f>
        <v>12</v>
      </c>
      <c r="AL602" t="str">
        <f t="shared" si="39"/>
        <v/>
      </c>
      <c r="AM602" t="str">
        <f>IF(AL602="","",MAX($AF$1:$AF602))</f>
        <v/>
      </c>
    </row>
    <row r="603" spans="1:39" ht="13.5" customHeight="1" x14ac:dyDescent="0.3">
      <c r="A603" s="8" t="s">
        <v>14</v>
      </c>
      <c r="B603" s="9"/>
      <c r="C603" s="10">
        <v>5</v>
      </c>
      <c r="D603" s="11"/>
      <c r="AB603" t="str" cm="1">
        <f t="array" ref="AB603:AC603">_xlfn._xlws.FILTER(A603:Z603,A603:Z603&lt;&gt;"","")</f>
        <v>Literature in English</v>
      </c>
      <c r="AC603">
        <v>5</v>
      </c>
      <c r="AD603" t="str">
        <v/>
      </c>
      <c r="AE603" t="str">
        <v/>
      </c>
      <c r="AF603" t="str" cm="1">
        <f t="array" ref="AF603">IF(AD603="","",SUMPRODUCT(IF(LEFT($AD$1:AD603,2)="JS",1,0)))</f>
        <v/>
      </c>
      <c r="AG603" t="str">
        <f t="shared" si="36"/>
        <v/>
      </c>
      <c r="AH603" t="str">
        <f t="shared" si="37"/>
        <v/>
      </c>
      <c r="AI603" t="str">
        <f>IF(AH603="","",MAX($AF$1:$AF603))</f>
        <v/>
      </c>
      <c r="AJ603" t="str">
        <f t="shared" si="38"/>
        <v/>
      </c>
      <c r="AK603" t="str">
        <f>IF(AJ603="","",MAX($AF$1:$AF603))</f>
        <v/>
      </c>
      <c r="AL603" t="str">
        <f t="shared" si="39"/>
        <v/>
      </c>
      <c r="AM603" t="str">
        <f>IF(AL603="","",MAX($AF$1:$AF603))</f>
        <v/>
      </c>
    </row>
    <row r="604" spans="1:39" ht="13.5" customHeight="1" x14ac:dyDescent="0.3">
      <c r="A604" s="8" t="s">
        <v>224</v>
      </c>
      <c r="B604" s="9"/>
      <c r="C604" s="10">
        <v>10</v>
      </c>
      <c r="D604" s="11"/>
      <c r="AB604" t="str" cm="1">
        <f t="array" ref="AB604:AC604">_xlfn._xlws.FILTER(A604:Z604,A604:Z604&lt;&gt;"","")</f>
        <v>MATH</v>
      </c>
      <c r="AC604">
        <v>10</v>
      </c>
      <c r="AD604" t="str">
        <v/>
      </c>
      <c r="AE604" t="str">
        <v/>
      </c>
      <c r="AF604" t="str" cm="1">
        <f t="array" ref="AF604">IF(AD604="","",SUMPRODUCT(IF(LEFT($AD$1:AD604,2)="JS",1,0)))</f>
        <v/>
      </c>
      <c r="AG604" t="b">
        <f t="shared" si="36"/>
        <v>1</v>
      </c>
      <c r="AH604" t="str">
        <f t="shared" si="37"/>
        <v>MATH</v>
      </c>
      <c r="AI604">
        <f>IF(AH604="","",MAX($AF$1:$AF604))</f>
        <v>12</v>
      </c>
      <c r="AJ604" t="str">
        <f t="shared" si="38"/>
        <v/>
      </c>
      <c r="AK604" t="str">
        <f>IF(AJ604="","",MAX($AF$1:$AF604))</f>
        <v/>
      </c>
      <c r="AL604" t="str">
        <f t="shared" si="39"/>
        <v/>
      </c>
      <c r="AM604" t="str">
        <f>IF(AL604="","",MAX($AF$1:$AF604))</f>
        <v/>
      </c>
    </row>
    <row r="605" spans="1:39" ht="13.5" customHeight="1" x14ac:dyDescent="0.3">
      <c r="A605" s="8" t="s">
        <v>225</v>
      </c>
      <c r="B605" s="9"/>
      <c r="C605" s="10">
        <v>10</v>
      </c>
      <c r="D605" s="11"/>
      <c r="AB605" t="str" cm="1">
        <f t="array" ref="AB605:AC605">_xlfn._xlws.FILTER(A605:Z605,A605:Z605&lt;&gt;"","")</f>
        <v>M2</v>
      </c>
      <c r="AC605">
        <v>10</v>
      </c>
      <c r="AD605" t="str">
        <v/>
      </c>
      <c r="AE605" t="str">
        <v/>
      </c>
      <c r="AF605" t="str" cm="1">
        <f t="array" ref="AF605">IF(AD605="","",SUMPRODUCT(IF(LEFT($AD$1:AD605,2)="JS",1,0)))</f>
        <v/>
      </c>
      <c r="AG605" t="b">
        <f t="shared" si="36"/>
        <v>1</v>
      </c>
      <c r="AH605" t="str">
        <f t="shared" si="37"/>
        <v>M2</v>
      </c>
      <c r="AI605">
        <f>IF(AH605="","",MAX($AF$1:$AF605))</f>
        <v>12</v>
      </c>
      <c r="AJ605" t="str">
        <f t="shared" si="38"/>
        <v/>
      </c>
      <c r="AK605" t="str">
        <f>IF(AJ605="","",MAX($AF$1:$AF605))</f>
        <v/>
      </c>
      <c r="AL605" t="str">
        <f t="shared" si="39"/>
        <v/>
      </c>
      <c r="AM605" t="str">
        <f>IF(AL605="","",MAX($AF$1:$AF605))</f>
        <v/>
      </c>
    </row>
    <row r="606" spans="1:39" ht="13.5" customHeight="1" x14ac:dyDescent="0.3">
      <c r="A606" s="8" t="s">
        <v>15</v>
      </c>
      <c r="B606" s="9"/>
      <c r="C606" s="10">
        <v>10</v>
      </c>
      <c r="D606" s="11"/>
      <c r="AB606" t="str" cm="1">
        <f t="array" ref="AB606:AC606">_xlfn._xlws.FILTER(A606:Z606,A606:Z606&lt;&gt;"","")</f>
        <v>Mathematics (Extended part - Calculus and Statistics)</v>
      </c>
      <c r="AC606">
        <v>10</v>
      </c>
      <c r="AD606" t="str">
        <v/>
      </c>
      <c r="AE606" t="str">
        <v/>
      </c>
      <c r="AF606" t="str" cm="1">
        <f t="array" ref="AF606">IF(AD606="","",SUMPRODUCT(IF(LEFT($AD$1:AD606,2)="JS",1,0)))</f>
        <v/>
      </c>
      <c r="AG606" t="str">
        <f t="shared" si="36"/>
        <v/>
      </c>
      <c r="AH606" t="str">
        <f t="shared" si="37"/>
        <v/>
      </c>
      <c r="AI606" t="str">
        <f>IF(AH606="","",MAX($AF$1:$AF606))</f>
        <v/>
      </c>
      <c r="AJ606" t="str">
        <f t="shared" si="38"/>
        <v/>
      </c>
      <c r="AK606" t="str">
        <f>IF(AJ606="","",MAX($AF$1:$AF606))</f>
        <v/>
      </c>
      <c r="AL606" t="str">
        <f t="shared" si="39"/>
        <v/>
      </c>
      <c r="AM606" t="str">
        <f>IF(AL606="","",MAX($AF$1:$AF606))</f>
        <v/>
      </c>
    </row>
    <row r="607" spans="1:39" ht="13.5" customHeight="1" x14ac:dyDescent="0.3">
      <c r="A607" s="8" t="s">
        <v>16</v>
      </c>
      <c r="B607" s="9"/>
      <c r="C607" s="10">
        <v>5</v>
      </c>
      <c r="D607" s="11"/>
      <c r="AB607" t="str" cm="1">
        <f t="array" ref="AB607:AC607">_xlfn._xlws.FILTER(A607:Z607,A607:Z607&lt;&gt;"","")</f>
        <v>Music</v>
      </c>
      <c r="AC607">
        <v>5</v>
      </c>
      <c r="AD607" t="str">
        <v/>
      </c>
      <c r="AE607" t="str">
        <v/>
      </c>
      <c r="AF607" t="str" cm="1">
        <f t="array" ref="AF607">IF(AD607="","",SUMPRODUCT(IF(LEFT($AD$1:AD607,2)="JS",1,0)))</f>
        <v/>
      </c>
      <c r="AG607" t="str">
        <f t="shared" si="36"/>
        <v/>
      </c>
      <c r="AH607" t="str">
        <f t="shared" si="37"/>
        <v/>
      </c>
      <c r="AI607" t="str">
        <f>IF(AH607="","",MAX($AF$1:$AF607))</f>
        <v/>
      </c>
      <c r="AJ607" t="str">
        <f t="shared" si="38"/>
        <v/>
      </c>
      <c r="AK607" t="str">
        <f>IF(AJ607="","",MAX($AF$1:$AF607))</f>
        <v/>
      </c>
      <c r="AL607" t="str">
        <f t="shared" si="39"/>
        <v/>
      </c>
      <c r="AM607" t="str">
        <f>IF(AL607="","",MAX($AF$1:$AF607))</f>
        <v/>
      </c>
    </row>
    <row r="608" spans="1:39" ht="13.5" customHeight="1" x14ac:dyDescent="0.3">
      <c r="A608" s="8" t="s">
        <v>17</v>
      </c>
      <c r="B608" s="9"/>
      <c r="C608" s="10">
        <v>5</v>
      </c>
      <c r="D608" s="11"/>
      <c r="AB608" t="str" cm="1">
        <f t="array" ref="AB608:AC608">_xlfn._xlws.FILTER(A608:Z608,A608:Z608&lt;&gt;"","")</f>
        <v>Physical Education</v>
      </c>
      <c r="AC608">
        <v>5</v>
      </c>
      <c r="AD608" t="str">
        <v/>
      </c>
      <c r="AE608" t="str">
        <v/>
      </c>
      <c r="AF608" t="str" cm="1">
        <f t="array" ref="AF608">IF(AD608="","",SUMPRODUCT(IF(LEFT($AD$1:AD608,2)="JS",1,0)))</f>
        <v/>
      </c>
      <c r="AG608" t="str">
        <f t="shared" si="36"/>
        <v/>
      </c>
      <c r="AH608" t="str">
        <f t="shared" si="37"/>
        <v/>
      </c>
      <c r="AI608" t="str">
        <f>IF(AH608="","",MAX($AF$1:$AF608))</f>
        <v/>
      </c>
      <c r="AJ608" t="str">
        <f t="shared" si="38"/>
        <v/>
      </c>
      <c r="AK608" t="str">
        <f>IF(AJ608="","",MAX($AF$1:$AF608))</f>
        <v/>
      </c>
      <c r="AL608" t="str">
        <f t="shared" si="39"/>
        <v/>
      </c>
      <c r="AM608" t="str">
        <f>IF(AL608="","",MAX($AF$1:$AF608))</f>
        <v/>
      </c>
    </row>
    <row r="609" spans="1:39" ht="13.5" customHeight="1" x14ac:dyDescent="0.3">
      <c r="A609" s="8" t="s">
        <v>226</v>
      </c>
      <c r="B609" s="9"/>
      <c r="C609" s="10">
        <v>10</v>
      </c>
      <c r="D609" s="11"/>
      <c r="AB609" t="str" cm="1">
        <f t="array" ref="AB609:AC609">_xlfn._xlws.FILTER(A609:Z609,A609:Z609&lt;&gt;"","")</f>
        <v>PHY</v>
      </c>
      <c r="AC609">
        <v>10</v>
      </c>
      <c r="AD609" t="str">
        <v/>
      </c>
      <c r="AE609" t="str">
        <v/>
      </c>
      <c r="AF609" t="str" cm="1">
        <f t="array" ref="AF609">IF(AD609="","",SUMPRODUCT(IF(LEFT($AD$1:AD609,2)="JS",1,0)))</f>
        <v/>
      </c>
      <c r="AG609" t="b">
        <f t="shared" si="36"/>
        <v>1</v>
      </c>
      <c r="AH609" t="str">
        <f t="shared" si="37"/>
        <v>PHY</v>
      </c>
      <c r="AI609">
        <f>IF(AH609="","",MAX($AF$1:$AF609))</f>
        <v>12</v>
      </c>
      <c r="AJ609" t="str">
        <f t="shared" si="38"/>
        <v/>
      </c>
      <c r="AK609" t="str">
        <f>IF(AJ609="","",MAX($AF$1:$AF609))</f>
        <v/>
      </c>
      <c r="AL609" t="str">
        <f t="shared" si="39"/>
        <v/>
      </c>
      <c r="AM609" t="str">
        <f>IF(AL609="","",MAX($AF$1:$AF609))</f>
        <v/>
      </c>
    </row>
    <row r="610" spans="1:39" ht="13.5" customHeight="1" x14ac:dyDescent="0.3">
      <c r="A610" s="8" t="s">
        <v>18</v>
      </c>
      <c r="B610" s="9"/>
      <c r="C610" s="10">
        <v>5</v>
      </c>
      <c r="D610" s="11"/>
      <c r="AB610" t="str" cm="1">
        <f t="array" ref="AB610:AC610">_xlfn._xlws.FILTER(A610:Z610,A610:Z610&lt;&gt;"","")</f>
        <v>Technology and Living (Fashion, Clothing and Textiles)</v>
      </c>
      <c r="AC610">
        <v>5</v>
      </c>
      <c r="AD610" t="str">
        <v/>
      </c>
      <c r="AE610" t="str">
        <v/>
      </c>
      <c r="AF610" t="str" cm="1">
        <f t="array" ref="AF610">IF(AD610="","",SUMPRODUCT(IF(LEFT($AD$1:AD610,2)="JS",1,0)))</f>
        <v/>
      </c>
      <c r="AG610" t="str">
        <f t="shared" si="36"/>
        <v/>
      </c>
      <c r="AH610" t="str">
        <f t="shared" si="37"/>
        <v/>
      </c>
      <c r="AI610" t="str">
        <f>IF(AH610="","",MAX($AF$1:$AF610))</f>
        <v/>
      </c>
      <c r="AJ610" t="str">
        <f t="shared" si="38"/>
        <v/>
      </c>
      <c r="AK610" t="str">
        <f>IF(AJ610="","",MAX($AF$1:$AF610))</f>
        <v/>
      </c>
      <c r="AL610" t="str">
        <f t="shared" si="39"/>
        <v/>
      </c>
      <c r="AM610" t="str">
        <f>IF(AL610="","",MAX($AF$1:$AF610))</f>
        <v/>
      </c>
    </row>
    <row r="611" spans="1:39" ht="13.5" customHeight="1" x14ac:dyDescent="0.3">
      <c r="A611" s="8" t="s">
        <v>19</v>
      </c>
      <c r="B611" s="9"/>
      <c r="C611" s="10">
        <v>5</v>
      </c>
      <c r="D611" s="11"/>
      <c r="AB611" t="str" cm="1">
        <f t="array" ref="AB611:AC611">_xlfn._xlws.FILTER(A611:Z611,A611:Z611&lt;&gt;"","")</f>
        <v>Technology and Living (Food Science and Technology)</v>
      </c>
      <c r="AC611">
        <v>5</v>
      </c>
      <c r="AD611" t="str">
        <v/>
      </c>
      <c r="AE611" t="str">
        <v/>
      </c>
      <c r="AF611" t="str" cm="1">
        <f t="array" ref="AF611">IF(AD611="","",SUMPRODUCT(IF(LEFT($AD$1:AD611,2)="JS",1,0)))</f>
        <v/>
      </c>
      <c r="AG611" t="str">
        <f t="shared" si="36"/>
        <v/>
      </c>
      <c r="AH611" t="str">
        <f t="shared" si="37"/>
        <v/>
      </c>
      <c r="AI611" t="str">
        <f>IF(AH611="","",MAX($AF$1:$AF611))</f>
        <v/>
      </c>
      <c r="AJ611" t="str">
        <f t="shared" si="38"/>
        <v/>
      </c>
      <c r="AK611" t="str">
        <f>IF(AJ611="","",MAX($AF$1:$AF611))</f>
        <v/>
      </c>
      <c r="AL611" t="str">
        <f t="shared" si="39"/>
        <v/>
      </c>
      <c r="AM611" t="str">
        <f>IF(AL611="","",MAX($AF$1:$AF611))</f>
        <v/>
      </c>
    </row>
    <row r="612" spans="1:39" ht="13.5" customHeight="1" x14ac:dyDescent="0.3">
      <c r="A612" s="8" t="s">
        <v>20</v>
      </c>
      <c r="B612" s="9"/>
      <c r="C612" s="10">
        <v>5</v>
      </c>
      <c r="D612" s="11"/>
      <c r="AB612" t="str" cm="1">
        <f t="array" ref="AB612:AC612">_xlfn._xlws.FILTER(A612:Z612,A612:Z612&lt;&gt;"","")</f>
        <v>Tourism and Hospitality Studies</v>
      </c>
      <c r="AC612">
        <v>5</v>
      </c>
      <c r="AD612" t="str">
        <v/>
      </c>
      <c r="AE612" t="str">
        <v/>
      </c>
      <c r="AF612" t="str" cm="1">
        <f t="array" ref="AF612">IF(AD612="","",SUMPRODUCT(IF(LEFT($AD$1:AD612,2)="JS",1,0)))</f>
        <v/>
      </c>
      <c r="AG612" t="str">
        <f t="shared" si="36"/>
        <v/>
      </c>
      <c r="AH612" t="str">
        <f t="shared" si="37"/>
        <v/>
      </c>
      <c r="AI612" t="str">
        <f>IF(AH612="","",MAX($AF$1:$AF612))</f>
        <v/>
      </c>
      <c r="AJ612" t="str">
        <f t="shared" si="38"/>
        <v/>
      </c>
      <c r="AK612" t="str">
        <f>IF(AJ612="","",MAX($AF$1:$AF612))</f>
        <v/>
      </c>
      <c r="AL612" t="str">
        <f t="shared" si="39"/>
        <v/>
      </c>
      <c r="AM612" t="str">
        <f>IF(AL612="","",MAX($AF$1:$AF612))</f>
        <v/>
      </c>
    </row>
    <row r="613" spans="1:39" ht="13.5" customHeight="1" x14ac:dyDescent="0.3">
      <c r="A613" s="8" t="s">
        <v>210</v>
      </c>
      <c r="B613" s="9"/>
      <c r="C613" s="10">
        <v>5</v>
      </c>
      <c r="D613" s="11"/>
      <c r="AB613" t="str" cm="1">
        <f t="array" ref="AB613:AC613">_xlfn._xlws.FILTER(A613:Z613,A613:Z613&lt;&gt;"","")</f>
        <v>VA</v>
      </c>
      <c r="AC613">
        <v>5</v>
      </c>
      <c r="AD613" t="str">
        <v/>
      </c>
      <c r="AE613" t="str">
        <v/>
      </c>
      <c r="AF613" t="str" cm="1">
        <f t="array" ref="AF613">IF(AD613="","",SUMPRODUCT(IF(LEFT($AD$1:AD613,2)="JS",1,0)))</f>
        <v/>
      </c>
      <c r="AG613" t="b">
        <f t="shared" si="36"/>
        <v>1</v>
      </c>
      <c r="AH613" t="str">
        <f t="shared" si="37"/>
        <v/>
      </c>
      <c r="AI613" t="str">
        <f>IF(AH613="","",MAX($AF$1:$AF613))</f>
        <v/>
      </c>
      <c r="AJ613" t="str">
        <f t="shared" si="38"/>
        <v/>
      </c>
      <c r="AK613" t="str">
        <f>IF(AJ613="","",MAX($AF$1:$AF613))</f>
        <v/>
      </c>
      <c r="AL613" t="str">
        <f t="shared" si="39"/>
        <v>VA</v>
      </c>
      <c r="AM613">
        <f>IF(AL613="","",MAX($AF$1:$AF613))</f>
        <v>12</v>
      </c>
    </row>
    <row r="614" spans="1:39" ht="14.5" customHeight="1" x14ac:dyDescent="0.3">
      <c r="A614" s="12"/>
      <c r="B614" s="12"/>
      <c r="C614" s="2"/>
      <c r="D614" s="2"/>
      <c r="AB614" t="str" cm="1">
        <f t="array" ref="AB614">_xlfn._xlws.FILTER(A614:Z614,A614:Z614&lt;&gt;"","")</f>
        <v/>
      </c>
      <c r="AD614" t="str">
        <v/>
      </c>
      <c r="AE614" t="str">
        <v/>
      </c>
      <c r="AF614" t="str" cm="1">
        <f t="array" ref="AF614">IF(AD614="","",SUMPRODUCT(IF(LEFT($AD$1:AD614,2)="JS",1,0)))</f>
        <v/>
      </c>
      <c r="AG614" t="str">
        <f t="shared" si="36"/>
        <v/>
      </c>
      <c r="AH614" t="str">
        <f t="shared" si="37"/>
        <v/>
      </c>
      <c r="AI614" t="str">
        <f>IF(AH614="","",MAX($AF$1:$AF614))</f>
        <v/>
      </c>
      <c r="AJ614" t="str">
        <f t="shared" si="38"/>
        <v/>
      </c>
      <c r="AK614" t="str">
        <f>IF(AJ614="","",MAX($AF$1:$AF614))</f>
        <v/>
      </c>
      <c r="AL614" t="str">
        <f t="shared" si="39"/>
        <v/>
      </c>
      <c r="AM614" t="str">
        <f>IF(AL614="","",MAX($AF$1:$AF614))</f>
        <v/>
      </c>
    </row>
    <row r="615" spans="1:39" ht="13.5" customHeight="1" x14ac:dyDescent="0.3">
      <c r="A615" s="13" t="s">
        <v>34</v>
      </c>
      <c r="B615" s="13"/>
      <c r="C615" s="13"/>
      <c r="D615" s="13"/>
      <c r="AB615" t="str" cm="1">
        <f t="array" ref="AB615">_xlfn._xlws.FILTER(A615:Z615,A615:Z615&lt;&gt;"","")</f>
        <v>Category C: Other Language Subjects</v>
      </c>
      <c r="AD615" t="str">
        <v/>
      </c>
      <c r="AE615" t="str">
        <v/>
      </c>
      <c r="AF615" t="str" cm="1">
        <f t="array" ref="AF615">IF(AD615="","",SUMPRODUCT(IF(LEFT($AD$1:AD615,2)="JS",1,0)))</f>
        <v/>
      </c>
      <c r="AG615" t="str">
        <f t="shared" si="36"/>
        <v/>
      </c>
      <c r="AH615" t="str">
        <f t="shared" si="37"/>
        <v/>
      </c>
      <c r="AI615" t="str">
        <f>IF(AH615="","",MAX($AF$1:$AF615))</f>
        <v/>
      </c>
      <c r="AJ615" t="str">
        <f t="shared" si="38"/>
        <v/>
      </c>
      <c r="AK615" t="str">
        <f>IF(AJ615="","",MAX($AF$1:$AF615))</f>
        <v/>
      </c>
      <c r="AL615" t="str">
        <f t="shared" si="39"/>
        <v/>
      </c>
      <c r="AM615" t="str">
        <f>IF(AL615="","",MAX($AF$1:$AF615))</f>
        <v/>
      </c>
    </row>
    <row r="616" spans="1:39" ht="13.5" customHeight="1" x14ac:dyDescent="0.3">
      <c r="A616" s="14" t="s">
        <v>3</v>
      </c>
      <c r="B616" s="15"/>
      <c r="C616" s="16" t="s">
        <v>4</v>
      </c>
      <c r="D616" s="17"/>
      <c r="AB616" t="str" cm="1">
        <f t="array" ref="AB616:AC616">_xlfn._xlws.FILTER(A616:Z616,A616:Z616&lt;&gt;"","")</f>
        <v>Subject Name</v>
      </c>
      <c r="AC616" t="str">
        <v>Subject Weighting for 2023/24 Admission Exercise *</v>
      </c>
      <c r="AD616" t="str">
        <v/>
      </c>
      <c r="AE616" t="str">
        <v/>
      </c>
      <c r="AF616" t="str" cm="1">
        <f t="array" ref="AF616">IF(AD616="","",SUMPRODUCT(IF(LEFT($AD$1:AD616,2)="JS",1,0)))</f>
        <v/>
      </c>
      <c r="AG616" t="str">
        <f t="shared" si="36"/>
        <v/>
      </c>
      <c r="AH616" t="str">
        <f t="shared" si="37"/>
        <v/>
      </c>
      <c r="AI616" t="str">
        <f>IF(AH616="","",MAX($AF$1:$AF616))</f>
        <v/>
      </c>
      <c r="AJ616" t="str">
        <f t="shared" si="38"/>
        <v/>
      </c>
      <c r="AK616" t="str">
        <f>IF(AJ616="","",MAX($AF$1:$AF616))</f>
        <v/>
      </c>
      <c r="AL616" t="str">
        <f t="shared" si="39"/>
        <v/>
      </c>
      <c r="AM616" t="str">
        <f>IF(AL616="","",MAX($AF$1:$AF616))</f>
        <v/>
      </c>
    </row>
    <row r="617" spans="1:39" ht="13.5" customHeight="1" x14ac:dyDescent="0.3">
      <c r="A617" s="8" t="s">
        <v>35</v>
      </c>
      <c r="B617" s="9"/>
      <c r="C617" s="10">
        <v>5</v>
      </c>
      <c r="D617" s="11"/>
      <c r="AB617" t="str" cm="1">
        <f t="array" ref="AB617:AC617">_xlfn._xlws.FILTER(A617:Z617,A617:Z617&lt;&gt;"","")</f>
        <v>French</v>
      </c>
      <c r="AC617">
        <v>5</v>
      </c>
      <c r="AD617" t="str">
        <v/>
      </c>
      <c r="AE617" t="str">
        <v/>
      </c>
      <c r="AF617" t="str" cm="1">
        <f t="array" ref="AF617">IF(AD617="","",SUMPRODUCT(IF(LEFT($AD$1:AD617,2)="JS",1,0)))</f>
        <v/>
      </c>
      <c r="AG617" t="str">
        <f t="shared" si="36"/>
        <v/>
      </c>
      <c r="AH617" t="str">
        <f t="shared" si="37"/>
        <v/>
      </c>
      <c r="AI617" t="str">
        <f>IF(AH617="","",MAX($AF$1:$AF617))</f>
        <v/>
      </c>
      <c r="AJ617" t="str">
        <f t="shared" si="38"/>
        <v/>
      </c>
      <c r="AK617" t="str">
        <f>IF(AJ617="","",MAX($AF$1:$AF617))</f>
        <v/>
      </c>
      <c r="AL617" t="str">
        <f t="shared" si="39"/>
        <v/>
      </c>
      <c r="AM617" t="str">
        <f>IF(AL617="","",MAX($AF$1:$AF617))</f>
        <v/>
      </c>
    </row>
    <row r="618" spans="1:39" ht="13.5" customHeight="1" x14ac:dyDescent="0.3">
      <c r="A618" s="8" t="s">
        <v>36</v>
      </c>
      <c r="B618" s="9"/>
      <c r="C618" s="10">
        <v>5</v>
      </c>
      <c r="D618" s="11"/>
      <c r="AB618" t="str" cm="1">
        <f t="array" ref="AB618:AC618">_xlfn._xlws.FILTER(A618:Z618,A618:Z618&lt;&gt;"","")</f>
        <v>German</v>
      </c>
      <c r="AC618">
        <v>5</v>
      </c>
      <c r="AD618" t="str">
        <v/>
      </c>
      <c r="AE618" t="str">
        <v/>
      </c>
      <c r="AF618" t="str" cm="1">
        <f t="array" ref="AF618">IF(AD618="","",SUMPRODUCT(IF(LEFT($AD$1:AD618,2)="JS",1,0)))</f>
        <v/>
      </c>
      <c r="AG618" t="str">
        <f t="shared" si="36"/>
        <v/>
      </c>
      <c r="AH618" t="str">
        <f t="shared" si="37"/>
        <v/>
      </c>
      <c r="AI618" t="str">
        <f>IF(AH618="","",MAX($AF$1:$AF618))</f>
        <v/>
      </c>
      <c r="AJ618" t="str">
        <f t="shared" si="38"/>
        <v/>
      </c>
      <c r="AK618" t="str">
        <f>IF(AJ618="","",MAX($AF$1:$AF618))</f>
        <v/>
      </c>
      <c r="AL618" t="str">
        <f t="shared" si="39"/>
        <v/>
      </c>
      <c r="AM618" t="str">
        <f>IF(AL618="","",MAX($AF$1:$AF618))</f>
        <v/>
      </c>
    </row>
    <row r="619" spans="1:39" ht="13.5" customHeight="1" x14ac:dyDescent="0.3">
      <c r="A619" s="8" t="s">
        <v>37</v>
      </c>
      <c r="B619" s="9"/>
      <c r="C619" s="10">
        <v>5</v>
      </c>
      <c r="D619" s="11"/>
      <c r="AB619" t="str" cm="1">
        <f t="array" ref="AB619:AC619">_xlfn._xlws.FILTER(A619:Z619,A619:Z619&lt;&gt;"","")</f>
        <v>Hindi</v>
      </c>
      <c r="AC619">
        <v>5</v>
      </c>
      <c r="AD619" t="str">
        <v/>
      </c>
      <c r="AE619" t="str">
        <v/>
      </c>
      <c r="AF619" t="str" cm="1">
        <f t="array" ref="AF619">IF(AD619="","",SUMPRODUCT(IF(LEFT($AD$1:AD619,2)="JS",1,0)))</f>
        <v/>
      </c>
      <c r="AG619" t="str">
        <f t="shared" si="36"/>
        <v/>
      </c>
      <c r="AH619" t="str">
        <f t="shared" si="37"/>
        <v/>
      </c>
      <c r="AI619" t="str">
        <f>IF(AH619="","",MAX($AF$1:$AF619))</f>
        <v/>
      </c>
      <c r="AJ619" t="str">
        <f t="shared" si="38"/>
        <v/>
      </c>
      <c r="AK619" t="str">
        <f>IF(AJ619="","",MAX($AF$1:$AF619))</f>
        <v/>
      </c>
      <c r="AL619" t="str">
        <f t="shared" si="39"/>
        <v/>
      </c>
      <c r="AM619" t="str">
        <f>IF(AL619="","",MAX($AF$1:$AF619))</f>
        <v/>
      </c>
    </row>
    <row r="620" spans="1:39" ht="13.5" customHeight="1" x14ac:dyDescent="0.3">
      <c r="A620" s="8" t="s">
        <v>38</v>
      </c>
      <c r="B620" s="9"/>
      <c r="C620" s="10">
        <v>5</v>
      </c>
      <c r="D620" s="11"/>
      <c r="AB620" t="str" cm="1">
        <f t="array" ref="AB620:AC620">_xlfn._xlws.FILTER(A620:Z620,A620:Z620&lt;&gt;"","")</f>
        <v>Japanese</v>
      </c>
      <c r="AC620">
        <v>5</v>
      </c>
      <c r="AD620" t="str">
        <v/>
      </c>
      <c r="AE620" t="str">
        <v/>
      </c>
      <c r="AF620" t="str" cm="1">
        <f t="array" ref="AF620">IF(AD620="","",SUMPRODUCT(IF(LEFT($AD$1:AD620,2)="JS",1,0)))</f>
        <v/>
      </c>
      <c r="AG620" t="str">
        <f t="shared" si="36"/>
        <v/>
      </c>
      <c r="AH620" t="str">
        <f t="shared" si="37"/>
        <v/>
      </c>
      <c r="AI620" t="str">
        <f>IF(AH620="","",MAX($AF$1:$AF620))</f>
        <v/>
      </c>
      <c r="AJ620" t="str">
        <f t="shared" si="38"/>
        <v/>
      </c>
      <c r="AK620" t="str">
        <f>IF(AJ620="","",MAX($AF$1:$AF620))</f>
        <v/>
      </c>
      <c r="AL620" t="str">
        <f t="shared" si="39"/>
        <v/>
      </c>
      <c r="AM620" t="str">
        <f>IF(AL620="","",MAX($AF$1:$AF620))</f>
        <v/>
      </c>
    </row>
    <row r="621" spans="1:39" ht="13.5" customHeight="1" x14ac:dyDescent="0.3">
      <c r="A621" s="8" t="s">
        <v>39</v>
      </c>
      <c r="B621" s="9"/>
      <c r="C621" s="10">
        <v>5</v>
      </c>
      <c r="D621" s="11"/>
      <c r="AB621" t="str" cm="1">
        <f t="array" ref="AB621:AC621">_xlfn._xlws.FILTER(A621:Z621,A621:Z621&lt;&gt;"","")</f>
        <v>Spanish</v>
      </c>
      <c r="AC621">
        <v>5</v>
      </c>
      <c r="AD621" t="str">
        <v/>
      </c>
      <c r="AE621" t="str">
        <v/>
      </c>
      <c r="AF621" t="str" cm="1">
        <f t="array" ref="AF621">IF(AD621="","",SUMPRODUCT(IF(LEFT($AD$1:AD621,2)="JS",1,0)))</f>
        <v/>
      </c>
      <c r="AG621" t="str">
        <f t="shared" si="36"/>
        <v/>
      </c>
      <c r="AH621" t="str">
        <f t="shared" si="37"/>
        <v/>
      </c>
      <c r="AI621" t="str">
        <f>IF(AH621="","",MAX($AF$1:$AF621))</f>
        <v/>
      </c>
      <c r="AJ621" t="str">
        <f t="shared" si="38"/>
        <v/>
      </c>
      <c r="AK621" t="str">
        <f>IF(AJ621="","",MAX($AF$1:$AF621))</f>
        <v/>
      </c>
      <c r="AL621" t="str">
        <f t="shared" si="39"/>
        <v/>
      </c>
      <c r="AM621" t="str">
        <f>IF(AL621="","",MAX($AF$1:$AF621))</f>
        <v/>
      </c>
    </row>
    <row r="622" spans="1:39" ht="13.5" customHeight="1" x14ac:dyDescent="0.3">
      <c r="A622" s="8" t="s">
        <v>40</v>
      </c>
      <c r="B622" s="9"/>
      <c r="C622" s="10">
        <v>5</v>
      </c>
      <c r="D622" s="11"/>
      <c r="AB622" t="str" cm="1">
        <f t="array" ref="AB622:AC622">_xlfn._xlws.FILTER(A622:Z622,A622:Z622&lt;&gt;"","")</f>
        <v>Urdu</v>
      </c>
      <c r="AC622">
        <v>5</v>
      </c>
      <c r="AD622" t="str">
        <v/>
      </c>
      <c r="AE622" t="str">
        <v/>
      </c>
      <c r="AF622" t="str" cm="1">
        <f t="array" ref="AF622">IF(AD622="","",SUMPRODUCT(IF(LEFT($AD$1:AD622,2)="JS",1,0)))</f>
        <v/>
      </c>
      <c r="AG622" t="str">
        <f t="shared" si="36"/>
        <v/>
      </c>
      <c r="AH622" t="str">
        <f t="shared" si="37"/>
        <v/>
      </c>
      <c r="AI622" t="str">
        <f>IF(AH622="","",MAX($AF$1:$AF622))</f>
        <v/>
      </c>
      <c r="AJ622" t="str">
        <f t="shared" si="38"/>
        <v/>
      </c>
      <c r="AK622" t="str">
        <f>IF(AJ622="","",MAX($AF$1:$AF622))</f>
        <v/>
      </c>
      <c r="AL622" t="str">
        <f t="shared" si="39"/>
        <v/>
      </c>
      <c r="AM622" t="str">
        <f>IF(AL622="","",MAX($AF$1:$AF622))</f>
        <v/>
      </c>
    </row>
    <row r="623" spans="1:39" ht="15" customHeight="1" x14ac:dyDescent="0.3">
      <c r="A623" s="18" t="s">
        <v>103</v>
      </c>
      <c r="B623" s="18"/>
      <c r="C623" s="18"/>
      <c r="D623" s="1"/>
      <c r="AB623" t="str" cm="1">
        <f t="array" ref="AB623">_xlfn._xlws.FILTER(A623:Z623,A623:Z623&lt;&gt;"","")</f>
        <v>JUPAS Code: JS3170</v>
      </c>
      <c r="AD623" t="str">
        <v>JS3170</v>
      </c>
      <c r="AE623" t="str">
        <v/>
      </c>
      <c r="AF623" cm="1">
        <f t="array" ref="AF623">IF(AD623="","",SUMPRODUCT(IF(LEFT($AD$1:AD623,2)="JS",1,0)))</f>
        <v>13</v>
      </c>
      <c r="AG623" t="str">
        <f t="shared" si="36"/>
        <v/>
      </c>
      <c r="AH623" t="str">
        <f t="shared" si="37"/>
        <v/>
      </c>
      <c r="AI623" t="str">
        <f>IF(AH623="","",MAX($AF$1:$AF623))</f>
        <v/>
      </c>
      <c r="AJ623" t="str">
        <f t="shared" si="38"/>
        <v/>
      </c>
      <c r="AK623" t="str">
        <f>IF(AJ623="","",MAX($AF$1:$AF623))</f>
        <v/>
      </c>
      <c r="AL623" t="str">
        <f t="shared" si="39"/>
        <v/>
      </c>
      <c r="AM623" t="str">
        <f>IF(AL623="","",MAX($AF$1:$AF623))</f>
        <v/>
      </c>
    </row>
    <row r="624" spans="1:39" ht="13.5" customHeight="1" x14ac:dyDescent="0.3">
      <c r="A624" s="18" t="s">
        <v>104</v>
      </c>
      <c r="B624" s="18"/>
      <c r="C624" s="18"/>
      <c r="D624" s="1"/>
      <c r="AB624" t="str" cm="1">
        <f t="array" ref="AB624">_xlfn._xlws.FILTER(A624:Z624,A624:Z624&lt;&gt;"","")</f>
        <v>Programme Title: BEng (Hons) Scheme in Electrical Engineering</v>
      </c>
      <c r="AD624" t="str">
        <v/>
      </c>
      <c r="AE624" t="str">
        <v>BEng (Hons) Scheme in Electrical Engineering</v>
      </c>
      <c r="AF624" t="str" cm="1">
        <f t="array" ref="AF624">IF(AD624="","",SUMPRODUCT(IF(LEFT($AD$1:AD624,2)="JS",1,0)))</f>
        <v/>
      </c>
      <c r="AG624" t="str">
        <f t="shared" si="36"/>
        <v/>
      </c>
      <c r="AH624" t="str">
        <f t="shared" si="37"/>
        <v/>
      </c>
      <c r="AI624" t="str">
        <f>IF(AH624="","",MAX($AF$1:$AF624))</f>
        <v/>
      </c>
      <c r="AJ624" t="str">
        <f t="shared" si="38"/>
        <v/>
      </c>
      <c r="AK624" t="str">
        <f>IF(AJ624="","",MAX($AF$1:$AF624))</f>
        <v/>
      </c>
      <c r="AL624" t="str">
        <f t="shared" si="39"/>
        <v/>
      </c>
      <c r="AM624" t="str">
        <f>IF(AL624="","",MAX($AF$1:$AF624))</f>
        <v/>
      </c>
    </row>
    <row r="625" spans="1:39" ht="14.5" customHeight="1" x14ac:dyDescent="0.3">
      <c r="A625" s="12"/>
      <c r="B625" s="12"/>
      <c r="C625" s="2"/>
      <c r="D625" s="2"/>
      <c r="AB625" t="str" cm="1">
        <f t="array" ref="AB625">_xlfn._xlws.FILTER(A625:Z625,A625:Z625&lt;&gt;"","")</f>
        <v/>
      </c>
      <c r="AD625" t="str">
        <v/>
      </c>
      <c r="AE625" t="str">
        <v/>
      </c>
      <c r="AF625" t="str" cm="1">
        <f t="array" ref="AF625">IF(AD625="","",SUMPRODUCT(IF(LEFT($AD$1:AD625,2)="JS",1,0)))</f>
        <v/>
      </c>
      <c r="AG625" t="str">
        <f t="shared" si="36"/>
        <v/>
      </c>
      <c r="AH625" t="str">
        <f t="shared" si="37"/>
        <v/>
      </c>
      <c r="AI625" t="str">
        <f>IF(AH625="","",MAX($AF$1:$AF625))</f>
        <v/>
      </c>
      <c r="AJ625" t="str">
        <f t="shared" si="38"/>
        <v/>
      </c>
      <c r="AK625" t="str">
        <f>IF(AJ625="","",MAX($AF$1:$AF625))</f>
        <v/>
      </c>
      <c r="AL625" t="str">
        <f t="shared" si="39"/>
        <v/>
      </c>
      <c r="AM625" t="str">
        <f>IF(AL625="","",MAX($AF$1:$AF625))</f>
        <v/>
      </c>
    </row>
    <row r="626" spans="1:39" ht="13.5" customHeight="1" x14ac:dyDescent="0.3">
      <c r="A626" s="13" t="s">
        <v>2</v>
      </c>
      <c r="B626" s="13"/>
      <c r="C626" s="13"/>
      <c r="D626" s="13"/>
      <c r="AB626" t="str" cm="1">
        <f t="array" ref="AB626">_xlfn._xlws.FILTER(A626:Z626,A626:Z626&lt;&gt;"","")</f>
        <v>Category A: Core and Elective Subjects</v>
      </c>
      <c r="AD626" t="str">
        <v/>
      </c>
      <c r="AE626" t="str">
        <v/>
      </c>
      <c r="AF626" t="str" cm="1">
        <f t="array" ref="AF626">IF(AD626="","",SUMPRODUCT(IF(LEFT($AD$1:AD626,2)="JS",1,0)))</f>
        <v/>
      </c>
      <c r="AG626" t="str">
        <f t="shared" si="36"/>
        <v/>
      </c>
      <c r="AH626" t="str">
        <f t="shared" si="37"/>
        <v/>
      </c>
      <c r="AI626" t="str">
        <f>IF(AH626="","",MAX($AF$1:$AF626))</f>
        <v/>
      </c>
      <c r="AJ626" t="str">
        <f t="shared" si="38"/>
        <v/>
      </c>
      <c r="AK626" t="str">
        <f>IF(AJ626="","",MAX($AF$1:$AF626))</f>
        <v/>
      </c>
      <c r="AL626" t="str">
        <f t="shared" si="39"/>
        <v/>
      </c>
      <c r="AM626" t="str">
        <f>IF(AL626="","",MAX($AF$1:$AF626))</f>
        <v/>
      </c>
    </row>
    <row r="627" spans="1:39" ht="13.5" customHeight="1" x14ac:dyDescent="0.3">
      <c r="A627" s="14" t="s">
        <v>3</v>
      </c>
      <c r="B627" s="15"/>
      <c r="C627" s="16" t="s">
        <v>4</v>
      </c>
      <c r="D627" s="17"/>
      <c r="AB627" t="str" cm="1">
        <f t="array" ref="AB627:AC627">_xlfn._xlws.FILTER(A627:Z627,A627:Z627&lt;&gt;"","")</f>
        <v>Subject Name</v>
      </c>
      <c r="AC627" t="str">
        <v>Subject Weighting for 2023/24 Admission Exercise *</v>
      </c>
      <c r="AD627" t="str">
        <v/>
      </c>
      <c r="AE627" t="str">
        <v/>
      </c>
      <c r="AF627" t="str" cm="1">
        <f t="array" ref="AF627">IF(AD627="","",SUMPRODUCT(IF(LEFT($AD$1:AD627,2)="JS",1,0)))</f>
        <v/>
      </c>
      <c r="AG627" t="str">
        <f t="shared" si="36"/>
        <v/>
      </c>
      <c r="AH627" t="str">
        <f t="shared" si="37"/>
        <v/>
      </c>
      <c r="AI627" t="str">
        <f>IF(AH627="","",MAX($AF$1:$AF627))</f>
        <v/>
      </c>
      <c r="AJ627" t="str">
        <f t="shared" si="38"/>
        <v/>
      </c>
      <c r="AK627" t="str">
        <f>IF(AJ627="","",MAX($AF$1:$AF627))</f>
        <v/>
      </c>
      <c r="AL627" t="str">
        <f t="shared" si="39"/>
        <v/>
      </c>
      <c r="AM627" t="str">
        <f>IF(AL627="","",MAX($AF$1:$AF627))</f>
        <v/>
      </c>
    </row>
    <row r="628" spans="1:39" ht="13.5" customHeight="1" x14ac:dyDescent="0.3">
      <c r="A628" s="8" t="s">
        <v>211</v>
      </c>
      <c r="B628" s="9"/>
      <c r="C628" s="10">
        <v>10</v>
      </c>
      <c r="D628" s="11"/>
      <c r="AB628" t="str" cm="1">
        <f t="array" ref="AB628:AC628">_xlfn._xlws.FILTER(A628:Z628,A628:Z628&lt;&gt;"","")</f>
        <v>BIO</v>
      </c>
      <c r="AC628">
        <v>10</v>
      </c>
      <c r="AD628" t="str">
        <v/>
      </c>
      <c r="AE628" t="str">
        <v/>
      </c>
      <c r="AF628" t="str" cm="1">
        <f t="array" ref="AF628">IF(AD628="","",SUMPRODUCT(IF(LEFT($AD$1:AD628,2)="JS",1,0)))</f>
        <v/>
      </c>
      <c r="AG628" t="b">
        <f t="shared" si="36"/>
        <v>1</v>
      </c>
      <c r="AH628" t="str">
        <f t="shared" si="37"/>
        <v>BIO</v>
      </c>
      <c r="AI628">
        <f>IF(AH628="","",MAX($AF$1:$AF628))</f>
        <v>13</v>
      </c>
      <c r="AJ628" t="str">
        <f t="shared" si="38"/>
        <v/>
      </c>
      <c r="AK628" t="str">
        <f>IF(AJ628="","",MAX($AF$1:$AF628))</f>
        <v/>
      </c>
      <c r="AL628" t="str">
        <f t="shared" si="39"/>
        <v/>
      </c>
      <c r="AM628" t="str">
        <f>IF(AL628="","",MAX($AF$1:$AF628))</f>
        <v/>
      </c>
    </row>
    <row r="629" spans="1:39" ht="13.5" customHeight="1" x14ac:dyDescent="0.3">
      <c r="A629" s="8" t="s">
        <v>213</v>
      </c>
      <c r="B629" s="9"/>
      <c r="C629" s="10">
        <v>7</v>
      </c>
      <c r="D629" s="11"/>
      <c r="AB629" t="str" cm="1">
        <f t="array" ref="AB629:AC629">_xlfn._xlws.FILTER(A629:Z629,A629:Z629&lt;&gt;"","")</f>
        <v>BAFS</v>
      </c>
      <c r="AC629">
        <v>7</v>
      </c>
      <c r="AD629" t="str">
        <v/>
      </c>
      <c r="AE629" t="str">
        <v/>
      </c>
      <c r="AF629" t="str" cm="1">
        <f t="array" ref="AF629">IF(AD629="","",SUMPRODUCT(IF(LEFT($AD$1:AD629,2)="JS",1,0)))</f>
        <v/>
      </c>
      <c r="AG629" t="b">
        <f t="shared" si="36"/>
        <v>1</v>
      </c>
      <c r="AH629" t="str">
        <f t="shared" si="37"/>
        <v/>
      </c>
      <c r="AI629" t="str">
        <f>IF(AH629="","",MAX($AF$1:$AF629))</f>
        <v/>
      </c>
      <c r="AJ629" t="str">
        <f t="shared" si="38"/>
        <v>BAFS</v>
      </c>
      <c r="AK629">
        <f>IF(AJ629="","",MAX($AF$1:$AF629))</f>
        <v>13</v>
      </c>
      <c r="AL629" t="str">
        <f t="shared" si="39"/>
        <v/>
      </c>
      <c r="AM629" t="str">
        <f>IF(AL629="","",MAX($AF$1:$AF629))</f>
        <v/>
      </c>
    </row>
    <row r="630" spans="1:39" ht="13.5" customHeight="1" x14ac:dyDescent="0.3">
      <c r="A630" s="8" t="s">
        <v>5</v>
      </c>
      <c r="B630" s="9"/>
      <c r="C630" s="10">
        <v>7</v>
      </c>
      <c r="D630" s="11"/>
      <c r="AB630" t="str" cm="1">
        <f t="array" ref="AB630:AC630">_xlfn._xlws.FILTER(A630:Z630,A630:Z630&lt;&gt;"","")</f>
        <v>Business, Accounting and Financial Studies (Accounting)</v>
      </c>
      <c r="AC630">
        <v>7</v>
      </c>
      <c r="AD630" t="str">
        <v/>
      </c>
      <c r="AE630" t="str">
        <v/>
      </c>
      <c r="AF630" t="str" cm="1">
        <f t="array" ref="AF630">IF(AD630="","",SUMPRODUCT(IF(LEFT($AD$1:AD630,2)="JS",1,0)))</f>
        <v/>
      </c>
      <c r="AG630" t="str">
        <f t="shared" si="36"/>
        <v/>
      </c>
      <c r="AH630" t="str">
        <f t="shared" si="37"/>
        <v/>
      </c>
      <c r="AI630" t="str">
        <f>IF(AH630="","",MAX($AF$1:$AF630))</f>
        <v/>
      </c>
      <c r="AJ630" t="str">
        <f t="shared" si="38"/>
        <v/>
      </c>
      <c r="AK630" t="str">
        <f>IF(AJ630="","",MAX($AF$1:$AF630))</f>
        <v/>
      </c>
      <c r="AL630" t="str">
        <f t="shared" si="39"/>
        <v/>
      </c>
      <c r="AM630" t="str">
        <f>IF(AL630="","",MAX($AF$1:$AF630))</f>
        <v/>
      </c>
    </row>
    <row r="631" spans="1:39" ht="13.5" customHeight="1" x14ac:dyDescent="0.3">
      <c r="A631" s="8" t="s">
        <v>6</v>
      </c>
      <c r="B631" s="9"/>
      <c r="C631" s="10">
        <v>7</v>
      </c>
      <c r="D631" s="11"/>
      <c r="AB631" t="str" cm="1">
        <f t="array" ref="AB631:AC631">_xlfn._xlws.FILTER(A631:Z631,A631:Z631&lt;&gt;"","")</f>
        <v>Business, Accounting and Financial Studies (Business Management)</v>
      </c>
      <c r="AC631">
        <v>7</v>
      </c>
      <c r="AD631" t="str">
        <v/>
      </c>
      <c r="AE631" t="str">
        <v/>
      </c>
      <c r="AF631" t="str" cm="1">
        <f t="array" ref="AF631">IF(AD631="","",SUMPRODUCT(IF(LEFT($AD$1:AD631,2)="JS",1,0)))</f>
        <v/>
      </c>
      <c r="AG631" t="str">
        <f t="shared" si="36"/>
        <v/>
      </c>
      <c r="AH631" t="str">
        <f t="shared" si="37"/>
        <v/>
      </c>
      <c r="AI631" t="str">
        <f>IF(AH631="","",MAX($AF$1:$AF631))</f>
        <v/>
      </c>
      <c r="AJ631" t="str">
        <f t="shared" si="38"/>
        <v/>
      </c>
      <c r="AK631" t="str">
        <f>IF(AJ631="","",MAX($AF$1:$AF631))</f>
        <v/>
      </c>
      <c r="AL631" t="str">
        <f t="shared" si="39"/>
        <v/>
      </c>
      <c r="AM631" t="str">
        <f>IF(AL631="","",MAX($AF$1:$AF631))</f>
        <v/>
      </c>
    </row>
    <row r="632" spans="1:39" ht="13.5" customHeight="1" x14ac:dyDescent="0.3">
      <c r="A632" s="8" t="s">
        <v>212</v>
      </c>
      <c r="B632" s="9"/>
      <c r="C632" s="10">
        <v>10</v>
      </c>
      <c r="D632" s="11"/>
      <c r="AB632" t="str" cm="1">
        <f t="array" ref="AB632:AC632">_xlfn._xlws.FILTER(A632:Z632,A632:Z632&lt;&gt;"","")</f>
        <v>CHEM</v>
      </c>
      <c r="AC632">
        <v>10</v>
      </c>
      <c r="AD632" t="str">
        <v/>
      </c>
      <c r="AE632" t="str">
        <v/>
      </c>
      <c r="AF632" t="str" cm="1">
        <f t="array" ref="AF632">IF(AD632="","",SUMPRODUCT(IF(LEFT($AD$1:AD632,2)="JS",1,0)))</f>
        <v/>
      </c>
      <c r="AG632" t="b">
        <f t="shared" si="36"/>
        <v>1</v>
      </c>
      <c r="AH632" t="str">
        <f t="shared" si="37"/>
        <v>CHEM</v>
      </c>
      <c r="AI632">
        <f>IF(AH632="","",MAX($AF$1:$AF632))</f>
        <v>13</v>
      </c>
      <c r="AJ632" t="str">
        <f t="shared" si="38"/>
        <v/>
      </c>
      <c r="AK632" t="str">
        <f>IF(AJ632="","",MAX($AF$1:$AF632))</f>
        <v/>
      </c>
      <c r="AL632" t="str">
        <f t="shared" si="39"/>
        <v/>
      </c>
      <c r="AM632" t="str">
        <f>IF(AL632="","",MAX($AF$1:$AF632))</f>
        <v/>
      </c>
    </row>
    <row r="633" spans="1:39" ht="13.5" customHeight="1" x14ac:dyDescent="0.3">
      <c r="A633" s="8" t="s">
        <v>214</v>
      </c>
      <c r="B633" s="9"/>
      <c r="C633" s="10">
        <v>5</v>
      </c>
      <c r="D633" s="11"/>
      <c r="AB633" t="str" cm="1">
        <f t="array" ref="AB633:AC633">_xlfn._xlws.FILTER(A633:Z633,A633:Z633&lt;&gt;"","")</f>
        <v>中史</v>
      </c>
      <c r="AC633">
        <v>5</v>
      </c>
      <c r="AD633" t="str">
        <v/>
      </c>
      <c r="AE633" t="str">
        <v/>
      </c>
      <c r="AF633" t="str" cm="1">
        <f t="array" ref="AF633">IF(AD633="","",SUMPRODUCT(IF(LEFT($AD$1:AD633,2)="JS",1,0)))</f>
        <v/>
      </c>
      <c r="AG633" t="b">
        <f t="shared" si="36"/>
        <v>1</v>
      </c>
      <c r="AH633" t="str">
        <f t="shared" si="37"/>
        <v/>
      </c>
      <c r="AI633" t="str">
        <f>IF(AH633="","",MAX($AF$1:$AF633))</f>
        <v/>
      </c>
      <c r="AJ633" t="str">
        <f t="shared" si="38"/>
        <v/>
      </c>
      <c r="AK633" t="str">
        <f>IF(AJ633="","",MAX($AF$1:$AF633))</f>
        <v/>
      </c>
      <c r="AL633" t="str">
        <f t="shared" si="39"/>
        <v>中史</v>
      </c>
      <c r="AM633">
        <f>IF(AL633="","",MAX($AF$1:$AF633))</f>
        <v>13</v>
      </c>
    </row>
    <row r="634" spans="1:39" ht="13.5" customHeight="1" x14ac:dyDescent="0.3">
      <c r="A634" s="8" t="s">
        <v>216</v>
      </c>
      <c r="B634" s="9"/>
      <c r="C634" s="10">
        <v>7</v>
      </c>
      <c r="D634" s="11"/>
      <c r="AB634" t="str" cm="1">
        <f t="array" ref="AB634:AC634">_xlfn._xlws.FILTER(A634:Z634,A634:Z634&lt;&gt;"","")</f>
        <v>中文</v>
      </c>
      <c r="AC634">
        <v>7</v>
      </c>
      <c r="AD634" t="str">
        <v/>
      </c>
      <c r="AE634" t="str">
        <v/>
      </c>
      <c r="AF634" t="str" cm="1">
        <f t="array" ref="AF634">IF(AD634="","",SUMPRODUCT(IF(LEFT($AD$1:AD634,2)="JS",1,0)))</f>
        <v/>
      </c>
      <c r="AG634" t="b">
        <f t="shared" si="36"/>
        <v>1</v>
      </c>
      <c r="AH634" t="str">
        <f t="shared" si="37"/>
        <v/>
      </c>
      <c r="AI634" t="str">
        <f>IF(AH634="","",MAX($AF$1:$AF634))</f>
        <v/>
      </c>
      <c r="AJ634" t="str">
        <f t="shared" si="38"/>
        <v>中文</v>
      </c>
      <c r="AK634">
        <f>IF(AJ634="","",MAX($AF$1:$AF634))</f>
        <v>13</v>
      </c>
      <c r="AL634" t="str">
        <f t="shared" si="39"/>
        <v/>
      </c>
      <c r="AM634" t="str">
        <f>IF(AL634="","",MAX($AF$1:$AF634))</f>
        <v/>
      </c>
    </row>
    <row r="635" spans="1:39" ht="13.5" customHeight="1" x14ac:dyDescent="0.3">
      <c r="A635" s="8" t="s">
        <v>7</v>
      </c>
      <c r="B635" s="9"/>
      <c r="C635" s="10">
        <v>7</v>
      </c>
      <c r="D635" s="11"/>
      <c r="AB635" t="str" cm="1">
        <f t="array" ref="AB635:AC635">_xlfn._xlws.FILTER(A635:Z635,A635:Z635&lt;&gt;"","")</f>
        <v>Chinese Literature</v>
      </c>
      <c r="AC635">
        <v>7</v>
      </c>
      <c r="AD635" t="str">
        <v/>
      </c>
      <c r="AE635" t="str">
        <v/>
      </c>
      <c r="AF635" t="str" cm="1">
        <f t="array" ref="AF635">IF(AD635="","",SUMPRODUCT(IF(LEFT($AD$1:AD635,2)="JS",1,0)))</f>
        <v/>
      </c>
      <c r="AG635" t="str">
        <f t="shared" si="36"/>
        <v/>
      </c>
      <c r="AH635" t="str">
        <f t="shared" si="37"/>
        <v/>
      </c>
      <c r="AI635" t="str">
        <f>IF(AH635="","",MAX($AF$1:$AF635))</f>
        <v/>
      </c>
      <c r="AJ635" t="str">
        <f t="shared" si="38"/>
        <v/>
      </c>
      <c r="AK635" t="str">
        <f>IF(AJ635="","",MAX($AF$1:$AF635))</f>
        <v/>
      </c>
      <c r="AL635" t="str">
        <f t="shared" si="39"/>
        <v/>
      </c>
      <c r="AM635" t="str">
        <f>IF(AL635="","",MAX($AF$1:$AF635))</f>
        <v/>
      </c>
    </row>
    <row r="636" spans="1:39" ht="13.5" customHeight="1" x14ac:dyDescent="0.3">
      <c r="A636" s="8" t="s">
        <v>8</v>
      </c>
      <c r="B636" s="9"/>
      <c r="C636" s="10">
        <v>10</v>
      </c>
      <c r="D636" s="11"/>
      <c r="AB636" t="str" cm="1">
        <f t="array" ref="AB636:AC636">_xlfn._xlws.FILTER(A636:Z636,A636:Z636&lt;&gt;"","")</f>
        <v>Combined Science: Biology + Chemistry</v>
      </c>
      <c r="AC636">
        <v>10</v>
      </c>
      <c r="AD636" t="str">
        <v/>
      </c>
      <c r="AE636" t="str">
        <v/>
      </c>
      <c r="AF636" t="str" cm="1">
        <f t="array" ref="AF636">IF(AD636="","",SUMPRODUCT(IF(LEFT($AD$1:AD636,2)="JS",1,0)))</f>
        <v/>
      </c>
      <c r="AG636" t="str">
        <f t="shared" si="36"/>
        <v/>
      </c>
      <c r="AH636" t="str">
        <f t="shared" si="37"/>
        <v/>
      </c>
      <c r="AI636" t="str">
        <f>IF(AH636="","",MAX($AF$1:$AF636))</f>
        <v/>
      </c>
      <c r="AJ636" t="str">
        <f t="shared" si="38"/>
        <v/>
      </c>
      <c r="AK636" t="str">
        <f>IF(AJ636="","",MAX($AF$1:$AF636))</f>
        <v/>
      </c>
      <c r="AL636" t="str">
        <f t="shared" si="39"/>
        <v/>
      </c>
      <c r="AM636" t="str">
        <f>IF(AL636="","",MAX($AF$1:$AF636))</f>
        <v/>
      </c>
    </row>
    <row r="637" spans="1:39" ht="13.5" customHeight="1" x14ac:dyDescent="0.3">
      <c r="A637" s="8" t="s">
        <v>9</v>
      </c>
      <c r="B637" s="9"/>
      <c r="C637" s="10">
        <v>10</v>
      </c>
      <c r="D637" s="11"/>
      <c r="AB637" t="str" cm="1">
        <f t="array" ref="AB637:AC637">_xlfn._xlws.FILTER(A637:Z637,A637:Z637&lt;&gt;"","")</f>
        <v>Combined Science: Biology + Physics</v>
      </c>
      <c r="AC637">
        <v>10</v>
      </c>
      <c r="AD637" t="str">
        <v/>
      </c>
      <c r="AE637" t="str">
        <v/>
      </c>
      <c r="AF637" t="str" cm="1">
        <f t="array" ref="AF637">IF(AD637="","",SUMPRODUCT(IF(LEFT($AD$1:AD637,2)="JS",1,0)))</f>
        <v/>
      </c>
      <c r="AG637" t="str">
        <f t="shared" si="36"/>
        <v/>
      </c>
      <c r="AH637" t="str">
        <f t="shared" si="37"/>
        <v/>
      </c>
      <c r="AI637" t="str">
        <f>IF(AH637="","",MAX($AF$1:$AF637))</f>
        <v/>
      </c>
      <c r="AJ637" t="str">
        <f t="shared" si="38"/>
        <v/>
      </c>
      <c r="AK637" t="str">
        <f>IF(AJ637="","",MAX($AF$1:$AF637))</f>
        <v/>
      </c>
      <c r="AL637" t="str">
        <f t="shared" si="39"/>
        <v/>
      </c>
      <c r="AM637" t="str">
        <f>IF(AL637="","",MAX($AF$1:$AF637))</f>
        <v/>
      </c>
    </row>
    <row r="638" spans="1:39" ht="13.5" customHeight="1" x14ac:dyDescent="0.3">
      <c r="A638" s="8" t="s">
        <v>10</v>
      </c>
      <c r="B638" s="9"/>
      <c r="C638" s="10">
        <v>10</v>
      </c>
      <c r="D638" s="11"/>
      <c r="AB638" t="str" cm="1">
        <f t="array" ref="AB638:AC638">_xlfn._xlws.FILTER(A638:Z638,A638:Z638&lt;&gt;"","")</f>
        <v>Combined Science: Physics + Chemistry</v>
      </c>
      <c r="AC638">
        <v>10</v>
      </c>
      <c r="AD638" t="str">
        <v/>
      </c>
      <c r="AE638" t="str">
        <v/>
      </c>
      <c r="AF638" t="str" cm="1">
        <f t="array" ref="AF638">IF(AD638="","",SUMPRODUCT(IF(LEFT($AD$1:AD638,2)="JS",1,0)))</f>
        <v/>
      </c>
      <c r="AG638" t="str">
        <f t="shared" si="36"/>
        <v/>
      </c>
      <c r="AH638" t="str">
        <f t="shared" si="37"/>
        <v/>
      </c>
      <c r="AI638" t="str">
        <f>IF(AH638="","",MAX($AF$1:$AF638))</f>
        <v/>
      </c>
      <c r="AJ638" t="str">
        <f t="shared" si="38"/>
        <v/>
      </c>
      <c r="AK638" t="str">
        <f>IF(AJ638="","",MAX($AF$1:$AF638))</f>
        <v/>
      </c>
      <c r="AL638" t="str">
        <f t="shared" si="39"/>
        <v/>
      </c>
      <c r="AM638" t="str">
        <f>IF(AL638="","",MAX($AF$1:$AF638))</f>
        <v/>
      </c>
    </row>
    <row r="639" spans="1:39" ht="13.5" customHeight="1" x14ac:dyDescent="0.3">
      <c r="A639" s="8" t="s">
        <v>11</v>
      </c>
      <c r="B639" s="9"/>
      <c r="C639" s="10">
        <v>7</v>
      </c>
      <c r="D639" s="11"/>
      <c r="AB639" t="str" cm="1">
        <f t="array" ref="AB639:AC639">_xlfn._xlws.FILTER(A639:Z639,A639:Z639&lt;&gt;"","")</f>
        <v>Design and Applied Technology</v>
      </c>
      <c r="AC639">
        <v>7</v>
      </c>
      <c r="AD639" t="str">
        <v/>
      </c>
      <c r="AE639" t="str">
        <v/>
      </c>
      <c r="AF639" t="str" cm="1">
        <f t="array" ref="AF639">IF(AD639="","",SUMPRODUCT(IF(LEFT($AD$1:AD639,2)="JS",1,0)))</f>
        <v/>
      </c>
      <c r="AG639" t="str">
        <f t="shared" si="36"/>
        <v/>
      </c>
      <c r="AH639" t="str">
        <f t="shared" si="37"/>
        <v/>
      </c>
      <c r="AI639" t="str">
        <f>IF(AH639="","",MAX($AF$1:$AF639))</f>
        <v/>
      </c>
      <c r="AJ639" t="str">
        <f t="shared" si="38"/>
        <v/>
      </c>
      <c r="AK639" t="str">
        <f>IF(AJ639="","",MAX($AF$1:$AF639))</f>
        <v/>
      </c>
      <c r="AL639" t="str">
        <f t="shared" si="39"/>
        <v/>
      </c>
      <c r="AM639" t="str">
        <f>IF(AL639="","",MAX($AF$1:$AF639))</f>
        <v/>
      </c>
    </row>
    <row r="640" spans="1:39" ht="13.5" customHeight="1" x14ac:dyDescent="0.3">
      <c r="A640" s="8" t="s">
        <v>217</v>
      </c>
      <c r="B640" s="9"/>
      <c r="C640" s="10">
        <v>7</v>
      </c>
      <c r="D640" s="11"/>
      <c r="AB640" t="str" cm="1">
        <f t="array" ref="AB640:AC640">_xlfn._xlws.FILTER(A640:Z640,A640:Z640&lt;&gt;"","")</f>
        <v>ECON</v>
      </c>
      <c r="AC640">
        <v>7</v>
      </c>
      <c r="AD640" t="str">
        <v/>
      </c>
      <c r="AE640" t="str">
        <v/>
      </c>
      <c r="AF640" t="str" cm="1">
        <f t="array" ref="AF640">IF(AD640="","",SUMPRODUCT(IF(LEFT($AD$1:AD640,2)="JS",1,0)))</f>
        <v/>
      </c>
      <c r="AG640" t="b">
        <f t="shared" si="36"/>
        <v>1</v>
      </c>
      <c r="AH640" t="str">
        <f t="shared" si="37"/>
        <v/>
      </c>
      <c r="AI640" t="str">
        <f>IF(AH640="","",MAX($AF$1:$AF640))</f>
        <v/>
      </c>
      <c r="AJ640" t="str">
        <f t="shared" si="38"/>
        <v>ECON</v>
      </c>
      <c r="AK640">
        <f>IF(AJ640="","",MAX($AF$1:$AF640))</f>
        <v>13</v>
      </c>
      <c r="AL640" t="str">
        <f t="shared" si="39"/>
        <v/>
      </c>
      <c r="AM640" t="str">
        <f>IF(AL640="","",MAX($AF$1:$AF640))</f>
        <v/>
      </c>
    </row>
    <row r="641" spans="1:39" ht="13.5" customHeight="1" x14ac:dyDescent="0.3">
      <c r="A641" s="8" t="s">
        <v>218</v>
      </c>
      <c r="B641" s="9"/>
      <c r="C641" s="10">
        <v>10</v>
      </c>
      <c r="D641" s="11"/>
      <c r="AB641" t="str" cm="1">
        <f t="array" ref="AB641:AC641">_xlfn._xlws.FILTER(A641:Z641,A641:Z641&lt;&gt;"","")</f>
        <v>ENG</v>
      </c>
      <c r="AC641">
        <v>10</v>
      </c>
      <c r="AD641" t="str">
        <v/>
      </c>
      <c r="AE641" t="str">
        <v/>
      </c>
      <c r="AF641" t="str" cm="1">
        <f t="array" ref="AF641">IF(AD641="","",SUMPRODUCT(IF(LEFT($AD$1:AD641,2)="JS",1,0)))</f>
        <v/>
      </c>
      <c r="AG641" t="b">
        <f t="shared" ref="AG641:AG704" si="40">IF(ISNUMBER(MATCH(AB641,$AV$3:$AV$18,0)),TRUE,"")</f>
        <v>1</v>
      </c>
      <c r="AH641" t="str">
        <f t="shared" si="37"/>
        <v>ENG</v>
      </c>
      <c r="AI641">
        <f>IF(AH641="","",MAX($AF$1:$AF641))</f>
        <v>13</v>
      </c>
      <c r="AJ641" t="str">
        <f t="shared" si="38"/>
        <v/>
      </c>
      <c r="AK641" t="str">
        <f>IF(AJ641="","",MAX($AF$1:$AF641))</f>
        <v/>
      </c>
      <c r="AL641" t="str">
        <f t="shared" si="39"/>
        <v/>
      </c>
      <c r="AM641" t="str">
        <f>IF(AL641="","",MAX($AF$1:$AF641))</f>
        <v/>
      </c>
    </row>
    <row r="642" spans="1:39" ht="13.5" customHeight="1" x14ac:dyDescent="0.3">
      <c r="A642" s="8" t="s">
        <v>12</v>
      </c>
      <c r="B642" s="9"/>
      <c r="C642" s="10">
        <v>5</v>
      </c>
      <c r="D642" s="11"/>
      <c r="AB642" t="str" cm="1">
        <f t="array" ref="AB642:AC642">_xlfn._xlws.FILTER(A642:Z642,A642:Z642&lt;&gt;"","")</f>
        <v>Ethics and Religious Studies</v>
      </c>
      <c r="AC642">
        <v>5</v>
      </c>
      <c r="AD642" t="str">
        <v/>
      </c>
      <c r="AE642" t="str">
        <v/>
      </c>
      <c r="AF642" t="str" cm="1">
        <f t="array" ref="AF642">IF(AD642="","",SUMPRODUCT(IF(LEFT($AD$1:AD642,2)="JS",1,0)))</f>
        <v/>
      </c>
      <c r="AG642" t="str">
        <f t="shared" si="40"/>
        <v/>
      </c>
      <c r="AH642" t="str">
        <f t="shared" ref="AH642:AH705" si="41">IF(AND(AC642=10,AG642=TRUE),AB642,"")</f>
        <v/>
      </c>
      <c r="AI642" t="str">
        <f>IF(AH642="","",MAX($AF$1:$AF642))</f>
        <v/>
      </c>
      <c r="AJ642" t="str">
        <f t="shared" ref="AJ642:AJ705" si="42">IF(AND(AC642=7,AG642=TRUE),AB642,"")</f>
        <v/>
      </c>
      <c r="AK642" t="str">
        <f>IF(AJ642="","",MAX($AF$1:$AF642))</f>
        <v/>
      </c>
      <c r="AL642" t="str">
        <f t="shared" ref="AL642:AL705" si="43">IF(AND(AC642=5,AG642=TRUE),AB642,"")</f>
        <v/>
      </c>
      <c r="AM642" t="str">
        <f>IF(AL642="","",MAX($AF$1:$AF642))</f>
        <v/>
      </c>
    </row>
    <row r="643" spans="1:39" ht="13.5" customHeight="1" x14ac:dyDescent="0.3">
      <c r="A643" s="8" t="s">
        <v>219</v>
      </c>
      <c r="B643" s="9"/>
      <c r="C643" s="10">
        <v>5</v>
      </c>
      <c r="D643" s="11"/>
      <c r="AB643" t="str" cm="1">
        <f t="array" ref="AB643:AC643">_xlfn._xlws.FILTER(A643:Z643,A643:Z643&lt;&gt;"","")</f>
        <v>GEOG</v>
      </c>
      <c r="AC643">
        <v>5</v>
      </c>
      <c r="AD643" t="str">
        <v/>
      </c>
      <c r="AE643" t="str">
        <v/>
      </c>
      <c r="AF643" t="str" cm="1">
        <f t="array" ref="AF643">IF(AD643="","",SUMPRODUCT(IF(LEFT($AD$1:AD643,2)="JS",1,0)))</f>
        <v/>
      </c>
      <c r="AG643" t="b">
        <f t="shared" si="40"/>
        <v>1</v>
      </c>
      <c r="AH643" t="str">
        <f t="shared" si="41"/>
        <v/>
      </c>
      <c r="AI643" t="str">
        <f>IF(AH643="","",MAX($AF$1:$AF643))</f>
        <v/>
      </c>
      <c r="AJ643" t="str">
        <f t="shared" si="42"/>
        <v/>
      </c>
      <c r="AK643" t="str">
        <f>IF(AJ643="","",MAX($AF$1:$AF643))</f>
        <v/>
      </c>
      <c r="AL643" t="str">
        <f t="shared" si="43"/>
        <v>GEOG</v>
      </c>
      <c r="AM643">
        <f>IF(AL643="","",MAX($AF$1:$AF643))</f>
        <v>13</v>
      </c>
    </row>
    <row r="644" spans="1:39" ht="13.5" customHeight="1" x14ac:dyDescent="0.3">
      <c r="A644" s="8" t="s">
        <v>220</v>
      </c>
      <c r="B644" s="9"/>
      <c r="C644" s="10">
        <v>5</v>
      </c>
      <c r="D644" s="11"/>
      <c r="AB644" t="str" cm="1">
        <f t="array" ref="AB644:AC644">_xlfn._xlws.FILTER(A644:Z644,A644:Z644&lt;&gt;"","")</f>
        <v>HMSC</v>
      </c>
      <c r="AC644">
        <v>5</v>
      </c>
      <c r="AD644" t="str">
        <v/>
      </c>
      <c r="AE644" t="str">
        <v/>
      </c>
      <c r="AF644" t="str" cm="1">
        <f t="array" ref="AF644">IF(AD644="","",SUMPRODUCT(IF(LEFT($AD$1:AD644,2)="JS",1,0)))</f>
        <v/>
      </c>
      <c r="AG644" t="b">
        <f t="shared" si="40"/>
        <v>1</v>
      </c>
      <c r="AH644" t="str">
        <f t="shared" si="41"/>
        <v/>
      </c>
      <c r="AI644" t="str">
        <f>IF(AH644="","",MAX($AF$1:$AF644))</f>
        <v/>
      </c>
      <c r="AJ644" t="str">
        <f t="shared" si="42"/>
        <v/>
      </c>
      <c r="AK644" t="str">
        <f>IF(AJ644="","",MAX($AF$1:$AF644))</f>
        <v/>
      </c>
      <c r="AL644" t="str">
        <f t="shared" si="43"/>
        <v>HMSC</v>
      </c>
      <c r="AM644">
        <f>IF(AL644="","",MAX($AF$1:$AF644))</f>
        <v>13</v>
      </c>
    </row>
    <row r="645" spans="1:39" ht="13.5" customHeight="1" x14ac:dyDescent="0.3">
      <c r="A645" s="8" t="s">
        <v>221</v>
      </c>
      <c r="B645" s="9"/>
      <c r="C645" s="10">
        <v>5</v>
      </c>
      <c r="D645" s="11"/>
      <c r="AB645" t="str" cm="1">
        <f t="array" ref="AB645:AC645">_xlfn._xlws.FILTER(A645:Z645,A645:Z645&lt;&gt;"","")</f>
        <v>HIST</v>
      </c>
      <c r="AC645">
        <v>5</v>
      </c>
      <c r="AD645" t="str">
        <v/>
      </c>
      <c r="AE645" t="str">
        <v/>
      </c>
      <c r="AF645" t="str" cm="1">
        <f t="array" ref="AF645">IF(AD645="","",SUMPRODUCT(IF(LEFT($AD$1:AD645,2)="JS",1,0)))</f>
        <v/>
      </c>
      <c r="AG645" t="b">
        <f t="shared" si="40"/>
        <v>1</v>
      </c>
      <c r="AH645" t="str">
        <f t="shared" si="41"/>
        <v/>
      </c>
      <c r="AI645" t="str">
        <f>IF(AH645="","",MAX($AF$1:$AF645))</f>
        <v/>
      </c>
      <c r="AJ645" t="str">
        <f t="shared" si="42"/>
        <v/>
      </c>
      <c r="AK645" t="str">
        <f>IF(AJ645="","",MAX($AF$1:$AF645))</f>
        <v/>
      </c>
      <c r="AL645" t="str">
        <f t="shared" si="43"/>
        <v>HIST</v>
      </c>
      <c r="AM645">
        <f>IF(AL645="","",MAX($AF$1:$AF645))</f>
        <v>13</v>
      </c>
    </row>
    <row r="646" spans="1:39" ht="13.5" customHeight="1" x14ac:dyDescent="0.3">
      <c r="A646" s="8" t="s">
        <v>222</v>
      </c>
      <c r="B646" s="9"/>
      <c r="C646" s="10">
        <v>10</v>
      </c>
      <c r="D646" s="11"/>
      <c r="AB646" t="str" cm="1">
        <f t="array" ref="AB646:AC646">_xlfn._xlws.FILTER(A646:Z646,A646:Z646&lt;&gt;"","")</f>
        <v>ICT</v>
      </c>
      <c r="AC646">
        <v>10</v>
      </c>
      <c r="AD646" t="str">
        <v/>
      </c>
      <c r="AE646" t="str">
        <v/>
      </c>
      <c r="AF646" t="str" cm="1">
        <f t="array" ref="AF646">IF(AD646="","",SUMPRODUCT(IF(LEFT($AD$1:AD646,2)="JS",1,0)))</f>
        <v/>
      </c>
      <c r="AG646" t="b">
        <f t="shared" si="40"/>
        <v>1</v>
      </c>
      <c r="AH646" t="str">
        <f t="shared" si="41"/>
        <v>ICT</v>
      </c>
      <c r="AI646">
        <f>IF(AH646="","",MAX($AF$1:$AF646))</f>
        <v>13</v>
      </c>
      <c r="AJ646" t="str">
        <f t="shared" si="42"/>
        <v/>
      </c>
      <c r="AK646" t="str">
        <f>IF(AJ646="","",MAX($AF$1:$AF646))</f>
        <v/>
      </c>
      <c r="AL646" t="str">
        <f t="shared" si="43"/>
        <v/>
      </c>
      <c r="AM646" t="str">
        <f>IF(AL646="","",MAX($AF$1:$AF646))</f>
        <v/>
      </c>
    </row>
    <row r="647" spans="1:39" ht="13.5" customHeight="1" x14ac:dyDescent="0.3">
      <c r="A647" s="8" t="s">
        <v>13</v>
      </c>
      <c r="B647" s="9"/>
      <c r="C647" s="10">
        <v>5</v>
      </c>
      <c r="D647" s="11"/>
      <c r="AB647" t="str" cm="1">
        <f t="array" ref="AB647:AC647">_xlfn._xlws.FILTER(A647:Z647,A647:Z647&lt;&gt;"","")</f>
        <v>Integrated Science</v>
      </c>
      <c r="AC647">
        <v>5</v>
      </c>
      <c r="AD647" t="str">
        <v/>
      </c>
      <c r="AE647" t="str">
        <v/>
      </c>
      <c r="AF647" t="str" cm="1">
        <f t="array" ref="AF647">IF(AD647="","",SUMPRODUCT(IF(LEFT($AD$1:AD647,2)="JS",1,0)))</f>
        <v/>
      </c>
      <c r="AG647" t="str">
        <f t="shared" si="40"/>
        <v/>
      </c>
      <c r="AH647" t="str">
        <f t="shared" si="41"/>
        <v/>
      </c>
      <c r="AI647" t="str">
        <f>IF(AH647="","",MAX($AF$1:$AF647))</f>
        <v/>
      </c>
      <c r="AJ647" t="str">
        <f t="shared" si="42"/>
        <v/>
      </c>
      <c r="AK647" t="str">
        <f>IF(AJ647="","",MAX($AF$1:$AF647))</f>
        <v/>
      </c>
      <c r="AL647" t="str">
        <f t="shared" si="43"/>
        <v/>
      </c>
      <c r="AM647" t="str">
        <f>IF(AL647="","",MAX($AF$1:$AF647))</f>
        <v/>
      </c>
    </row>
    <row r="648" spans="1:39" ht="13.5" customHeight="1" x14ac:dyDescent="0.3">
      <c r="A648" s="8" t="s">
        <v>223</v>
      </c>
      <c r="B648" s="9"/>
      <c r="C648" s="10">
        <v>7</v>
      </c>
      <c r="D648" s="11"/>
      <c r="AB648" t="str" cm="1">
        <f t="array" ref="AB648:AC648">_xlfn._xlws.FILTER(A648:Z648,A648:Z648&lt;&gt;"","")</f>
        <v>通</v>
      </c>
      <c r="AC648">
        <v>7</v>
      </c>
      <c r="AD648" t="str">
        <v/>
      </c>
      <c r="AE648" t="str">
        <v/>
      </c>
      <c r="AF648" t="str" cm="1">
        <f t="array" ref="AF648">IF(AD648="","",SUMPRODUCT(IF(LEFT($AD$1:AD648,2)="JS",1,0)))</f>
        <v/>
      </c>
      <c r="AG648" t="b">
        <f t="shared" si="40"/>
        <v>1</v>
      </c>
      <c r="AH648" t="str">
        <f t="shared" si="41"/>
        <v/>
      </c>
      <c r="AI648" t="str">
        <f>IF(AH648="","",MAX($AF$1:$AF648))</f>
        <v/>
      </c>
      <c r="AJ648" t="str">
        <f t="shared" si="42"/>
        <v>通</v>
      </c>
      <c r="AK648">
        <f>IF(AJ648="","",MAX($AF$1:$AF648))</f>
        <v>13</v>
      </c>
      <c r="AL648" t="str">
        <f t="shared" si="43"/>
        <v/>
      </c>
      <c r="AM648" t="str">
        <f>IF(AL648="","",MAX($AF$1:$AF648))</f>
        <v/>
      </c>
    </row>
    <row r="649" spans="1:39" ht="13.5" customHeight="1" x14ac:dyDescent="0.3">
      <c r="A649" s="8" t="s">
        <v>14</v>
      </c>
      <c r="B649" s="9"/>
      <c r="C649" s="10">
        <v>7</v>
      </c>
      <c r="D649" s="11"/>
      <c r="AB649" t="str" cm="1">
        <f t="array" ref="AB649:AC649">_xlfn._xlws.FILTER(A649:Z649,A649:Z649&lt;&gt;"","")</f>
        <v>Literature in English</v>
      </c>
      <c r="AC649">
        <v>7</v>
      </c>
      <c r="AD649" t="str">
        <v/>
      </c>
      <c r="AE649" t="str">
        <v/>
      </c>
      <c r="AF649" t="str" cm="1">
        <f t="array" ref="AF649">IF(AD649="","",SUMPRODUCT(IF(LEFT($AD$1:AD649,2)="JS",1,0)))</f>
        <v/>
      </c>
      <c r="AG649" t="str">
        <f t="shared" si="40"/>
        <v/>
      </c>
      <c r="AH649" t="str">
        <f t="shared" si="41"/>
        <v/>
      </c>
      <c r="AI649" t="str">
        <f>IF(AH649="","",MAX($AF$1:$AF649))</f>
        <v/>
      </c>
      <c r="AJ649" t="str">
        <f t="shared" si="42"/>
        <v/>
      </c>
      <c r="AK649" t="str">
        <f>IF(AJ649="","",MAX($AF$1:$AF649))</f>
        <v/>
      </c>
      <c r="AL649" t="str">
        <f t="shared" si="43"/>
        <v/>
      </c>
      <c r="AM649" t="str">
        <f>IF(AL649="","",MAX($AF$1:$AF649))</f>
        <v/>
      </c>
    </row>
    <row r="650" spans="1:39" ht="13.5" customHeight="1" x14ac:dyDescent="0.3">
      <c r="A650" s="8" t="s">
        <v>224</v>
      </c>
      <c r="B650" s="9"/>
      <c r="C650" s="10">
        <v>10</v>
      </c>
      <c r="D650" s="11"/>
      <c r="AB650" t="str" cm="1">
        <f t="array" ref="AB650:AC650">_xlfn._xlws.FILTER(A650:Z650,A650:Z650&lt;&gt;"","")</f>
        <v>MATH</v>
      </c>
      <c r="AC650">
        <v>10</v>
      </c>
      <c r="AD650" t="str">
        <v/>
      </c>
      <c r="AE650" t="str">
        <v/>
      </c>
      <c r="AF650" t="str" cm="1">
        <f t="array" ref="AF650">IF(AD650="","",SUMPRODUCT(IF(LEFT($AD$1:AD650,2)="JS",1,0)))</f>
        <v/>
      </c>
      <c r="AG650" t="b">
        <f t="shared" si="40"/>
        <v>1</v>
      </c>
      <c r="AH650" t="str">
        <f t="shared" si="41"/>
        <v>MATH</v>
      </c>
      <c r="AI650">
        <f>IF(AH650="","",MAX($AF$1:$AF650))</f>
        <v>13</v>
      </c>
      <c r="AJ650" t="str">
        <f t="shared" si="42"/>
        <v/>
      </c>
      <c r="AK650" t="str">
        <f>IF(AJ650="","",MAX($AF$1:$AF650))</f>
        <v/>
      </c>
      <c r="AL650" t="str">
        <f t="shared" si="43"/>
        <v/>
      </c>
      <c r="AM650" t="str">
        <f>IF(AL650="","",MAX($AF$1:$AF650))</f>
        <v/>
      </c>
    </row>
    <row r="651" spans="1:39" ht="13.5" customHeight="1" x14ac:dyDescent="0.3">
      <c r="A651" s="8" t="s">
        <v>225</v>
      </c>
      <c r="B651" s="9"/>
      <c r="C651" s="10">
        <v>10</v>
      </c>
      <c r="D651" s="11"/>
      <c r="AB651" t="str" cm="1">
        <f t="array" ref="AB651:AC651">_xlfn._xlws.FILTER(A651:Z651,A651:Z651&lt;&gt;"","")</f>
        <v>M2</v>
      </c>
      <c r="AC651">
        <v>10</v>
      </c>
      <c r="AD651" t="str">
        <v/>
      </c>
      <c r="AE651" t="str">
        <v/>
      </c>
      <c r="AF651" t="str" cm="1">
        <f t="array" ref="AF651">IF(AD651="","",SUMPRODUCT(IF(LEFT($AD$1:AD651,2)="JS",1,0)))</f>
        <v/>
      </c>
      <c r="AG651" t="b">
        <f t="shared" si="40"/>
        <v>1</v>
      </c>
      <c r="AH651" t="str">
        <f t="shared" si="41"/>
        <v>M2</v>
      </c>
      <c r="AI651">
        <f>IF(AH651="","",MAX($AF$1:$AF651))</f>
        <v>13</v>
      </c>
      <c r="AJ651" t="str">
        <f t="shared" si="42"/>
        <v/>
      </c>
      <c r="AK651" t="str">
        <f>IF(AJ651="","",MAX($AF$1:$AF651))</f>
        <v/>
      </c>
      <c r="AL651" t="str">
        <f t="shared" si="43"/>
        <v/>
      </c>
      <c r="AM651" t="str">
        <f>IF(AL651="","",MAX($AF$1:$AF651))</f>
        <v/>
      </c>
    </row>
    <row r="652" spans="1:39" ht="13.5" customHeight="1" x14ac:dyDescent="0.3">
      <c r="A652" s="8" t="s">
        <v>15</v>
      </c>
      <c r="B652" s="9"/>
      <c r="C652" s="10">
        <v>10</v>
      </c>
      <c r="D652" s="11"/>
      <c r="AB652" t="str" cm="1">
        <f t="array" ref="AB652:AC652">_xlfn._xlws.FILTER(A652:Z652,A652:Z652&lt;&gt;"","")</f>
        <v>Mathematics (Extended part - Calculus and Statistics)</v>
      </c>
      <c r="AC652">
        <v>10</v>
      </c>
      <c r="AD652" t="str">
        <v/>
      </c>
      <c r="AE652" t="str">
        <v/>
      </c>
      <c r="AF652" t="str" cm="1">
        <f t="array" ref="AF652">IF(AD652="","",SUMPRODUCT(IF(LEFT($AD$1:AD652,2)="JS",1,0)))</f>
        <v/>
      </c>
      <c r="AG652" t="str">
        <f t="shared" si="40"/>
        <v/>
      </c>
      <c r="AH652" t="str">
        <f t="shared" si="41"/>
        <v/>
      </c>
      <c r="AI652" t="str">
        <f>IF(AH652="","",MAX($AF$1:$AF652))</f>
        <v/>
      </c>
      <c r="AJ652" t="str">
        <f t="shared" si="42"/>
        <v/>
      </c>
      <c r="AK652" t="str">
        <f>IF(AJ652="","",MAX($AF$1:$AF652))</f>
        <v/>
      </c>
      <c r="AL652" t="str">
        <f t="shared" si="43"/>
        <v/>
      </c>
      <c r="AM652" t="str">
        <f>IF(AL652="","",MAX($AF$1:$AF652))</f>
        <v/>
      </c>
    </row>
    <row r="653" spans="1:39" ht="13.5" customHeight="1" x14ac:dyDescent="0.3">
      <c r="A653" s="8" t="s">
        <v>16</v>
      </c>
      <c r="B653" s="9"/>
      <c r="C653" s="10">
        <v>5</v>
      </c>
      <c r="D653" s="11"/>
      <c r="AB653" t="str" cm="1">
        <f t="array" ref="AB653:AC653">_xlfn._xlws.FILTER(A653:Z653,A653:Z653&lt;&gt;"","")</f>
        <v>Music</v>
      </c>
      <c r="AC653">
        <v>5</v>
      </c>
      <c r="AD653" t="str">
        <v/>
      </c>
      <c r="AE653" t="str">
        <v/>
      </c>
      <c r="AF653" t="str" cm="1">
        <f t="array" ref="AF653">IF(AD653="","",SUMPRODUCT(IF(LEFT($AD$1:AD653,2)="JS",1,0)))</f>
        <v/>
      </c>
      <c r="AG653" t="str">
        <f t="shared" si="40"/>
        <v/>
      </c>
      <c r="AH653" t="str">
        <f t="shared" si="41"/>
        <v/>
      </c>
      <c r="AI653" t="str">
        <f>IF(AH653="","",MAX($AF$1:$AF653))</f>
        <v/>
      </c>
      <c r="AJ653" t="str">
        <f t="shared" si="42"/>
        <v/>
      </c>
      <c r="AK653" t="str">
        <f>IF(AJ653="","",MAX($AF$1:$AF653))</f>
        <v/>
      </c>
      <c r="AL653" t="str">
        <f t="shared" si="43"/>
        <v/>
      </c>
      <c r="AM653" t="str">
        <f>IF(AL653="","",MAX($AF$1:$AF653))</f>
        <v/>
      </c>
    </row>
    <row r="654" spans="1:39" ht="13.5" customHeight="1" x14ac:dyDescent="0.3">
      <c r="A654" s="8" t="s">
        <v>17</v>
      </c>
      <c r="B654" s="9"/>
      <c r="C654" s="10">
        <v>5</v>
      </c>
      <c r="D654" s="11"/>
      <c r="AB654" t="str" cm="1">
        <f t="array" ref="AB654:AC654">_xlfn._xlws.FILTER(A654:Z654,A654:Z654&lt;&gt;"","")</f>
        <v>Physical Education</v>
      </c>
      <c r="AC654">
        <v>5</v>
      </c>
      <c r="AD654" t="str">
        <v/>
      </c>
      <c r="AE654" t="str">
        <v/>
      </c>
      <c r="AF654" t="str" cm="1">
        <f t="array" ref="AF654">IF(AD654="","",SUMPRODUCT(IF(LEFT($AD$1:AD654,2)="JS",1,0)))</f>
        <v/>
      </c>
      <c r="AG654" t="str">
        <f t="shared" si="40"/>
        <v/>
      </c>
      <c r="AH654" t="str">
        <f t="shared" si="41"/>
        <v/>
      </c>
      <c r="AI654" t="str">
        <f>IF(AH654="","",MAX($AF$1:$AF654))</f>
        <v/>
      </c>
      <c r="AJ654" t="str">
        <f t="shared" si="42"/>
        <v/>
      </c>
      <c r="AK654" t="str">
        <f>IF(AJ654="","",MAX($AF$1:$AF654))</f>
        <v/>
      </c>
      <c r="AL654" t="str">
        <f t="shared" si="43"/>
        <v/>
      </c>
      <c r="AM654" t="str">
        <f>IF(AL654="","",MAX($AF$1:$AF654))</f>
        <v/>
      </c>
    </row>
    <row r="655" spans="1:39" ht="13.5" customHeight="1" x14ac:dyDescent="0.3">
      <c r="A655" s="8" t="s">
        <v>226</v>
      </c>
      <c r="B655" s="9"/>
      <c r="C655" s="10">
        <v>10</v>
      </c>
      <c r="D655" s="11"/>
      <c r="AB655" t="str" cm="1">
        <f t="array" ref="AB655:AC655">_xlfn._xlws.FILTER(A655:Z655,A655:Z655&lt;&gt;"","")</f>
        <v>PHY</v>
      </c>
      <c r="AC655">
        <v>10</v>
      </c>
      <c r="AD655" t="str">
        <v/>
      </c>
      <c r="AE655" t="str">
        <v/>
      </c>
      <c r="AF655" t="str" cm="1">
        <f t="array" ref="AF655">IF(AD655="","",SUMPRODUCT(IF(LEFT($AD$1:AD655,2)="JS",1,0)))</f>
        <v/>
      </c>
      <c r="AG655" t="b">
        <f t="shared" si="40"/>
        <v>1</v>
      </c>
      <c r="AH655" t="str">
        <f t="shared" si="41"/>
        <v>PHY</v>
      </c>
      <c r="AI655">
        <f>IF(AH655="","",MAX($AF$1:$AF655))</f>
        <v>13</v>
      </c>
      <c r="AJ655" t="str">
        <f t="shared" si="42"/>
        <v/>
      </c>
      <c r="AK655" t="str">
        <f>IF(AJ655="","",MAX($AF$1:$AF655))</f>
        <v/>
      </c>
      <c r="AL655" t="str">
        <f t="shared" si="43"/>
        <v/>
      </c>
      <c r="AM655" t="str">
        <f>IF(AL655="","",MAX($AF$1:$AF655))</f>
        <v/>
      </c>
    </row>
    <row r="656" spans="1:39" ht="13.5" customHeight="1" x14ac:dyDescent="0.3">
      <c r="A656" s="8" t="s">
        <v>18</v>
      </c>
      <c r="B656" s="9"/>
      <c r="C656" s="10">
        <v>5</v>
      </c>
      <c r="D656" s="11"/>
      <c r="AB656" t="str" cm="1">
        <f t="array" ref="AB656:AC656">_xlfn._xlws.FILTER(A656:Z656,A656:Z656&lt;&gt;"","")</f>
        <v>Technology and Living (Fashion, Clothing and Textiles)</v>
      </c>
      <c r="AC656">
        <v>5</v>
      </c>
      <c r="AD656" t="str">
        <v/>
      </c>
      <c r="AE656" t="str">
        <v/>
      </c>
      <c r="AF656" t="str" cm="1">
        <f t="array" ref="AF656">IF(AD656="","",SUMPRODUCT(IF(LEFT($AD$1:AD656,2)="JS",1,0)))</f>
        <v/>
      </c>
      <c r="AG656" t="str">
        <f t="shared" si="40"/>
        <v/>
      </c>
      <c r="AH656" t="str">
        <f t="shared" si="41"/>
        <v/>
      </c>
      <c r="AI656" t="str">
        <f>IF(AH656="","",MAX($AF$1:$AF656))</f>
        <v/>
      </c>
      <c r="AJ656" t="str">
        <f t="shared" si="42"/>
        <v/>
      </c>
      <c r="AK656" t="str">
        <f>IF(AJ656="","",MAX($AF$1:$AF656))</f>
        <v/>
      </c>
      <c r="AL656" t="str">
        <f t="shared" si="43"/>
        <v/>
      </c>
      <c r="AM656" t="str">
        <f>IF(AL656="","",MAX($AF$1:$AF656))</f>
        <v/>
      </c>
    </row>
    <row r="657" spans="1:39" ht="13.5" customHeight="1" x14ac:dyDescent="0.3">
      <c r="A657" s="8" t="s">
        <v>19</v>
      </c>
      <c r="B657" s="9"/>
      <c r="C657" s="10">
        <v>5</v>
      </c>
      <c r="D657" s="11"/>
      <c r="AB657" t="str" cm="1">
        <f t="array" ref="AB657:AC657">_xlfn._xlws.FILTER(A657:Z657,A657:Z657&lt;&gt;"","")</f>
        <v>Technology and Living (Food Science and Technology)</v>
      </c>
      <c r="AC657">
        <v>5</v>
      </c>
      <c r="AD657" t="str">
        <v/>
      </c>
      <c r="AE657" t="str">
        <v/>
      </c>
      <c r="AF657" t="str" cm="1">
        <f t="array" ref="AF657">IF(AD657="","",SUMPRODUCT(IF(LEFT($AD$1:AD657,2)="JS",1,0)))</f>
        <v/>
      </c>
      <c r="AG657" t="str">
        <f t="shared" si="40"/>
        <v/>
      </c>
      <c r="AH657" t="str">
        <f t="shared" si="41"/>
        <v/>
      </c>
      <c r="AI657" t="str">
        <f>IF(AH657="","",MAX($AF$1:$AF657))</f>
        <v/>
      </c>
      <c r="AJ657" t="str">
        <f t="shared" si="42"/>
        <v/>
      </c>
      <c r="AK657" t="str">
        <f>IF(AJ657="","",MAX($AF$1:$AF657))</f>
        <v/>
      </c>
      <c r="AL657" t="str">
        <f t="shared" si="43"/>
        <v/>
      </c>
      <c r="AM657" t="str">
        <f>IF(AL657="","",MAX($AF$1:$AF657))</f>
        <v/>
      </c>
    </row>
    <row r="658" spans="1:39" ht="13.5" customHeight="1" x14ac:dyDescent="0.3">
      <c r="A658" s="8" t="s">
        <v>20</v>
      </c>
      <c r="B658" s="9"/>
      <c r="C658" s="10">
        <v>5</v>
      </c>
      <c r="D658" s="11"/>
      <c r="AB658" t="str" cm="1">
        <f t="array" ref="AB658:AC658">_xlfn._xlws.FILTER(A658:Z658,A658:Z658&lt;&gt;"","")</f>
        <v>Tourism and Hospitality Studies</v>
      </c>
      <c r="AC658">
        <v>5</v>
      </c>
      <c r="AD658" t="str">
        <v/>
      </c>
      <c r="AE658" t="str">
        <v/>
      </c>
      <c r="AF658" t="str" cm="1">
        <f t="array" ref="AF658">IF(AD658="","",SUMPRODUCT(IF(LEFT($AD$1:AD658,2)="JS",1,0)))</f>
        <v/>
      </c>
      <c r="AG658" t="str">
        <f t="shared" si="40"/>
        <v/>
      </c>
      <c r="AH658" t="str">
        <f t="shared" si="41"/>
        <v/>
      </c>
      <c r="AI658" t="str">
        <f>IF(AH658="","",MAX($AF$1:$AF658))</f>
        <v/>
      </c>
      <c r="AJ658" t="str">
        <f t="shared" si="42"/>
        <v/>
      </c>
      <c r="AK658" t="str">
        <f>IF(AJ658="","",MAX($AF$1:$AF658))</f>
        <v/>
      </c>
      <c r="AL658" t="str">
        <f t="shared" si="43"/>
        <v/>
      </c>
      <c r="AM658" t="str">
        <f>IF(AL658="","",MAX($AF$1:$AF658))</f>
        <v/>
      </c>
    </row>
    <row r="659" spans="1:39" ht="13.5" customHeight="1" x14ac:dyDescent="0.3">
      <c r="A659" s="8" t="s">
        <v>210</v>
      </c>
      <c r="B659" s="9"/>
      <c r="C659" s="10">
        <v>5</v>
      </c>
      <c r="D659" s="11"/>
      <c r="AB659" t="str" cm="1">
        <f t="array" ref="AB659:AC659">_xlfn._xlws.FILTER(A659:Z659,A659:Z659&lt;&gt;"","")</f>
        <v>VA</v>
      </c>
      <c r="AC659">
        <v>5</v>
      </c>
      <c r="AD659" t="str">
        <v/>
      </c>
      <c r="AE659" t="str">
        <v/>
      </c>
      <c r="AF659" t="str" cm="1">
        <f t="array" ref="AF659">IF(AD659="","",SUMPRODUCT(IF(LEFT($AD$1:AD659,2)="JS",1,0)))</f>
        <v/>
      </c>
      <c r="AG659" t="b">
        <f t="shared" si="40"/>
        <v>1</v>
      </c>
      <c r="AH659" t="str">
        <f t="shared" si="41"/>
        <v/>
      </c>
      <c r="AI659" t="str">
        <f>IF(AH659="","",MAX($AF$1:$AF659))</f>
        <v/>
      </c>
      <c r="AJ659" t="str">
        <f t="shared" si="42"/>
        <v/>
      </c>
      <c r="AK659" t="str">
        <f>IF(AJ659="","",MAX($AF$1:$AF659))</f>
        <v/>
      </c>
      <c r="AL659" t="str">
        <f t="shared" si="43"/>
        <v>VA</v>
      </c>
      <c r="AM659">
        <f>IF(AL659="","",MAX($AF$1:$AF659))</f>
        <v>13</v>
      </c>
    </row>
    <row r="660" spans="1:39" ht="14.5" customHeight="1" x14ac:dyDescent="0.3">
      <c r="A660" s="12"/>
      <c r="B660" s="12"/>
      <c r="C660" s="2"/>
      <c r="D660" s="2"/>
      <c r="AB660" t="str" cm="1">
        <f t="array" ref="AB660">_xlfn._xlws.FILTER(A660:Z660,A660:Z660&lt;&gt;"","")</f>
        <v/>
      </c>
      <c r="AD660" t="str">
        <v/>
      </c>
      <c r="AE660" t="str">
        <v/>
      </c>
      <c r="AF660" t="str" cm="1">
        <f t="array" ref="AF660">IF(AD660="","",SUMPRODUCT(IF(LEFT($AD$1:AD660,2)="JS",1,0)))</f>
        <v/>
      </c>
      <c r="AG660" t="str">
        <f t="shared" si="40"/>
        <v/>
      </c>
      <c r="AH660" t="str">
        <f t="shared" si="41"/>
        <v/>
      </c>
      <c r="AI660" t="str">
        <f>IF(AH660="","",MAX($AF$1:$AF660))</f>
        <v/>
      </c>
      <c r="AJ660" t="str">
        <f t="shared" si="42"/>
        <v/>
      </c>
      <c r="AK660" t="str">
        <f>IF(AJ660="","",MAX($AF$1:$AF660))</f>
        <v/>
      </c>
      <c r="AL660" t="str">
        <f t="shared" si="43"/>
        <v/>
      </c>
      <c r="AM660" t="str">
        <f>IF(AL660="","",MAX($AF$1:$AF660))</f>
        <v/>
      </c>
    </row>
    <row r="661" spans="1:39" ht="13.5" customHeight="1" x14ac:dyDescent="0.3">
      <c r="A661" s="13" t="s">
        <v>34</v>
      </c>
      <c r="B661" s="13"/>
      <c r="C661" s="13"/>
      <c r="D661" s="13"/>
      <c r="AB661" t="str" cm="1">
        <f t="array" ref="AB661">_xlfn._xlws.FILTER(A661:Z661,A661:Z661&lt;&gt;"","")</f>
        <v>Category C: Other Language Subjects</v>
      </c>
      <c r="AD661" t="str">
        <v/>
      </c>
      <c r="AE661" t="str">
        <v/>
      </c>
      <c r="AF661" t="str" cm="1">
        <f t="array" ref="AF661">IF(AD661="","",SUMPRODUCT(IF(LEFT($AD$1:AD661,2)="JS",1,0)))</f>
        <v/>
      </c>
      <c r="AG661" t="str">
        <f t="shared" si="40"/>
        <v/>
      </c>
      <c r="AH661" t="str">
        <f t="shared" si="41"/>
        <v/>
      </c>
      <c r="AI661" t="str">
        <f>IF(AH661="","",MAX($AF$1:$AF661))</f>
        <v/>
      </c>
      <c r="AJ661" t="str">
        <f t="shared" si="42"/>
        <v/>
      </c>
      <c r="AK661" t="str">
        <f>IF(AJ661="","",MAX($AF$1:$AF661))</f>
        <v/>
      </c>
      <c r="AL661" t="str">
        <f t="shared" si="43"/>
        <v/>
      </c>
      <c r="AM661" t="str">
        <f>IF(AL661="","",MAX($AF$1:$AF661))</f>
        <v/>
      </c>
    </row>
    <row r="662" spans="1:39" ht="13.5" customHeight="1" x14ac:dyDescent="0.3">
      <c r="A662" s="14" t="s">
        <v>3</v>
      </c>
      <c r="B662" s="15"/>
      <c r="C662" s="16" t="s">
        <v>4</v>
      </c>
      <c r="D662" s="17"/>
      <c r="AB662" t="str" cm="1">
        <f t="array" ref="AB662:AC662">_xlfn._xlws.FILTER(A662:Z662,A662:Z662&lt;&gt;"","")</f>
        <v>Subject Name</v>
      </c>
      <c r="AC662" t="str">
        <v>Subject Weighting for 2023/24 Admission Exercise *</v>
      </c>
      <c r="AD662" t="str">
        <v/>
      </c>
      <c r="AE662" t="str">
        <v/>
      </c>
      <c r="AF662" t="str" cm="1">
        <f t="array" ref="AF662">IF(AD662="","",SUMPRODUCT(IF(LEFT($AD$1:AD662,2)="JS",1,0)))</f>
        <v/>
      </c>
      <c r="AG662" t="str">
        <f t="shared" si="40"/>
        <v/>
      </c>
      <c r="AH662" t="str">
        <f t="shared" si="41"/>
        <v/>
      </c>
      <c r="AI662" t="str">
        <f>IF(AH662="","",MAX($AF$1:$AF662))</f>
        <v/>
      </c>
      <c r="AJ662" t="str">
        <f t="shared" si="42"/>
        <v/>
      </c>
      <c r="AK662" t="str">
        <f>IF(AJ662="","",MAX($AF$1:$AF662))</f>
        <v/>
      </c>
      <c r="AL662" t="str">
        <f t="shared" si="43"/>
        <v/>
      </c>
      <c r="AM662" t="str">
        <f>IF(AL662="","",MAX($AF$1:$AF662))</f>
        <v/>
      </c>
    </row>
    <row r="663" spans="1:39" ht="13.5" customHeight="1" x14ac:dyDescent="0.3">
      <c r="A663" s="8" t="s">
        <v>35</v>
      </c>
      <c r="B663" s="9"/>
      <c r="C663" s="10">
        <v>5</v>
      </c>
      <c r="D663" s="11"/>
      <c r="AB663" t="str" cm="1">
        <f t="array" ref="AB663:AC663">_xlfn._xlws.FILTER(A663:Z663,A663:Z663&lt;&gt;"","")</f>
        <v>French</v>
      </c>
      <c r="AC663">
        <v>5</v>
      </c>
      <c r="AD663" t="str">
        <v/>
      </c>
      <c r="AE663" t="str">
        <v/>
      </c>
      <c r="AF663" t="str" cm="1">
        <f t="array" ref="AF663">IF(AD663="","",SUMPRODUCT(IF(LEFT($AD$1:AD663,2)="JS",1,0)))</f>
        <v/>
      </c>
      <c r="AG663" t="str">
        <f t="shared" si="40"/>
        <v/>
      </c>
      <c r="AH663" t="str">
        <f t="shared" si="41"/>
        <v/>
      </c>
      <c r="AI663" t="str">
        <f>IF(AH663="","",MAX($AF$1:$AF663))</f>
        <v/>
      </c>
      <c r="AJ663" t="str">
        <f t="shared" si="42"/>
        <v/>
      </c>
      <c r="AK663" t="str">
        <f>IF(AJ663="","",MAX($AF$1:$AF663))</f>
        <v/>
      </c>
      <c r="AL663" t="str">
        <f t="shared" si="43"/>
        <v/>
      </c>
      <c r="AM663" t="str">
        <f>IF(AL663="","",MAX($AF$1:$AF663))</f>
        <v/>
      </c>
    </row>
    <row r="664" spans="1:39" ht="13.5" customHeight="1" x14ac:dyDescent="0.3">
      <c r="A664" s="8" t="s">
        <v>36</v>
      </c>
      <c r="B664" s="9"/>
      <c r="C664" s="10">
        <v>5</v>
      </c>
      <c r="D664" s="11"/>
      <c r="AB664" t="str" cm="1">
        <f t="array" ref="AB664:AC664">_xlfn._xlws.FILTER(A664:Z664,A664:Z664&lt;&gt;"","")</f>
        <v>German</v>
      </c>
      <c r="AC664">
        <v>5</v>
      </c>
      <c r="AD664" t="str">
        <v/>
      </c>
      <c r="AE664" t="str">
        <v/>
      </c>
      <c r="AF664" t="str" cm="1">
        <f t="array" ref="AF664">IF(AD664="","",SUMPRODUCT(IF(LEFT($AD$1:AD664,2)="JS",1,0)))</f>
        <v/>
      </c>
      <c r="AG664" t="str">
        <f t="shared" si="40"/>
        <v/>
      </c>
      <c r="AH664" t="str">
        <f t="shared" si="41"/>
        <v/>
      </c>
      <c r="AI664" t="str">
        <f>IF(AH664="","",MAX($AF$1:$AF664))</f>
        <v/>
      </c>
      <c r="AJ664" t="str">
        <f t="shared" si="42"/>
        <v/>
      </c>
      <c r="AK664" t="str">
        <f>IF(AJ664="","",MAX($AF$1:$AF664))</f>
        <v/>
      </c>
      <c r="AL664" t="str">
        <f t="shared" si="43"/>
        <v/>
      </c>
      <c r="AM664" t="str">
        <f>IF(AL664="","",MAX($AF$1:$AF664))</f>
        <v/>
      </c>
    </row>
    <row r="665" spans="1:39" ht="13.5" customHeight="1" x14ac:dyDescent="0.3">
      <c r="A665" s="8" t="s">
        <v>37</v>
      </c>
      <c r="B665" s="9"/>
      <c r="C665" s="10">
        <v>5</v>
      </c>
      <c r="D665" s="11"/>
      <c r="AB665" t="str" cm="1">
        <f t="array" ref="AB665:AC665">_xlfn._xlws.FILTER(A665:Z665,A665:Z665&lt;&gt;"","")</f>
        <v>Hindi</v>
      </c>
      <c r="AC665">
        <v>5</v>
      </c>
      <c r="AD665" t="str">
        <v/>
      </c>
      <c r="AE665" t="str">
        <v/>
      </c>
      <c r="AF665" t="str" cm="1">
        <f t="array" ref="AF665">IF(AD665="","",SUMPRODUCT(IF(LEFT($AD$1:AD665,2)="JS",1,0)))</f>
        <v/>
      </c>
      <c r="AG665" t="str">
        <f t="shared" si="40"/>
        <v/>
      </c>
      <c r="AH665" t="str">
        <f t="shared" si="41"/>
        <v/>
      </c>
      <c r="AI665" t="str">
        <f>IF(AH665="","",MAX($AF$1:$AF665))</f>
        <v/>
      </c>
      <c r="AJ665" t="str">
        <f t="shared" si="42"/>
        <v/>
      </c>
      <c r="AK665" t="str">
        <f>IF(AJ665="","",MAX($AF$1:$AF665))</f>
        <v/>
      </c>
      <c r="AL665" t="str">
        <f t="shared" si="43"/>
        <v/>
      </c>
      <c r="AM665" t="str">
        <f>IF(AL665="","",MAX($AF$1:$AF665))</f>
        <v/>
      </c>
    </row>
    <row r="666" spans="1:39" ht="13.5" customHeight="1" x14ac:dyDescent="0.3">
      <c r="A666" s="8" t="s">
        <v>38</v>
      </c>
      <c r="B666" s="9"/>
      <c r="C666" s="10">
        <v>5</v>
      </c>
      <c r="D666" s="11"/>
      <c r="AB666" t="str" cm="1">
        <f t="array" ref="AB666:AC666">_xlfn._xlws.FILTER(A666:Z666,A666:Z666&lt;&gt;"","")</f>
        <v>Japanese</v>
      </c>
      <c r="AC666">
        <v>5</v>
      </c>
      <c r="AD666" t="str">
        <v/>
      </c>
      <c r="AE666" t="str">
        <v/>
      </c>
      <c r="AF666" t="str" cm="1">
        <f t="array" ref="AF666">IF(AD666="","",SUMPRODUCT(IF(LEFT($AD$1:AD666,2)="JS",1,0)))</f>
        <v/>
      </c>
      <c r="AG666" t="str">
        <f t="shared" si="40"/>
        <v/>
      </c>
      <c r="AH666" t="str">
        <f t="shared" si="41"/>
        <v/>
      </c>
      <c r="AI666" t="str">
        <f>IF(AH666="","",MAX($AF$1:$AF666))</f>
        <v/>
      </c>
      <c r="AJ666" t="str">
        <f t="shared" si="42"/>
        <v/>
      </c>
      <c r="AK666" t="str">
        <f>IF(AJ666="","",MAX($AF$1:$AF666))</f>
        <v/>
      </c>
      <c r="AL666" t="str">
        <f t="shared" si="43"/>
        <v/>
      </c>
      <c r="AM666" t="str">
        <f>IF(AL666="","",MAX($AF$1:$AF666))</f>
        <v/>
      </c>
    </row>
    <row r="667" spans="1:39" ht="13.5" customHeight="1" x14ac:dyDescent="0.3">
      <c r="A667" s="8" t="s">
        <v>39</v>
      </c>
      <c r="B667" s="9"/>
      <c r="C667" s="10">
        <v>5</v>
      </c>
      <c r="D667" s="11"/>
      <c r="AB667" t="str" cm="1">
        <f t="array" ref="AB667:AC667">_xlfn._xlws.FILTER(A667:Z667,A667:Z667&lt;&gt;"","")</f>
        <v>Spanish</v>
      </c>
      <c r="AC667">
        <v>5</v>
      </c>
      <c r="AD667" t="str">
        <v/>
      </c>
      <c r="AE667" t="str">
        <v/>
      </c>
      <c r="AF667" t="str" cm="1">
        <f t="array" ref="AF667">IF(AD667="","",SUMPRODUCT(IF(LEFT($AD$1:AD667,2)="JS",1,0)))</f>
        <v/>
      </c>
      <c r="AG667" t="str">
        <f t="shared" si="40"/>
        <v/>
      </c>
      <c r="AH667" t="str">
        <f t="shared" si="41"/>
        <v/>
      </c>
      <c r="AI667" t="str">
        <f>IF(AH667="","",MAX($AF$1:$AF667))</f>
        <v/>
      </c>
      <c r="AJ667" t="str">
        <f t="shared" si="42"/>
        <v/>
      </c>
      <c r="AK667" t="str">
        <f>IF(AJ667="","",MAX($AF$1:$AF667))</f>
        <v/>
      </c>
      <c r="AL667" t="str">
        <f t="shared" si="43"/>
        <v/>
      </c>
      <c r="AM667" t="str">
        <f>IF(AL667="","",MAX($AF$1:$AF667))</f>
        <v/>
      </c>
    </row>
    <row r="668" spans="1:39" ht="13.5" customHeight="1" x14ac:dyDescent="0.3">
      <c r="A668" s="8" t="s">
        <v>40</v>
      </c>
      <c r="B668" s="9"/>
      <c r="C668" s="10">
        <v>5</v>
      </c>
      <c r="D668" s="11"/>
      <c r="AB668" t="str" cm="1">
        <f t="array" ref="AB668:AC668">_xlfn._xlws.FILTER(A668:Z668,A668:Z668&lt;&gt;"","")</f>
        <v>Urdu</v>
      </c>
      <c r="AC668">
        <v>5</v>
      </c>
      <c r="AD668" t="str">
        <v/>
      </c>
      <c r="AE668" t="str">
        <v/>
      </c>
      <c r="AF668" t="str" cm="1">
        <f t="array" ref="AF668">IF(AD668="","",SUMPRODUCT(IF(LEFT($AD$1:AD668,2)="JS",1,0)))</f>
        <v/>
      </c>
      <c r="AG668" t="str">
        <f t="shared" si="40"/>
        <v/>
      </c>
      <c r="AH668" t="str">
        <f t="shared" si="41"/>
        <v/>
      </c>
      <c r="AI668" t="str">
        <f>IF(AH668="","",MAX($AF$1:$AF668))</f>
        <v/>
      </c>
      <c r="AJ668" t="str">
        <f t="shared" si="42"/>
        <v/>
      </c>
      <c r="AK668" t="str">
        <f>IF(AJ668="","",MAX($AF$1:$AF668))</f>
        <v/>
      </c>
      <c r="AL668" t="str">
        <f t="shared" si="43"/>
        <v/>
      </c>
      <c r="AM668" t="str">
        <f>IF(AL668="","",MAX($AF$1:$AF668))</f>
        <v/>
      </c>
    </row>
    <row r="669" spans="1:39" ht="15" customHeight="1" x14ac:dyDescent="0.3">
      <c r="A669" s="18" t="s">
        <v>105</v>
      </c>
      <c r="B669" s="18"/>
      <c r="C669" s="18"/>
      <c r="D669" s="1"/>
      <c r="E669" s="1"/>
      <c r="AB669" t="str" cm="1">
        <f t="array" ref="AB669">_xlfn._xlws.FILTER(A669:Z669,A669:Z669&lt;&gt;"","")</f>
        <v>JUPAS Code: JS3180</v>
      </c>
      <c r="AD669" t="str">
        <v>JS3180</v>
      </c>
      <c r="AE669" t="str">
        <v/>
      </c>
      <c r="AF669" cm="1">
        <f t="array" ref="AF669">IF(AD669="","",SUMPRODUCT(IF(LEFT($AD$1:AD669,2)="JS",1,0)))</f>
        <v>14</v>
      </c>
      <c r="AG669" t="str">
        <f t="shared" si="40"/>
        <v/>
      </c>
      <c r="AH669" t="str">
        <f t="shared" si="41"/>
        <v/>
      </c>
      <c r="AI669" t="str">
        <f>IF(AH669="","",MAX($AF$1:$AF669))</f>
        <v/>
      </c>
      <c r="AJ669" t="str">
        <f t="shared" si="42"/>
        <v/>
      </c>
      <c r="AK669" t="str">
        <f>IF(AJ669="","",MAX($AF$1:$AF669))</f>
        <v/>
      </c>
      <c r="AL669" t="str">
        <f t="shared" si="43"/>
        <v/>
      </c>
      <c r="AM669" t="str">
        <f>IF(AL669="","",MAX($AF$1:$AF669))</f>
        <v/>
      </c>
    </row>
    <row r="670" spans="1:39" ht="24" customHeight="1" x14ac:dyDescent="0.3">
      <c r="A670" s="18" t="s">
        <v>106</v>
      </c>
      <c r="B670" s="18"/>
      <c r="C670" s="18"/>
      <c r="D670" s="1"/>
      <c r="E670" s="1"/>
      <c r="AB670" t="str" cm="1">
        <f t="array" ref="AB670">_xlfn._xlws.FILTER(A670:Z670,A670:Z670&lt;&gt;"","")</f>
        <v>Programme Title: BEng (Hons) / BSc (Hons) Scheme in Information and Artificial Intelligence Engineering</v>
      </c>
      <c r="AD670" t="str">
        <v/>
      </c>
      <c r="AE670" t="str">
        <v>BEng (Hons) / BSc (Hons) Scheme in Information and Artificial Intelligence Engineering</v>
      </c>
      <c r="AF670" t="str" cm="1">
        <f t="array" ref="AF670">IF(AD670="","",SUMPRODUCT(IF(LEFT($AD$1:AD670,2)="JS",1,0)))</f>
        <v/>
      </c>
      <c r="AG670" t="str">
        <f t="shared" si="40"/>
        <v/>
      </c>
      <c r="AH670" t="str">
        <f t="shared" si="41"/>
        <v/>
      </c>
      <c r="AI670" t="str">
        <f>IF(AH670="","",MAX($AF$1:$AF670))</f>
        <v/>
      </c>
      <c r="AJ670" t="str">
        <f t="shared" si="42"/>
        <v/>
      </c>
      <c r="AK670" t="str">
        <f>IF(AJ670="","",MAX($AF$1:$AF670))</f>
        <v/>
      </c>
      <c r="AL670" t="str">
        <f t="shared" si="43"/>
        <v/>
      </c>
      <c r="AM670" t="str">
        <f>IF(AL670="","",MAX($AF$1:$AF670))</f>
        <v/>
      </c>
    </row>
    <row r="671" spans="1:39" ht="13.5" customHeight="1" x14ac:dyDescent="0.3">
      <c r="A671" s="13" t="s">
        <v>2</v>
      </c>
      <c r="B671" s="13"/>
      <c r="C671" s="13"/>
      <c r="D671" s="13"/>
      <c r="E671" s="1"/>
      <c r="AB671" t="str" cm="1">
        <f t="array" ref="AB671">_xlfn._xlws.FILTER(A671:Z671,A671:Z671&lt;&gt;"","")</f>
        <v>Category A: Core and Elective Subjects</v>
      </c>
      <c r="AD671" t="str">
        <v/>
      </c>
      <c r="AE671" t="str">
        <v/>
      </c>
      <c r="AF671" t="str" cm="1">
        <f t="array" ref="AF671">IF(AD671="","",SUMPRODUCT(IF(LEFT($AD$1:AD671,2)="JS",1,0)))</f>
        <v/>
      </c>
      <c r="AG671" t="str">
        <f t="shared" si="40"/>
        <v/>
      </c>
      <c r="AH671" t="str">
        <f t="shared" si="41"/>
        <v/>
      </c>
      <c r="AI671" t="str">
        <f>IF(AH671="","",MAX($AF$1:$AF671))</f>
        <v/>
      </c>
      <c r="AJ671" t="str">
        <f t="shared" si="42"/>
        <v/>
      </c>
      <c r="AK671" t="str">
        <f>IF(AJ671="","",MAX($AF$1:$AF671))</f>
        <v/>
      </c>
      <c r="AL671" t="str">
        <f t="shared" si="43"/>
        <v/>
      </c>
      <c r="AM671" t="str">
        <f>IF(AL671="","",MAX($AF$1:$AF671))</f>
        <v/>
      </c>
    </row>
    <row r="672" spans="1:39" ht="13.5" customHeight="1" x14ac:dyDescent="0.3">
      <c r="A672" s="14" t="s">
        <v>3</v>
      </c>
      <c r="B672" s="15"/>
      <c r="C672" s="16" t="s">
        <v>4</v>
      </c>
      <c r="D672" s="17"/>
      <c r="E672" s="2"/>
      <c r="AB672" t="str" cm="1">
        <f t="array" ref="AB672:AC672">_xlfn._xlws.FILTER(A672:Z672,A672:Z672&lt;&gt;"","")</f>
        <v>Subject Name</v>
      </c>
      <c r="AC672" t="str">
        <v>Subject Weighting for 2023/24 Admission Exercise *</v>
      </c>
      <c r="AD672" t="str">
        <v/>
      </c>
      <c r="AE672" t="str">
        <v/>
      </c>
      <c r="AF672" t="str" cm="1">
        <f t="array" ref="AF672">IF(AD672="","",SUMPRODUCT(IF(LEFT($AD$1:AD672,2)="JS",1,0)))</f>
        <v/>
      </c>
      <c r="AG672" t="str">
        <f t="shared" si="40"/>
        <v/>
      </c>
      <c r="AH672" t="str">
        <f t="shared" si="41"/>
        <v/>
      </c>
      <c r="AI672" t="str">
        <f>IF(AH672="","",MAX($AF$1:$AF672))</f>
        <v/>
      </c>
      <c r="AJ672" t="str">
        <f t="shared" si="42"/>
        <v/>
      </c>
      <c r="AK672" t="str">
        <f>IF(AJ672="","",MAX($AF$1:$AF672))</f>
        <v/>
      </c>
      <c r="AL672" t="str">
        <f t="shared" si="43"/>
        <v/>
      </c>
      <c r="AM672" t="str">
        <f>IF(AL672="","",MAX($AF$1:$AF672))</f>
        <v/>
      </c>
    </row>
    <row r="673" spans="1:39" ht="13.5" customHeight="1" x14ac:dyDescent="0.3">
      <c r="A673" s="8" t="s">
        <v>211</v>
      </c>
      <c r="B673" s="9"/>
      <c r="C673" s="10">
        <v>10</v>
      </c>
      <c r="D673" s="11"/>
      <c r="E673" s="2"/>
      <c r="AB673" t="str" cm="1">
        <f t="array" ref="AB673:AC673">_xlfn._xlws.FILTER(A673:Z673,A673:Z673&lt;&gt;"","")</f>
        <v>BIO</v>
      </c>
      <c r="AC673">
        <v>10</v>
      </c>
      <c r="AD673" t="str">
        <v/>
      </c>
      <c r="AE673" t="str">
        <v/>
      </c>
      <c r="AF673" t="str" cm="1">
        <f t="array" ref="AF673">IF(AD673="","",SUMPRODUCT(IF(LEFT($AD$1:AD673,2)="JS",1,0)))</f>
        <v/>
      </c>
      <c r="AG673" t="b">
        <f t="shared" si="40"/>
        <v>1</v>
      </c>
      <c r="AH673" t="str">
        <f t="shared" si="41"/>
        <v>BIO</v>
      </c>
      <c r="AI673">
        <f>IF(AH673="","",MAX($AF$1:$AF673))</f>
        <v>14</v>
      </c>
      <c r="AJ673" t="str">
        <f t="shared" si="42"/>
        <v/>
      </c>
      <c r="AK673" t="str">
        <f>IF(AJ673="","",MAX($AF$1:$AF673))</f>
        <v/>
      </c>
      <c r="AL673" t="str">
        <f t="shared" si="43"/>
        <v/>
      </c>
      <c r="AM673" t="str">
        <f>IF(AL673="","",MAX($AF$1:$AF673))</f>
        <v/>
      </c>
    </row>
    <row r="674" spans="1:39" ht="13.5" customHeight="1" x14ac:dyDescent="0.3">
      <c r="A674" s="8" t="s">
        <v>213</v>
      </c>
      <c r="B674" s="9"/>
      <c r="C674" s="10">
        <v>5</v>
      </c>
      <c r="D674" s="11"/>
      <c r="E674" s="2"/>
      <c r="AB674" t="str" cm="1">
        <f t="array" ref="AB674:AC674">_xlfn._xlws.FILTER(A674:Z674,A674:Z674&lt;&gt;"","")</f>
        <v>BAFS</v>
      </c>
      <c r="AC674">
        <v>5</v>
      </c>
      <c r="AD674" t="str">
        <v/>
      </c>
      <c r="AE674" t="str">
        <v/>
      </c>
      <c r="AF674" t="str" cm="1">
        <f t="array" ref="AF674">IF(AD674="","",SUMPRODUCT(IF(LEFT($AD$1:AD674,2)="JS",1,0)))</f>
        <v/>
      </c>
      <c r="AG674" t="b">
        <f t="shared" si="40"/>
        <v>1</v>
      </c>
      <c r="AH674" t="str">
        <f t="shared" si="41"/>
        <v/>
      </c>
      <c r="AI674" t="str">
        <f>IF(AH674="","",MAX($AF$1:$AF674))</f>
        <v/>
      </c>
      <c r="AJ674" t="str">
        <f t="shared" si="42"/>
        <v/>
      </c>
      <c r="AK674" t="str">
        <f>IF(AJ674="","",MAX($AF$1:$AF674))</f>
        <v/>
      </c>
      <c r="AL674" t="str">
        <f t="shared" si="43"/>
        <v>BAFS</v>
      </c>
      <c r="AM674">
        <f>IF(AL674="","",MAX($AF$1:$AF674))</f>
        <v>14</v>
      </c>
    </row>
    <row r="675" spans="1:39" ht="13.5" customHeight="1" x14ac:dyDescent="0.3">
      <c r="A675" s="8" t="s">
        <v>5</v>
      </c>
      <c r="B675" s="9"/>
      <c r="C675" s="10">
        <v>5</v>
      </c>
      <c r="D675" s="11"/>
      <c r="E675" s="2"/>
      <c r="AB675" t="str" cm="1">
        <f t="array" ref="AB675:AC675">_xlfn._xlws.FILTER(A675:Z675,A675:Z675&lt;&gt;"","")</f>
        <v>Business, Accounting and Financial Studies (Accounting)</v>
      </c>
      <c r="AC675">
        <v>5</v>
      </c>
      <c r="AD675" t="str">
        <v/>
      </c>
      <c r="AE675" t="str">
        <v/>
      </c>
      <c r="AF675" t="str" cm="1">
        <f t="array" ref="AF675">IF(AD675="","",SUMPRODUCT(IF(LEFT($AD$1:AD675,2)="JS",1,0)))</f>
        <v/>
      </c>
      <c r="AG675" t="str">
        <f t="shared" si="40"/>
        <v/>
      </c>
      <c r="AH675" t="str">
        <f t="shared" si="41"/>
        <v/>
      </c>
      <c r="AI675" t="str">
        <f>IF(AH675="","",MAX($AF$1:$AF675))</f>
        <v/>
      </c>
      <c r="AJ675" t="str">
        <f t="shared" si="42"/>
        <v/>
      </c>
      <c r="AK675" t="str">
        <f>IF(AJ675="","",MAX($AF$1:$AF675))</f>
        <v/>
      </c>
      <c r="AL675" t="str">
        <f t="shared" si="43"/>
        <v/>
      </c>
      <c r="AM675" t="str">
        <f>IF(AL675="","",MAX($AF$1:$AF675))</f>
        <v/>
      </c>
    </row>
    <row r="676" spans="1:39" ht="13.5" customHeight="1" x14ac:dyDescent="0.3">
      <c r="A676" s="8" t="s">
        <v>6</v>
      </c>
      <c r="B676" s="9"/>
      <c r="C676" s="10">
        <v>5</v>
      </c>
      <c r="D676" s="11"/>
      <c r="E676" s="2"/>
      <c r="AB676" t="str" cm="1">
        <f t="array" ref="AB676:AC676">_xlfn._xlws.FILTER(A676:Z676,A676:Z676&lt;&gt;"","")</f>
        <v>Business, Accounting and Financial Studies (Business Management)</v>
      </c>
      <c r="AC676">
        <v>5</v>
      </c>
      <c r="AD676" t="str">
        <v/>
      </c>
      <c r="AE676" t="str">
        <v/>
      </c>
      <c r="AF676" t="str" cm="1">
        <f t="array" ref="AF676">IF(AD676="","",SUMPRODUCT(IF(LEFT($AD$1:AD676,2)="JS",1,0)))</f>
        <v/>
      </c>
      <c r="AG676" t="str">
        <f t="shared" si="40"/>
        <v/>
      </c>
      <c r="AH676" t="str">
        <f t="shared" si="41"/>
        <v/>
      </c>
      <c r="AI676" t="str">
        <f>IF(AH676="","",MAX($AF$1:$AF676))</f>
        <v/>
      </c>
      <c r="AJ676" t="str">
        <f t="shared" si="42"/>
        <v/>
      </c>
      <c r="AK676" t="str">
        <f>IF(AJ676="","",MAX($AF$1:$AF676))</f>
        <v/>
      </c>
      <c r="AL676" t="str">
        <f t="shared" si="43"/>
        <v/>
      </c>
      <c r="AM676" t="str">
        <f>IF(AL676="","",MAX($AF$1:$AF676))</f>
        <v/>
      </c>
    </row>
    <row r="677" spans="1:39" ht="13.5" customHeight="1" x14ac:dyDescent="0.3">
      <c r="A677" s="8" t="s">
        <v>212</v>
      </c>
      <c r="B677" s="9"/>
      <c r="C677" s="10">
        <v>10</v>
      </c>
      <c r="D677" s="11"/>
      <c r="E677" s="2"/>
      <c r="AB677" t="str" cm="1">
        <f t="array" ref="AB677:AC677">_xlfn._xlws.FILTER(A677:Z677,A677:Z677&lt;&gt;"","")</f>
        <v>CHEM</v>
      </c>
      <c r="AC677">
        <v>10</v>
      </c>
      <c r="AD677" t="str">
        <v/>
      </c>
      <c r="AE677" t="str">
        <v/>
      </c>
      <c r="AF677" t="str" cm="1">
        <f t="array" ref="AF677">IF(AD677="","",SUMPRODUCT(IF(LEFT($AD$1:AD677,2)="JS",1,0)))</f>
        <v/>
      </c>
      <c r="AG677" t="b">
        <f t="shared" si="40"/>
        <v>1</v>
      </c>
      <c r="AH677" t="str">
        <f t="shared" si="41"/>
        <v>CHEM</v>
      </c>
      <c r="AI677">
        <f>IF(AH677="","",MAX($AF$1:$AF677))</f>
        <v>14</v>
      </c>
      <c r="AJ677" t="str">
        <f t="shared" si="42"/>
        <v/>
      </c>
      <c r="AK677" t="str">
        <f>IF(AJ677="","",MAX($AF$1:$AF677))</f>
        <v/>
      </c>
      <c r="AL677" t="str">
        <f t="shared" si="43"/>
        <v/>
      </c>
      <c r="AM677" t="str">
        <f>IF(AL677="","",MAX($AF$1:$AF677))</f>
        <v/>
      </c>
    </row>
    <row r="678" spans="1:39" ht="13.5" customHeight="1" x14ac:dyDescent="0.3">
      <c r="A678" s="8" t="s">
        <v>214</v>
      </c>
      <c r="B678" s="9"/>
      <c r="C678" s="10">
        <v>5</v>
      </c>
      <c r="D678" s="11"/>
      <c r="E678" s="2"/>
      <c r="AB678" t="str" cm="1">
        <f t="array" ref="AB678:AC678">_xlfn._xlws.FILTER(A678:Z678,A678:Z678&lt;&gt;"","")</f>
        <v>中史</v>
      </c>
      <c r="AC678">
        <v>5</v>
      </c>
      <c r="AD678" t="str">
        <v/>
      </c>
      <c r="AE678" t="str">
        <v/>
      </c>
      <c r="AF678" t="str" cm="1">
        <f t="array" ref="AF678">IF(AD678="","",SUMPRODUCT(IF(LEFT($AD$1:AD678,2)="JS",1,0)))</f>
        <v/>
      </c>
      <c r="AG678" t="b">
        <f t="shared" si="40"/>
        <v>1</v>
      </c>
      <c r="AH678" t="str">
        <f t="shared" si="41"/>
        <v/>
      </c>
      <c r="AI678" t="str">
        <f>IF(AH678="","",MAX($AF$1:$AF678))</f>
        <v/>
      </c>
      <c r="AJ678" t="str">
        <f t="shared" si="42"/>
        <v/>
      </c>
      <c r="AK678" t="str">
        <f>IF(AJ678="","",MAX($AF$1:$AF678))</f>
        <v/>
      </c>
      <c r="AL678" t="str">
        <f t="shared" si="43"/>
        <v>中史</v>
      </c>
      <c r="AM678">
        <f>IF(AL678="","",MAX($AF$1:$AF678))</f>
        <v>14</v>
      </c>
    </row>
    <row r="679" spans="1:39" ht="13.5" customHeight="1" x14ac:dyDescent="0.3">
      <c r="A679" s="8" t="s">
        <v>216</v>
      </c>
      <c r="B679" s="9"/>
      <c r="C679" s="10">
        <v>7</v>
      </c>
      <c r="D679" s="11"/>
      <c r="E679" s="2"/>
      <c r="AB679" t="str" cm="1">
        <f t="array" ref="AB679:AC679">_xlfn._xlws.FILTER(A679:Z679,A679:Z679&lt;&gt;"","")</f>
        <v>中文</v>
      </c>
      <c r="AC679">
        <v>7</v>
      </c>
      <c r="AD679" t="str">
        <v/>
      </c>
      <c r="AE679" t="str">
        <v/>
      </c>
      <c r="AF679" t="str" cm="1">
        <f t="array" ref="AF679">IF(AD679="","",SUMPRODUCT(IF(LEFT($AD$1:AD679,2)="JS",1,0)))</f>
        <v/>
      </c>
      <c r="AG679" t="b">
        <f t="shared" si="40"/>
        <v>1</v>
      </c>
      <c r="AH679" t="str">
        <f t="shared" si="41"/>
        <v/>
      </c>
      <c r="AI679" t="str">
        <f>IF(AH679="","",MAX($AF$1:$AF679))</f>
        <v/>
      </c>
      <c r="AJ679" t="str">
        <f t="shared" si="42"/>
        <v>中文</v>
      </c>
      <c r="AK679">
        <f>IF(AJ679="","",MAX($AF$1:$AF679))</f>
        <v>14</v>
      </c>
      <c r="AL679" t="str">
        <f t="shared" si="43"/>
        <v/>
      </c>
      <c r="AM679" t="str">
        <f>IF(AL679="","",MAX($AF$1:$AF679))</f>
        <v/>
      </c>
    </row>
    <row r="680" spans="1:39" ht="13.5" customHeight="1" x14ac:dyDescent="0.3">
      <c r="A680" s="8" t="s">
        <v>7</v>
      </c>
      <c r="B680" s="9"/>
      <c r="C680" s="10">
        <v>5</v>
      </c>
      <c r="D680" s="11"/>
      <c r="E680" s="2"/>
      <c r="AB680" t="str" cm="1">
        <f t="array" ref="AB680:AC680">_xlfn._xlws.FILTER(A680:Z680,A680:Z680&lt;&gt;"","")</f>
        <v>Chinese Literature</v>
      </c>
      <c r="AC680">
        <v>5</v>
      </c>
      <c r="AD680" t="str">
        <v/>
      </c>
      <c r="AE680" t="str">
        <v/>
      </c>
      <c r="AF680" t="str" cm="1">
        <f t="array" ref="AF680">IF(AD680="","",SUMPRODUCT(IF(LEFT($AD$1:AD680,2)="JS",1,0)))</f>
        <v/>
      </c>
      <c r="AG680" t="str">
        <f t="shared" si="40"/>
        <v/>
      </c>
      <c r="AH680" t="str">
        <f t="shared" si="41"/>
        <v/>
      </c>
      <c r="AI680" t="str">
        <f>IF(AH680="","",MAX($AF$1:$AF680))</f>
        <v/>
      </c>
      <c r="AJ680" t="str">
        <f t="shared" si="42"/>
        <v/>
      </c>
      <c r="AK680" t="str">
        <f>IF(AJ680="","",MAX($AF$1:$AF680))</f>
        <v/>
      </c>
      <c r="AL680" t="str">
        <f t="shared" si="43"/>
        <v/>
      </c>
      <c r="AM680" t="str">
        <f>IF(AL680="","",MAX($AF$1:$AF680))</f>
        <v/>
      </c>
    </row>
    <row r="681" spans="1:39" ht="13.5" customHeight="1" x14ac:dyDescent="0.3">
      <c r="A681" s="8" t="s">
        <v>8</v>
      </c>
      <c r="B681" s="9"/>
      <c r="C681" s="10">
        <v>10</v>
      </c>
      <c r="D681" s="11"/>
      <c r="E681" s="2"/>
      <c r="AB681" t="str" cm="1">
        <f t="array" ref="AB681:AC681">_xlfn._xlws.FILTER(A681:Z681,A681:Z681&lt;&gt;"","")</f>
        <v>Combined Science: Biology + Chemistry</v>
      </c>
      <c r="AC681">
        <v>10</v>
      </c>
      <c r="AD681" t="str">
        <v/>
      </c>
      <c r="AE681" t="str">
        <v/>
      </c>
      <c r="AF681" t="str" cm="1">
        <f t="array" ref="AF681">IF(AD681="","",SUMPRODUCT(IF(LEFT($AD$1:AD681,2)="JS",1,0)))</f>
        <v/>
      </c>
      <c r="AG681" t="str">
        <f t="shared" si="40"/>
        <v/>
      </c>
      <c r="AH681" t="str">
        <f t="shared" si="41"/>
        <v/>
      </c>
      <c r="AI681" t="str">
        <f>IF(AH681="","",MAX($AF$1:$AF681))</f>
        <v/>
      </c>
      <c r="AJ681" t="str">
        <f t="shared" si="42"/>
        <v/>
      </c>
      <c r="AK681" t="str">
        <f>IF(AJ681="","",MAX($AF$1:$AF681))</f>
        <v/>
      </c>
      <c r="AL681" t="str">
        <f t="shared" si="43"/>
        <v/>
      </c>
      <c r="AM681" t="str">
        <f>IF(AL681="","",MAX($AF$1:$AF681))</f>
        <v/>
      </c>
    </row>
    <row r="682" spans="1:39" ht="13.5" customHeight="1" x14ac:dyDescent="0.3">
      <c r="A682" s="8" t="s">
        <v>9</v>
      </c>
      <c r="B682" s="9"/>
      <c r="C682" s="10">
        <v>10</v>
      </c>
      <c r="D682" s="11"/>
      <c r="E682" s="2"/>
      <c r="AB682" t="str" cm="1">
        <f t="array" ref="AB682:AC682">_xlfn._xlws.FILTER(A682:Z682,A682:Z682&lt;&gt;"","")</f>
        <v>Combined Science: Biology + Physics</v>
      </c>
      <c r="AC682">
        <v>10</v>
      </c>
      <c r="AD682" t="str">
        <v/>
      </c>
      <c r="AE682" t="str">
        <v/>
      </c>
      <c r="AF682" t="str" cm="1">
        <f t="array" ref="AF682">IF(AD682="","",SUMPRODUCT(IF(LEFT($AD$1:AD682,2)="JS",1,0)))</f>
        <v/>
      </c>
      <c r="AG682" t="str">
        <f t="shared" si="40"/>
        <v/>
      </c>
      <c r="AH682" t="str">
        <f t="shared" si="41"/>
        <v/>
      </c>
      <c r="AI682" t="str">
        <f>IF(AH682="","",MAX($AF$1:$AF682))</f>
        <v/>
      </c>
      <c r="AJ682" t="str">
        <f t="shared" si="42"/>
        <v/>
      </c>
      <c r="AK682" t="str">
        <f>IF(AJ682="","",MAX($AF$1:$AF682))</f>
        <v/>
      </c>
      <c r="AL682" t="str">
        <f t="shared" si="43"/>
        <v/>
      </c>
      <c r="AM682" t="str">
        <f>IF(AL682="","",MAX($AF$1:$AF682))</f>
        <v/>
      </c>
    </row>
    <row r="683" spans="1:39" ht="13.5" customHeight="1" x14ac:dyDescent="0.3">
      <c r="A683" s="8" t="s">
        <v>10</v>
      </c>
      <c r="B683" s="9"/>
      <c r="C683" s="10">
        <v>10</v>
      </c>
      <c r="D683" s="11"/>
      <c r="E683" s="2"/>
      <c r="AB683" t="str" cm="1">
        <f t="array" ref="AB683:AC683">_xlfn._xlws.FILTER(A683:Z683,A683:Z683&lt;&gt;"","")</f>
        <v>Combined Science: Physics + Chemistry</v>
      </c>
      <c r="AC683">
        <v>10</v>
      </c>
      <c r="AD683" t="str">
        <v/>
      </c>
      <c r="AE683" t="str">
        <v/>
      </c>
      <c r="AF683" t="str" cm="1">
        <f t="array" ref="AF683">IF(AD683="","",SUMPRODUCT(IF(LEFT($AD$1:AD683,2)="JS",1,0)))</f>
        <v/>
      </c>
      <c r="AG683" t="str">
        <f t="shared" si="40"/>
        <v/>
      </c>
      <c r="AH683" t="str">
        <f t="shared" si="41"/>
        <v/>
      </c>
      <c r="AI683" t="str">
        <f>IF(AH683="","",MAX($AF$1:$AF683))</f>
        <v/>
      </c>
      <c r="AJ683" t="str">
        <f t="shared" si="42"/>
        <v/>
      </c>
      <c r="AK683" t="str">
        <f>IF(AJ683="","",MAX($AF$1:$AF683))</f>
        <v/>
      </c>
      <c r="AL683" t="str">
        <f t="shared" si="43"/>
        <v/>
      </c>
      <c r="AM683" t="str">
        <f>IF(AL683="","",MAX($AF$1:$AF683))</f>
        <v/>
      </c>
    </row>
    <row r="684" spans="1:39" ht="13.5" customHeight="1" x14ac:dyDescent="0.3">
      <c r="A684" s="8" t="s">
        <v>11</v>
      </c>
      <c r="B684" s="9"/>
      <c r="C684" s="10">
        <v>7</v>
      </c>
      <c r="D684" s="11"/>
      <c r="E684" s="2"/>
      <c r="AB684" t="str" cm="1">
        <f t="array" ref="AB684:AC684">_xlfn._xlws.FILTER(A684:Z684,A684:Z684&lt;&gt;"","")</f>
        <v>Design and Applied Technology</v>
      </c>
      <c r="AC684">
        <v>7</v>
      </c>
      <c r="AD684" t="str">
        <v/>
      </c>
      <c r="AE684" t="str">
        <v/>
      </c>
      <c r="AF684" t="str" cm="1">
        <f t="array" ref="AF684">IF(AD684="","",SUMPRODUCT(IF(LEFT($AD$1:AD684,2)="JS",1,0)))</f>
        <v/>
      </c>
      <c r="AG684" t="str">
        <f t="shared" si="40"/>
        <v/>
      </c>
      <c r="AH684" t="str">
        <f t="shared" si="41"/>
        <v/>
      </c>
      <c r="AI684" t="str">
        <f>IF(AH684="","",MAX($AF$1:$AF684))</f>
        <v/>
      </c>
      <c r="AJ684" t="str">
        <f t="shared" si="42"/>
        <v/>
      </c>
      <c r="AK684" t="str">
        <f>IF(AJ684="","",MAX($AF$1:$AF684))</f>
        <v/>
      </c>
      <c r="AL684" t="str">
        <f t="shared" si="43"/>
        <v/>
      </c>
      <c r="AM684" t="str">
        <f>IF(AL684="","",MAX($AF$1:$AF684))</f>
        <v/>
      </c>
    </row>
    <row r="685" spans="1:39" ht="13.5" customHeight="1" x14ac:dyDescent="0.3">
      <c r="A685" s="8" t="s">
        <v>217</v>
      </c>
      <c r="B685" s="9"/>
      <c r="C685" s="10">
        <v>5</v>
      </c>
      <c r="D685" s="11"/>
      <c r="E685" s="2"/>
      <c r="AB685" t="str" cm="1">
        <f t="array" ref="AB685:AC685">_xlfn._xlws.FILTER(A685:Z685,A685:Z685&lt;&gt;"","")</f>
        <v>ECON</v>
      </c>
      <c r="AC685">
        <v>5</v>
      </c>
      <c r="AD685" t="str">
        <v/>
      </c>
      <c r="AE685" t="str">
        <v/>
      </c>
      <c r="AF685" t="str" cm="1">
        <f t="array" ref="AF685">IF(AD685="","",SUMPRODUCT(IF(LEFT($AD$1:AD685,2)="JS",1,0)))</f>
        <v/>
      </c>
      <c r="AG685" t="b">
        <f t="shared" si="40"/>
        <v>1</v>
      </c>
      <c r="AH685" t="str">
        <f t="shared" si="41"/>
        <v/>
      </c>
      <c r="AI685" t="str">
        <f>IF(AH685="","",MAX($AF$1:$AF685))</f>
        <v/>
      </c>
      <c r="AJ685" t="str">
        <f t="shared" si="42"/>
        <v/>
      </c>
      <c r="AK685" t="str">
        <f>IF(AJ685="","",MAX($AF$1:$AF685))</f>
        <v/>
      </c>
      <c r="AL685" t="str">
        <f t="shared" si="43"/>
        <v>ECON</v>
      </c>
      <c r="AM685">
        <f>IF(AL685="","",MAX($AF$1:$AF685))</f>
        <v>14</v>
      </c>
    </row>
    <row r="686" spans="1:39" ht="13.5" customHeight="1" x14ac:dyDescent="0.3">
      <c r="A686" s="8" t="s">
        <v>218</v>
      </c>
      <c r="B686" s="9"/>
      <c r="C686" s="10">
        <v>10</v>
      </c>
      <c r="D686" s="11"/>
      <c r="E686" s="2"/>
      <c r="AB686" t="str" cm="1">
        <f t="array" ref="AB686:AC686">_xlfn._xlws.FILTER(A686:Z686,A686:Z686&lt;&gt;"","")</f>
        <v>ENG</v>
      </c>
      <c r="AC686">
        <v>10</v>
      </c>
      <c r="AD686" t="str">
        <v/>
      </c>
      <c r="AE686" t="str">
        <v/>
      </c>
      <c r="AF686" t="str" cm="1">
        <f t="array" ref="AF686">IF(AD686="","",SUMPRODUCT(IF(LEFT($AD$1:AD686,2)="JS",1,0)))</f>
        <v/>
      </c>
      <c r="AG686" t="b">
        <f t="shared" si="40"/>
        <v>1</v>
      </c>
      <c r="AH686" t="str">
        <f t="shared" si="41"/>
        <v>ENG</v>
      </c>
      <c r="AI686">
        <f>IF(AH686="","",MAX($AF$1:$AF686))</f>
        <v>14</v>
      </c>
      <c r="AJ686" t="str">
        <f t="shared" si="42"/>
        <v/>
      </c>
      <c r="AK686" t="str">
        <f>IF(AJ686="","",MAX($AF$1:$AF686))</f>
        <v/>
      </c>
      <c r="AL686" t="str">
        <f t="shared" si="43"/>
        <v/>
      </c>
      <c r="AM686" t="str">
        <f>IF(AL686="","",MAX($AF$1:$AF686))</f>
        <v/>
      </c>
    </row>
    <row r="687" spans="1:39" ht="13.5" customHeight="1" x14ac:dyDescent="0.3">
      <c r="A687" s="8" t="s">
        <v>12</v>
      </c>
      <c r="B687" s="9"/>
      <c r="C687" s="10">
        <v>5</v>
      </c>
      <c r="D687" s="11"/>
      <c r="E687" s="2"/>
      <c r="AB687" t="str" cm="1">
        <f t="array" ref="AB687:AC687">_xlfn._xlws.FILTER(A687:Z687,A687:Z687&lt;&gt;"","")</f>
        <v>Ethics and Religious Studies</v>
      </c>
      <c r="AC687">
        <v>5</v>
      </c>
      <c r="AD687" t="str">
        <v/>
      </c>
      <c r="AE687" t="str">
        <v/>
      </c>
      <c r="AF687" t="str" cm="1">
        <f t="array" ref="AF687">IF(AD687="","",SUMPRODUCT(IF(LEFT($AD$1:AD687,2)="JS",1,0)))</f>
        <v/>
      </c>
      <c r="AG687" t="str">
        <f t="shared" si="40"/>
        <v/>
      </c>
      <c r="AH687" t="str">
        <f t="shared" si="41"/>
        <v/>
      </c>
      <c r="AI687" t="str">
        <f>IF(AH687="","",MAX($AF$1:$AF687))</f>
        <v/>
      </c>
      <c r="AJ687" t="str">
        <f t="shared" si="42"/>
        <v/>
      </c>
      <c r="AK687" t="str">
        <f>IF(AJ687="","",MAX($AF$1:$AF687))</f>
        <v/>
      </c>
      <c r="AL687" t="str">
        <f t="shared" si="43"/>
        <v/>
      </c>
      <c r="AM687" t="str">
        <f>IF(AL687="","",MAX($AF$1:$AF687))</f>
        <v/>
      </c>
    </row>
    <row r="688" spans="1:39" ht="13.5" customHeight="1" x14ac:dyDescent="0.3">
      <c r="A688" s="8" t="s">
        <v>219</v>
      </c>
      <c r="B688" s="9"/>
      <c r="C688" s="10">
        <v>5</v>
      </c>
      <c r="D688" s="11"/>
      <c r="E688" s="2"/>
      <c r="AB688" t="str" cm="1">
        <f t="array" ref="AB688:AC688">_xlfn._xlws.FILTER(A688:Z688,A688:Z688&lt;&gt;"","")</f>
        <v>GEOG</v>
      </c>
      <c r="AC688">
        <v>5</v>
      </c>
      <c r="AD688" t="str">
        <v/>
      </c>
      <c r="AE688" t="str">
        <v/>
      </c>
      <c r="AF688" t="str" cm="1">
        <f t="array" ref="AF688">IF(AD688="","",SUMPRODUCT(IF(LEFT($AD$1:AD688,2)="JS",1,0)))</f>
        <v/>
      </c>
      <c r="AG688" t="b">
        <f t="shared" si="40"/>
        <v>1</v>
      </c>
      <c r="AH688" t="str">
        <f t="shared" si="41"/>
        <v/>
      </c>
      <c r="AI688" t="str">
        <f>IF(AH688="","",MAX($AF$1:$AF688))</f>
        <v/>
      </c>
      <c r="AJ688" t="str">
        <f t="shared" si="42"/>
        <v/>
      </c>
      <c r="AK688" t="str">
        <f>IF(AJ688="","",MAX($AF$1:$AF688))</f>
        <v/>
      </c>
      <c r="AL688" t="str">
        <f t="shared" si="43"/>
        <v>GEOG</v>
      </c>
      <c r="AM688">
        <f>IF(AL688="","",MAX($AF$1:$AF688))</f>
        <v>14</v>
      </c>
    </row>
    <row r="689" spans="1:39" ht="13.5" customHeight="1" x14ac:dyDescent="0.3">
      <c r="A689" s="8" t="s">
        <v>220</v>
      </c>
      <c r="B689" s="9"/>
      <c r="C689" s="10">
        <v>5</v>
      </c>
      <c r="D689" s="11"/>
      <c r="E689" s="2"/>
      <c r="AB689" t="str" cm="1">
        <f t="array" ref="AB689:AC689">_xlfn._xlws.FILTER(A689:Z689,A689:Z689&lt;&gt;"","")</f>
        <v>HMSC</v>
      </c>
      <c r="AC689">
        <v>5</v>
      </c>
      <c r="AD689" t="str">
        <v/>
      </c>
      <c r="AE689" t="str">
        <v/>
      </c>
      <c r="AF689" t="str" cm="1">
        <f t="array" ref="AF689">IF(AD689="","",SUMPRODUCT(IF(LEFT($AD$1:AD689,2)="JS",1,0)))</f>
        <v/>
      </c>
      <c r="AG689" t="b">
        <f t="shared" si="40"/>
        <v>1</v>
      </c>
      <c r="AH689" t="str">
        <f t="shared" si="41"/>
        <v/>
      </c>
      <c r="AI689" t="str">
        <f>IF(AH689="","",MAX($AF$1:$AF689))</f>
        <v/>
      </c>
      <c r="AJ689" t="str">
        <f t="shared" si="42"/>
        <v/>
      </c>
      <c r="AK689" t="str">
        <f>IF(AJ689="","",MAX($AF$1:$AF689))</f>
        <v/>
      </c>
      <c r="AL689" t="str">
        <f t="shared" si="43"/>
        <v>HMSC</v>
      </c>
      <c r="AM689">
        <f>IF(AL689="","",MAX($AF$1:$AF689))</f>
        <v>14</v>
      </c>
    </row>
    <row r="690" spans="1:39" ht="13.5" customHeight="1" x14ac:dyDescent="0.3">
      <c r="A690" s="8" t="s">
        <v>221</v>
      </c>
      <c r="B690" s="9"/>
      <c r="C690" s="10">
        <v>5</v>
      </c>
      <c r="D690" s="11"/>
      <c r="E690" s="2"/>
      <c r="AB690" t="str" cm="1">
        <f t="array" ref="AB690:AC690">_xlfn._xlws.FILTER(A690:Z690,A690:Z690&lt;&gt;"","")</f>
        <v>HIST</v>
      </c>
      <c r="AC690">
        <v>5</v>
      </c>
      <c r="AD690" t="str">
        <v/>
      </c>
      <c r="AE690" t="str">
        <v/>
      </c>
      <c r="AF690" t="str" cm="1">
        <f t="array" ref="AF690">IF(AD690="","",SUMPRODUCT(IF(LEFT($AD$1:AD690,2)="JS",1,0)))</f>
        <v/>
      </c>
      <c r="AG690" t="b">
        <f t="shared" si="40"/>
        <v>1</v>
      </c>
      <c r="AH690" t="str">
        <f t="shared" si="41"/>
        <v/>
      </c>
      <c r="AI690" t="str">
        <f>IF(AH690="","",MAX($AF$1:$AF690))</f>
        <v/>
      </c>
      <c r="AJ690" t="str">
        <f t="shared" si="42"/>
        <v/>
      </c>
      <c r="AK690" t="str">
        <f>IF(AJ690="","",MAX($AF$1:$AF690))</f>
        <v/>
      </c>
      <c r="AL690" t="str">
        <f t="shared" si="43"/>
        <v>HIST</v>
      </c>
      <c r="AM690">
        <f>IF(AL690="","",MAX($AF$1:$AF690))</f>
        <v>14</v>
      </c>
    </row>
    <row r="691" spans="1:39" ht="13.5" customHeight="1" x14ac:dyDescent="0.3">
      <c r="A691" s="8" t="s">
        <v>222</v>
      </c>
      <c r="B691" s="9"/>
      <c r="C691" s="10">
        <v>10</v>
      </c>
      <c r="D691" s="11"/>
      <c r="E691" s="2"/>
      <c r="AB691" t="str" cm="1">
        <f t="array" ref="AB691:AC691">_xlfn._xlws.FILTER(A691:Z691,A691:Z691&lt;&gt;"","")</f>
        <v>ICT</v>
      </c>
      <c r="AC691">
        <v>10</v>
      </c>
      <c r="AD691" t="str">
        <v/>
      </c>
      <c r="AE691" t="str">
        <v/>
      </c>
      <c r="AF691" t="str" cm="1">
        <f t="array" ref="AF691">IF(AD691="","",SUMPRODUCT(IF(LEFT($AD$1:AD691,2)="JS",1,0)))</f>
        <v/>
      </c>
      <c r="AG691" t="b">
        <f t="shared" si="40"/>
        <v>1</v>
      </c>
      <c r="AH691" t="str">
        <f t="shared" si="41"/>
        <v>ICT</v>
      </c>
      <c r="AI691">
        <f>IF(AH691="","",MAX($AF$1:$AF691))</f>
        <v>14</v>
      </c>
      <c r="AJ691" t="str">
        <f t="shared" si="42"/>
        <v/>
      </c>
      <c r="AK691" t="str">
        <f>IF(AJ691="","",MAX($AF$1:$AF691))</f>
        <v/>
      </c>
      <c r="AL691" t="str">
        <f t="shared" si="43"/>
        <v/>
      </c>
      <c r="AM691" t="str">
        <f>IF(AL691="","",MAX($AF$1:$AF691))</f>
        <v/>
      </c>
    </row>
    <row r="692" spans="1:39" ht="13.5" customHeight="1" x14ac:dyDescent="0.3">
      <c r="A692" s="8" t="s">
        <v>13</v>
      </c>
      <c r="B692" s="9"/>
      <c r="C692" s="10">
        <v>7</v>
      </c>
      <c r="D692" s="11"/>
      <c r="E692" s="2"/>
      <c r="AB692" t="str" cm="1">
        <f t="array" ref="AB692:AC692">_xlfn._xlws.FILTER(A692:Z692,A692:Z692&lt;&gt;"","")</f>
        <v>Integrated Science</v>
      </c>
      <c r="AC692">
        <v>7</v>
      </c>
      <c r="AD692" t="str">
        <v/>
      </c>
      <c r="AE692" t="str">
        <v/>
      </c>
      <c r="AF692" t="str" cm="1">
        <f t="array" ref="AF692">IF(AD692="","",SUMPRODUCT(IF(LEFT($AD$1:AD692,2)="JS",1,0)))</f>
        <v/>
      </c>
      <c r="AG692" t="str">
        <f t="shared" si="40"/>
        <v/>
      </c>
      <c r="AH692" t="str">
        <f t="shared" si="41"/>
        <v/>
      </c>
      <c r="AI692" t="str">
        <f>IF(AH692="","",MAX($AF$1:$AF692))</f>
        <v/>
      </c>
      <c r="AJ692" t="str">
        <f t="shared" si="42"/>
        <v/>
      </c>
      <c r="AK692" t="str">
        <f>IF(AJ692="","",MAX($AF$1:$AF692))</f>
        <v/>
      </c>
      <c r="AL692" t="str">
        <f t="shared" si="43"/>
        <v/>
      </c>
      <c r="AM692" t="str">
        <f>IF(AL692="","",MAX($AF$1:$AF692))</f>
        <v/>
      </c>
    </row>
    <row r="693" spans="1:39" ht="13.5" customHeight="1" x14ac:dyDescent="0.3">
      <c r="A693" s="8" t="s">
        <v>223</v>
      </c>
      <c r="B693" s="9"/>
      <c r="C693" s="10">
        <v>7</v>
      </c>
      <c r="D693" s="11"/>
      <c r="E693" s="2"/>
      <c r="AB693" t="str" cm="1">
        <f t="array" ref="AB693:AC693">_xlfn._xlws.FILTER(A693:Z693,A693:Z693&lt;&gt;"","")</f>
        <v>通</v>
      </c>
      <c r="AC693">
        <v>7</v>
      </c>
      <c r="AD693" t="str">
        <v/>
      </c>
      <c r="AE693" t="str">
        <v/>
      </c>
      <c r="AF693" t="str" cm="1">
        <f t="array" ref="AF693">IF(AD693="","",SUMPRODUCT(IF(LEFT($AD$1:AD693,2)="JS",1,0)))</f>
        <v/>
      </c>
      <c r="AG693" t="b">
        <f t="shared" si="40"/>
        <v>1</v>
      </c>
      <c r="AH693" t="str">
        <f t="shared" si="41"/>
        <v/>
      </c>
      <c r="AI693" t="str">
        <f>IF(AH693="","",MAX($AF$1:$AF693))</f>
        <v/>
      </c>
      <c r="AJ693" t="str">
        <f t="shared" si="42"/>
        <v>通</v>
      </c>
      <c r="AK693">
        <f>IF(AJ693="","",MAX($AF$1:$AF693))</f>
        <v>14</v>
      </c>
      <c r="AL693" t="str">
        <f t="shared" si="43"/>
        <v/>
      </c>
      <c r="AM693" t="str">
        <f>IF(AL693="","",MAX($AF$1:$AF693))</f>
        <v/>
      </c>
    </row>
    <row r="694" spans="1:39" ht="13.5" customHeight="1" x14ac:dyDescent="0.3">
      <c r="A694" s="8" t="s">
        <v>14</v>
      </c>
      <c r="B694" s="9"/>
      <c r="C694" s="10">
        <v>5</v>
      </c>
      <c r="D694" s="11"/>
      <c r="E694" s="2"/>
      <c r="AB694" t="str" cm="1">
        <f t="array" ref="AB694:AC694">_xlfn._xlws.FILTER(A694:Z694,A694:Z694&lt;&gt;"","")</f>
        <v>Literature in English</v>
      </c>
      <c r="AC694">
        <v>5</v>
      </c>
      <c r="AD694" t="str">
        <v/>
      </c>
      <c r="AE694" t="str">
        <v/>
      </c>
      <c r="AF694" t="str" cm="1">
        <f t="array" ref="AF694">IF(AD694="","",SUMPRODUCT(IF(LEFT($AD$1:AD694,2)="JS",1,0)))</f>
        <v/>
      </c>
      <c r="AG694" t="str">
        <f t="shared" si="40"/>
        <v/>
      </c>
      <c r="AH694" t="str">
        <f t="shared" si="41"/>
        <v/>
      </c>
      <c r="AI694" t="str">
        <f>IF(AH694="","",MAX($AF$1:$AF694))</f>
        <v/>
      </c>
      <c r="AJ694" t="str">
        <f t="shared" si="42"/>
        <v/>
      </c>
      <c r="AK694" t="str">
        <f>IF(AJ694="","",MAX($AF$1:$AF694))</f>
        <v/>
      </c>
      <c r="AL694" t="str">
        <f t="shared" si="43"/>
        <v/>
      </c>
      <c r="AM694" t="str">
        <f>IF(AL694="","",MAX($AF$1:$AF694))</f>
        <v/>
      </c>
    </row>
    <row r="695" spans="1:39" ht="13.5" customHeight="1" x14ac:dyDescent="0.3">
      <c r="A695" s="8" t="s">
        <v>224</v>
      </c>
      <c r="B695" s="9"/>
      <c r="C695" s="10">
        <v>10</v>
      </c>
      <c r="D695" s="11"/>
      <c r="E695" s="2"/>
      <c r="AB695" t="str" cm="1">
        <f t="array" ref="AB695:AC695">_xlfn._xlws.FILTER(A695:Z695,A695:Z695&lt;&gt;"","")</f>
        <v>MATH</v>
      </c>
      <c r="AC695">
        <v>10</v>
      </c>
      <c r="AD695" t="str">
        <v/>
      </c>
      <c r="AE695" t="str">
        <v/>
      </c>
      <c r="AF695" t="str" cm="1">
        <f t="array" ref="AF695">IF(AD695="","",SUMPRODUCT(IF(LEFT($AD$1:AD695,2)="JS",1,0)))</f>
        <v/>
      </c>
      <c r="AG695" t="b">
        <f t="shared" si="40"/>
        <v>1</v>
      </c>
      <c r="AH695" t="str">
        <f t="shared" si="41"/>
        <v>MATH</v>
      </c>
      <c r="AI695">
        <f>IF(AH695="","",MAX($AF$1:$AF695))</f>
        <v>14</v>
      </c>
      <c r="AJ695" t="str">
        <f t="shared" si="42"/>
        <v/>
      </c>
      <c r="AK695" t="str">
        <f>IF(AJ695="","",MAX($AF$1:$AF695))</f>
        <v/>
      </c>
      <c r="AL695" t="str">
        <f t="shared" si="43"/>
        <v/>
      </c>
      <c r="AM695" t="str">
        <f>IF(AL695="","",MAX($AF$1:$AF695))</f>
        <v/>
      </c>
    </row>
    <row r="696" spans="1:39" ht="13.5" customHeight="1" x14ac:dyDescent="0.3">
      <c r="A696" s="8" t="s">
        <v>225</v>
      </c>
      <c r="B696" s="9"/>
      <c r="C696" s="10">
        <v>10</v>
      </c>
      <c r="D696" s="11"/>
      <c r="E696" s="2"/>
      <c r="AB696" t="str" cm="1">
        <f t="array" ref="AB696:AC696">_xlfn._xlws.FILTER(A696:Z696,A696:Z696&lt;&gt;"","")</f>
        <v>M2</v>
      </c>
      <c r="AC696">
        <v>10</v>
      </c>
      <c r="AD696" t="str">
        <v/>
      </c>
      <c r="AE696" t="str">
        <v/>
      </c>
      <c r="AF696" t="str" cm="1">
        <f t="array" ref="AF696">IF(AD696="","",SUMPRODUCT(IF(LEFT($AD$1:AD696,2)="JS",1,0)))</f>
        <v/>
      </c>
      <c r="AG696" t="b">
        <f t="shared" si="40"/>
        <v>1</v>
      </c>
      <c r="AH696" t="str">
        <f t="shared" si="41"/>
        <v>M2</v>
      </c>
      <c r="AI696">
        <f>IF(AH696="","",MAX($AF$1:$AF696))</f>
        <v>14</v>
      </c>
      <c r="AJ696" t="str">
        <f t="shared" si="42"/>
        <v/>
      </c>
      <c r="AK696" t="str">
        <f>IF(AJ696="","",MAX($AF$1:$AF696))</f>
        <v/>
      </c>
      <c r="AL696" t="str">
        <f t="shared" si="43"/>
        <v/>
      </c>
      <c r="AM696" t="str">
        <f>IF(AL696="","",MAX($AF$1:$AF696))</f>
        <v/>
      </c>
    </row>
    <row r="697" spans="1:39" ht="13.5" customHeight="1" x14ac:dyDescent="0.3">
      <c r="A697" s="8" t="s">
        <v>15</v>
      </c>
      <c r="B697" s="9"/>
      <c r="C697" s="10">
        <v>10</v>
      </c>
      <c r="D697" s="11"/>
      <c r="E697" s="2"/>
      <c r="AB697" t="str" cm="1">
        <f t="array" ref="AB697:AC697">_xlfn._xlws.FILTER(A697:Z697,A697:Z697&lt;&gt;"","")</f>
        <v>Mathematics (Extended part - Calculus and Statistics)</v>
      </c>
      <c r="AC697">
        <v>10</v>
      </c>
      <c r="AD697" t="str">
        <v/>
      </c>
      <c r="AE697" t="str">
        <v/>
      </c>
      <c r="AF697" t="str" cm="1">
        <f t="array" ref="AF697">IF(AD697="","",SUMPRODUCT(IF(LEFT($AD$1:AD697,2)="JS",1,0)))</f>
        <v/>
      </c>
      <c r="AG697" t="str">
        <f t="shared" si="40"/>
        <v/>
      </c>
      <c r="AH697" t="str">
        <f t="shared" si="41"/>
        <v/>
      </c>
      <c r="AI697" t="str">
        <f>IF(AH697="","",MAX($AF$1:$AF697))</f>
        <v/>
      </c>
      <c r="AJ697" t="str">
        <f t="shared" si="42"/>
        <v/>
      </c>
      <c r="AK697" t="str">
        <f>IF(AJ697="","",MAX($AF$1:$AF697))</f>
        <v/>
      </c>
      <c r="AL697" t="str">
        <f t="shared" si="43"/>
        <v/>
      </c>
      <c r="AM697" t="str">
        <f>IF(AL697="","",MAX($AF$1:$AF697))</f>
        <v/>
      </c>
    </row>
    <row r="698" spans="1:39" ht="13.5" customHeight="1" x14ac:dyDescent="0.3">
      <c r="A698" s="8" t="s">
        <v>16</v>
      </c>
      <c r="B698" s="9"/>
      <c r="C698" s="10">
        <v>5</v>
      </c>
      <c r="D698" s="11"/>
      <c r="E698" s="2"/>
      <c r="AB698" t="str" cm="1">
        <f t="array" ref="AB698:AC698">_xlfn._xlws.FILTER(A698:Z698,A698:Z698&lt;&gt;"","")</f>
        <v>Music</v>
      </c>
      <c r="AC698">
        <v>5</v>
      </c>
      <c r="AD698" t="str">
        <v/>
      </c>
      <c r="AE698" t="str">
        <v/>
      </c>
      <c r="AF698" t="str" cm="1">
        <f t="array" ref="AF698">IF(AD698="","",SUMPRODUCT(IF(LEFT($AD$1:AD698,2)="JS",1,0)))</f>
        <v/>
      </c>
      <c r="AG698" t="str">
        <f t="shared" si="40"/>
        <v/>
      </c>
      <c r="AH698" t="str">
        <f t="shared" si="41"/>
        <v/>
      </c>
      <c r="AI698" t="str">
        <f>IF(AH698="","",MAX($AF$1:$AF698))</f>
        <v/>
      </c>
      <c r="AJ698" t="str">
        <f t="shared" si="42"/>
        <v/>
      </c>
      <c r="AK698" t="str">
        <f>IF(AJ698="","",MAX($AF$1:$AF698))</f>
        <v/>
      </c>
      <c r="AL698" t="str">
        <f t="shared" si="43"/>
        <v/>
      </c>
      <c r="AM698" t="str">
        <f>IF(AL698="","",MAX($AF$1:$AF698))</f>
        <v/>
      </c>
    </row>
    <row r="699" spans="1:39" ht="13.5" customHeight="1" x14ac:dyDescent="0.3">
      <c r="A699" s="8" t="s">
        <v>17</v>
      </c>
      <c r="B699" s="9"/>
      <c r="C699" s="10">
        <v>5</v>
      </c>
      <c r="D699" s="11"/>
      <c r="E699" s="2"/>
      <c r="AB699" t="str" cm="1">
        <f t="array" ref="AB699:AC699">_xlfn._xlws.FILTER(A699:Z699,A699:Z699&lt;&gt;"","")</f>
        <v>Physical Education</v>
      </c>
      <c r="AC699">
        <v>5</v>
      </c>
      <c r="AD699" t="str">
        <v/>
      </c>
      <c r="AE699" t="str">
        <v/>
      </c>
      <c r="AF699" t="str" cm="1">
        <f t="array" ref="AF699">IF(AD699="","",SUMPRODUCT(IF(LEFT($AD$1:AD699,2)="JS",1,0)))</f>
        <v/>
      </c>
      <c r="AG699" t="str">
        <f t="shared" si="40"/>
        <v/>
      </c>
      <c r="AH699" t="str">
        <f t="shared" si="41"/>
        <v/>
      </c>
      <c r="AI699" t="str">
        <f>IF(AH699="","",MAX($AF$1:$AF699))</f>
        <v/>
      </c>
      <c r="AJ699" t="str">
        <f t="shared" si="42"/>
        <v/>
      </c>
      <c r="AK699" t="str">
        <f>IF(AJ699="","",MAX($AF$1:$AF699))</f>
        <v/>
      </c>
      <c r="AL699" t="str">
        <f t="shared" si="43"/>
        <v/>
      </c>
      <c r="AM699" t="str">
        <f>IF(AL699="","",MAX($AF$1:$AF699))</f>
        <v/>
      </c>
    </row>
    <row r="700" spans="1:39" ht="13.5" customHeight="1" x14ac:dyDescent="0.3">
      <c r="A700" s="8" t="s">
        <v>226</v>
      </c>
      <c r="B700" s="9"/>
      <c r="C700" s="10">
        <v>10</v>
      </c>
      <c r="D700" s="11"/>
      <c r="E700" s="2"/>
      <c r="AB700" t="str" cm="1">
        <f t="array" ref="AB700:AC700">_xlfn._xlws.FILTER(A700:Z700,A700:Z700&lt;&gt;"","")</f>
        <v>PHY</v>
      </c>
      <c r="AC700">
        <v>10</v>
      </c>
      <c r="AD700" t="str">
        <v/>
      </c>
      <c r="AE700" t="str">
        <v/>
      </c>
      <c r="AF700" t="str" cm="1">
        <f t="array" ref="AF700">IF(AD700="","",SUMPRODUCT(IF(LEFT($AD$1:AD700,2)="JS",1,0)))</f>
        <v/>
      </c>
      <c r="AG700" t="b">
        <f t="shared" si="40"/>
        <v>1</v>
      </c>
      <c r="AH700" t="str">
        <f t="shared" si="41"/>
        <v>PHY</v>
      </c>
      <c r="AI700">
        <f>IF(AH700="","",MAX($AF$1:$AF700))</f>
        <v>14</v>
      </c>
      <c r="AJ700" t="str">
        <f t="shared" si="42"/>
        <v/>
      </c>
      <c r="AK700" t="str">
        <f>IF(AJ700="","",MAX($AF$1:$AF700))</f>
        <v/>
      </c>
      <c r="AL700" t="str">
        <f t="shared" si="43"/>
        <v/>
      </c>
      <c r="AM700" t="str">
        <f>IF(AL700="","",MAX($AF$1:$AF700))</f>
        <v/>
      </c>
    </row>
    <row r="701" spans="1:39" ht="13.5" customHeight="1" x14ac:dyDescent="0.3">
      <c r="A701" s="8" t="s">
        <v>18</v>
      </c>
      <c r="B701" s="9"/>
      <c r="C701" s="10">
        <v>5</v>
      </c>
      <c r="D701" s="11"/>
      <c r="E701" s="2"/>
      <c r="AB701" t="str" cm="1">
        <f t="array" ref="AB701:AC701">_xlfn._xlws.FILTER(A701:Z701,A701:Z701&lt;&gt;"","")</f>
        <v>Technology and Living (Fashion, Clothing and Textiles)</v>
      </c>
      <c r="AC701">
        <v>5</v>
      </c>
      <c r="AD701" t="str">
        <v/>
      </c>
      <c r="AE701" t="str">
        <v/>
      </c>
      <c r="AF701" t="str" cm="1">
        <f t="array" ref="AF701">IF(AD701="","",SUMPRODUCT(IF(LEFT($AD$1:AD701,2)="JS",1,0)))</f>
        <v/>
      </c>
      <c r="AG701" t="str">
        <f t="shared" si="40"/>
        <v/>
      </c>
      <c r="AH701" t="str">
        <f t="shared" si="41"/>
        <v/>
      </c>
      <c r="AI701" t="str">
        <f>IF(AH701="","",MAX($AF$1:$AF701))</f>
        <v/>
      </c>
      <c r="AJ701" t="str">
        <f t="shared" si="42"/>
        <v/>
      </c>
      <c r="AK701" t="str">
        <f>IF(AJ701="","",MAX($AF$1:$AF701))</f>
        <v/>
      </c>
      <c r="AL701" t="str">
        <f t="shared" si="43"/>
        <v/>
      </c>
      <c r="AM701" t="str">
        <f>IF(AL701="","",MAX($AF$1:$AF701))</f>
        <v/>
      </c>
    </row>
    <row r="702" spans="1:39" ht="13.5" customHeight="1" x14ac:dyDescent="0.3">
      <c r="A702" s="8" t="s">
        <v>19</v>
      </c>
      <c r="B702" s="9"/>
      <c r="C702" s="10">
        <v>5</v>
      </c>
      <c r="D702" s="11"/>
      <c r="E702" s="2"/>
      <c r="AB702" t="str" cm="1">
        <f t="array" ref="AB702:AC702">_xlfn._xlws.FILTER(A702:Z702,A702:Z702&lt;&gt;"","")</f>
        <v>Technology and Living (Food Science and Technology)</v>
      </c>
      <c r="AC702">
        <v>5</v>
      </c>
      <c r="AD702" t="str">
        <v/>
      </c>
      <c r="AE702" t="str">
        <v/>
      </c>
      <c r="AF702" t="str" cm="1">
        <f t="array" ref="AF702">IF(AD702="","",SUMPRODUCT(IF(LEFT($AD$1:AD702,2)="JS",1,0)))</f>
        <v/>
      </c>
      <c r="AG702" t="str">
        <f t="shared" si="40"/>
        <v/>
      </c>
      <c r="AH702" t="str">
        <f t="shared" si="41"/>
        <v/>
      </c>
      <c r="AI702" t="str">
        <f>IF(AH702="","",MAX($AF$1:$AF702))</f>
        <v/>
      </c>
      <c r="AJ702" t="str">
        <f t="shared" si="42"/>
        <v/>
      </c>
      <c r="AK702" t="str">
        <f>IF(AJ702="","",MAX($AF$1:$AF702))</f>
        <v/>
      </c>
      <c r="AL702" t="str">
        <f t="shared" si="43"/>
        <v/>
      </c>
      <c r="AM702" t="str">
        <f>IF(AL702="","",MAX($AF$1:$AF702))</f>
        <v/>
      </c>
    </row>
    <row r="703" spans="1:39" ht="13.5" customHeight="1" x14ac:dyDescent="0.3">
      <c r="A703" s="8" t="s">
        <v>20</v>
      </c>
      <c r="B703" s="9"/>
      <c r="C703" s="10">
        <v>5</v>
      </c>
      <c r="D703" s="11"/>
      <c r="E703" s="2"/>
      <c r="AB703" t="str" cm="1">
        <f t="array" ref="AB703:AC703">_xlfn._xlws.FILTER(A703:Z703,A703:Z703&lt;&gt;"","")</f>
        <v>Tourism and Hospitality Studies</v>
      </c>
      <c r="AC703">
        <v>5</v>
      </c>
      <c r="AD703" t="str">
        <v/>
      </c>
      <c r="AE703" t="str">
        <v/>
      </c>
      <c r="AF703" t="str" cm="1">
        <f t="array" ref="AF703">IF(AD703="","",SUMPRODUCT(IF(LEFT($AD$1:AD703,2)="JS",1,0)))</f>
        <v/>
      </c>
      <c r="AG703" t="str">
        <f t="shared" si="40"/>
        <v/>
      </c>
      <c r="AH703" t="str">
        <f t="shared" si="41"/>
        <v/>
      </c>
      <c r="AI703" t="str">
        <f>IF(AH703="","",MAX($AF$1:$AF703))</f>
        <v/>
      </c>
      <c r="AJ703" t="str">
        <f t="shared" si="42"/>
        <v/>
      </c>
      <c r="AK703" t="str">
        <f>IF(AJ703="","",MAX($AF$1:$AF703))</f>
        <v/>
      </c>
      <c r="AL703" t="str">
        <f t="shared" si="43"/>
        <v/>
      </c>
      <c r="AM703" t="str">
        <f>IF(AL703="","",MAX($AF$1:$AF703))</f>
        <v/>
      </c>
    </row>
    <row r="704" spans="1:39" ht="13.5" customHeight="1" x14ac:dyDescent="0.3">
      <c r="A704" s="8" t="s">
        <v>210</v>
      </c>
      <c r="B704" s="9"/>
      <c r="C704" s="10">
        <v>5</v>
      </c>
      <c r="D704" s="11"/>
      <c r="E704" s="2"/>
      <c r="AB704" t="str" cm="1">
        <f t="array" ref="AB704:AC704">_xlfn._xlws.FILTER(A704:Z704,A704:Z704&lt;&gt;"","")</f>
        <v>VA</v>
      </c>
      <c r="AC704">
        <v>5</v>
      </c>
      <c r="AD704" t="str">
        <v/>
      </c>
      <c r="AE704" t="str">
        <v/>
      </c>
      <c r="AF704" t="str" cm="1">
        <f t="array" ref="AF704">IF(AD704="","",SUMPRODUCT(IF(LEFT($AD$1:AD704,2)="JS",1,0)))</f>
        <v/>
      </c>
      <c r="AG704" t="b">
        <f t="shared" si="40"/>
        <v>1</v>
      </c>
      <c r="AH704" t="str">
        <f t="shared" si="41"/>
        <v/>
      </c>
      <c r="AI704" t="str">
        <f>IF(AH704="","",MAX($AF$1:$AF704))</f>
        <v/>
      </c>
      <c r="AJ704" t="str">
        <f t="shared" si="42"/>
        <v/>
      </c>
      <c r="AK704" t="str">
        <f>IF(AJ704="","",MAX($AF$1:$AF704))</f>
        <v/>
      </c>
      <c r="AL704" t="str">
        <f t="shared" si="43"/>
        <v>VA</v>
      </c>
      <c r="AM704">
        <f>IF(AL704="","",MAX($AF$1:$AF704))</f>
        <v>14</v>
      </c>
    </row>
    <row r="705" spans="1:39" ht="26.25" customHeight="1" x14ac:dyDescent="0.3">
      <c r="A705" s="29" t="s">
        <v>21</v>
      </c>
      <c r="B705" s="29"/>
      <c r="C705" s="29"/>
      <c r="D705" s="29"/>
      <c r="E705" s="1"/>
      <c r="AB705" t="str" cm="1">
        <f t="array" ref="AB705">_xlfn._xlws.FILTER(A705:Z705,A705:Z705&lt;&gt;"","")</f>
        <v>Category B: Applied Learning Subjects</v>
      </c>
      <c r="AD705" t="str">
        <v/>
      </c>
      <c r="AE705" t="str">
        <v/>
      </c>
      <c r="AF705" t="str" cm="1">
        <f t="array" ref="AF705">IF(AD705="","",SUMPRODUCT(IF(LEFT($AD$1:AD705,2)="JS",1,0)))</f>
        <v/>
      </c>
      <c r="AG705" t="str">
        <f t="shared" ref="AG705:AG768" si="44">IF(ISNUMBER(MATCH(AB705,$AV$3:$AV$18,0)),TRUE,"")</f>
        <v/>
      </c>
      <c r="AH705" t="str">
        <f t="shared" si="41"/>
        <v/>
      </c>
      <c r="AI705" t="str">
        <f>IF(AH705="","",MAX($AF$1:$AF705))</f>
        <v/>
      </c>
      <c r="AJ705" t="str">
        <f t="shared" si="42"/>
        <v/>
      </c>
      <c r="AK705" t="str">
        <f>IF(AJ705="","",MAX($AF$1:$AF705))</f>
        <v/>
      </c>
      <c r="AL705" t="str">
        <f t="shared" si="43"/>
        <v/>
      </c>
      <c r="AM705" t="str">
        <f>IF(AL705="","",MAX($AF$1:$AF705))</f>
        <v/>
      </c>
    </row>
    <row r="706" spans="1:39" ht="13.5" customHeight="1" x14ac:dyDescent="0.3">
      <c r="A706" s="14" t="s">
        <v>3</v>
      </c>
      <c r="B706" s="15"/>
      <c r="C706" s="16" t="s">
        <v>4</v>
      </c>
      <c r="D706" s="17"/>
      <c r="E706" s="2"/>
      <c r="AB706" t="str" cm="1">
        <f t="array" ref="AB706:AC706">_xlfn._xlws.FILTER(A706:Z706,A706:Z706&lt;&gt;"","")</f>
        <v>Subject Name</v>
      </c>
      <c r="AC706" t="str">
        <v>Subject Weighting for 2023/24 Admission Exercise *</v>
      </c>
      <c r="AD706" t="str">
        <v/>
      </c>
      <c r="AE706" t="str">
        <v/>
      </c>
      <c r="AF706" t="str" cm="1">
        <f t="array" ref="AF706">IF(AD706="","",SUMPRODUCT(IF(LEFT($AD$1:AD706,2)="JS",1,0)))</f>
        <v/>
      </c>
      <c r="AG706" t="str">
        <f t="shared" si="44"/>
        <v/>
      </c>
      <c r="AH706" t="str">
        <f t="shared" ref="AH706:AH769" si="45">IF(AND(AC706=10,AG706=TRUE),AB706,"")</f>
        <v/>
      </c>
      <c r="AI706" t="str">
        <f>IF(AH706="","",MAX($AF$1:$AF706))</f>
        <v/>
      </c>
      <c r="AJ706" t="str">
        <f t="shared" ref="AJ706:AJ769" si="46">IF(AND(AC706=7,AG706=TRUE),AB706,"")</f>
        <v/>
      </c>
      <c r="AK706" t="str">
        <f>IF(AJ706="","",MAX($AF$1:$AF706))</f>
        <v/>
      </c>
      <c r="AL706" t="str">
        <f t="shared" ref="AL706:AL769" si="47">IF(AND(AC706=5,AG706=TRUE),AB706,"")</f>
        <v/>
      </c>
      <c r="AM706" t="str">
        <f>IF(AL706="","",MAX($AF$1:$AF706))</f>
        <v/>
      </c>
    </row>
    <row r="707" spans="1:39" ht="13.5" customHeight="1" x14ac:dyDescent="0.3">
      <c r="A707" s="8" t="s">
        <v>107</v>
      </c>
      <c r="B707" s="9"/>
      <c r="C707" s="10">
        <v>10</v>
      </c>
      <c r="D707" s="11"/>
      <c r="E707" s="2"/>
      <c r="AB707" t="str" cm="1">
        <f t="array" ref="AB707:AC707">_xlfn._xlws.FILTER(A707:Z707,A707:Z707&lt;&gt;"","")</f>
        <v>Computer Forensic Technology</v>
      </c>
      <c r="AC707">
        <v>10</v>
      </c>
      <c r="AD707" t="str">
        <v/>
      </c>
      <c r="AE707" t="str">
        <v/>
      </c>
      <c r="AF707" t="str" cm="1">
        <f t="array" ref="AF707">IF(AD707="","",SUMPRODUCT(IF(LEFT($AD$1:AD707,2)="JS",1,0)))</f>
        <v/>
      </c>
      <c r="AG707" t="str">
        <f t="shared" si="44"/>
        <v/>
      </c>
      <c r="AH707" t="str">
        <f t="shared" si="45"/>
        <v/>
      </c>
      <c r="AI707" t="str">
        <f>IF(AH707="","",MAX($AF$1:$AF707))</f>
        <v/>
      </c>
      <c r="AJ707" t="str">
        <f t="shared" si="46"/>
        <v/>
      </c>
      <c r="AK707" t="str">
        <f>IF(AJ707="","",MAX($AF$1:$AF707))</f>
        <v/>
      </c>
      <c r="AL707" t="str">
        <f t="shared" si="47"/>
        <v/>
      </c>
      <c r="AM707" t="str">
        <f>IF(AL707="","",MAX($AF$1:$AF707))</f>
        <v/>
      </c>
    </row>
    <row r="708" spans="1:39" ht="13.5" customHeight="1" x14ac:dyDescent="0.3">
      <c r="A708" s="8" t="s">
        <v>108</v>
      </c>
      <c r="B708" s="9"/>
      <c r="C708" s="10">
        <v>10</v>
      </c>
      <c r="D708" s="11"/>
      <c r="E708" s="2"/>
      <c r="AB708" t="str" cm="1">
        <f t="array" ref="AB708:AC708">_xlfn._xlws.FILTER(A708:Z708,A708:Z708&lt;&gt;"","")</f>
        <v>Constructing Smart Cities</v>
      </c>
      <c r="AC708">
        <v>10</v>
      </c>
      <c r="AD708" t="str">
        <v/>
      </c>
      <c r="AE708" t="str">
        <v/>
      </c>
      <c r="AF708" t="str" cm="1">
        <f t="array" ref="AF708">IF(AD708="","",SUMPRODUCT(IF(LEFT($AD$1:AD708,2)="JS",1,0)))</f>
        <v/>
      </c>
      <c r="AG708" t="str">
        <f t="shared" si="44"/>
        <v/>
      </c>
      <c r="AH708" t="str">
        <f t="shared" si="45"/>
        <v/>
      </c>
      <c r="AI708" t="str">
        <f>IF(AH708="","",MAX($AF$1:$AF708))</f>
        <v/>
      </c>
      <c r="AJ708" t="str">
        <f t="shared" si="46"/>
        <v/>
      </c>
      <c r="AK708" t="str">
        <f>IF(AJ708="","",MAX($AF$1:$AF708))</f>
        <v/>
      </c>
      <c r="AL708" t="str">
        <f t="shared" si="47"/>
        <v/>
      </c>
      <c r="AM708" t="str">
        <f>IF(AL708="","",MAX($AF$1:$AF708))</f>
        <v/>
      </c>
    </row>
    <row r="709" spans="1:39" ht="13.5" customHeight="1" x14ac:dyDescent="0.3">
      <c r="A709" s="8" t="s">
        <v>109</v>
      </c>
      <c r="B709" s="9"/>
      <c r="C709" s="10">
        <v>10</v>
      </c>
      <c r="D709" s="11"/>
      <c r="E709" s="2"/>
      <c r="AB709" t="str" cm="1">
        <f t="array" ref="AB709:AC709">_xlfn._xlws.FILTER(A709:Z709,A709:Z709&lt;&gt;"","")</f>
        <v>Electrical and Energy Engineering</v>
      </c>
      <c r="AC709">
        <v>10</v>
      </c>
      <c r="AD709" t="str">
        <v/>
      </c>
      <c r="AE709" t="str">
        <v/>
      </c>
      <c r="AF709" t="str" cm="1">
        <f t="array" ref="AF709">IF(AD709="","",SUMPRODUCT(IF(LEFT($AD$1:AD709,2)="JS",1,0)))</f>
        <v/>
      </c>
      <c r="AG709" t="str">
        <f t="shared" si="44"/>
        <v/>
      </c>
      <c r="AH709" t="str">
        <f t="shared" si="45"/>
        <v/>
      </c>
      <c r="AI709" t="str">
        <f>IF(AH709="","",MAX($AF$1:$AF709))</f>
        <v/>
      </c>
      <c r="AJ709" t="str">
        <f t="shared" si="46"/>
        <v/>
      </c>
      <c r="AK709" t="str">
        <f>IF(AJ709="","",MAX($AF$1:$AF709))</f>
        <v/>
      </c>
      <c r="AL709" t="str">
        <f t="shared" si="47"/>
        <v/>
      </c>
      <c r="AM709" t="str">
        <f>IF(AL709="","",MAX($AF$1:$AF709))</f>
        <v/>
      </c>
    </row>
    <row r="710" spans="1:39" ht="13.5" customHeight="1" x14ac:dyDescent="0.3">
      <c r="A710" s="8" t="s">
        <v>110</v>
      </c>
      <c r="B710" s="9"/>
      <c r="C710" s="10">
        <v>10</v>
      </c>
      <c r="D710" s="11"/>
      <c r="E710" s="2"/>
      <c r="AB710" t="str" cm="1">
        <f t="array" ref="AB710:AC710">_xlfn._xlws.FILTER(A710:Z710,A710:Z710&lt;&gt;"","")</f>
        <v>Electronic Product Design in Action</v>
      </c>
      <c r="AC710">
        <v>10</v>
      </c>
      <c r="AD710" t="str">
        <v/>
      </c>
      <c r="AE710" t="str">
        <v/>
      </c>
      <c r="AF710" t="str" cm="1">
        <f t="array" ref="AF710">IF(AD710="","",SUMPRODUCT(IF(LEFT($AD$1:AD710,2)="JS",1,0)))</f>
        <v/>
      </c>
      <c r="AG710" t="str">
        <f t="shared" si="44"/>
        <v/>
      </c>
      <c r="AH710" t="str">
        <f t="shared" si="45"/>
        <v/>
      </c>
      <c r="AI710" t="str">
        <f>IF(AH710="","",MAX($AF$1:$AF710))</f>
        <v/>
      </c>
      <c r="AJ710" t="str">
        <f t="shared" si="46"/>
        <v/>
      </c>
      <c r="AK710" t="str">
        <f>IF(AJ710="","",MAX($AF$1:$AF710))</f>
        <v/>
      </c>
      <c r="AL710" t="str">
        <f t="shared" si="47"/>
        <v/>
      </c>
      <c r="AM710" t="str">
        <f>IF(AL710="","",MAX($AF$1:$AF710))</f>
        <v/>
      </c>
    </row>
    <row r="711" spans="1:39" ht="13.5" customHeight="1" x14ac:dyDescent="0.3">
      <c r="A711" s="8" t="s">
        <v>65</v>
      </c>
      <c r="B711" s="9"/>
      <c r="C711" s="10">
        <v>10</v>
      </c>
      <c r="D711" s="11"/>
      <c r="E711" s="2"/>
      <c r="AB711" t="str" cm="1">
        <f t="array" ref="AB711:AC711">_xlfn._xlws.FILTER(A711:Z711,A711:Z711&lt;&gt;"","")</f>
        <v>Internet of Everything Application</v>
      </c>
      <c r="AC711">
        <v>10</v>
      </c>
      <c r="AD711" t="str">
        <v/>
      </c>
      <c r="AE711" t="str">
        <v/>
      </c>
      <c r="AF711" t="str" cm="1">
        <f t="array" ref="AF711">IF(AD711="","",SUMPRODUCT(IF(LEFT($AD$1:AD711,2)="JS",1,0)))</f>
        <v/>
      </c>
      <c r="AG711" t="str">
        <f t="shared" si="44"/>
        <v/>
      </c>
      <c r="AH711" t="str">
        <f t="shared" si="45"/>
        <v/>
      </c>
      <c r="AI711" t="str">
        <f>IF(AH711="","",MAX($AF$1:$AF711))</f>
        <v/>
      </c>
      <c r="AJ711" t="str">
        <f t="shared" si="46"/>
        <v/>
      </c>
      <c r="AK711" t="str">
        <f>IF(AJ711="","",MAX($AF$1:$AF711))</f>
        <v/>
      </c>
      <c r="AL711" t="str">
        <f t="shared" si="47"/>
        <v/>
      </c>
      <c r="AM711" t="str">
        <f>IF(AL711="","",MAX($AF$1:$AF711))</f>
        <v/>
      </c>
    </row>
    <row r="712" spans="1:39" ht="13.5" customHeight="1" x14ac:dyDescent="0.3">
      <c r="A712" s="8" t="s">
        <v>71</v>
      </c>
      <c r="B712" s="9"/>
      <c r="C712" s="10">
        <v>10</v>
      </c>
      <c r="D712" s="11"/>
      <c r="E712" s="2"/>
      <c r="AB712" t="str" cm="1">
        <f t="array" ref="AB712:AC712">_xlfn._xlws.FILTER(A712:Z712,A712:Z712&lt;&gt;"","")</f>
        <v>Mobile and Online Apps Development</v>
      </c>
      <c r="AC712">
        <v>10</v>
      </c>
      <c r="AD712" t="str">
        <v/>
      </c>
      <c r="AE712" t="str">
        <v/>
      </c>
      <c r="AF712" t="str" cm="1">
        <f t="array" ref="AF712">IF(AD712="","",SUMPRODUCT(IF(LEFT($AD$1:AD712,2)="JS",1,0)))</f>
        <v/>
      </c>
      <c r="AG712" t="str">
        <f t="shared" si="44"/>
        <v/>
      </c>
      <c r="AH712" t="str">
        <f t="shared" si="45"/>
        <v/>
      </c>
      <c r="AI712" t="str">
        <f>IF(AH712="","",MAX($AF$1:$AF712))</f>
        <v/>
      </c>
      <c r="AJ712" t="str">
        <f t="shared" si="46"/>
        <v/>
      </c>
      <c r="AK712" t="str">
        <f>IF(AJ712="","",MAX($AF$1:$AF712))</f>
        <v/>
      </c>
      <c r="AL712" t="str">
        <f t="shared" si="47"/>
        <v/>
      </c>
      <c r="AM712" t="str">
        <f>IF(AL712="","",MAX($AF$1:$AF712))</f>
        <v/>
      </c>
    </row>
    <row r="713" spans="1:39" ht="13.5" customHeight="1" x14ac:dyDescent="0.3">
      <c r="A713" s="8" t="s">
        <v>81</v>
      </c>
      <c r="B713" s="9"/>
      <c r="C713" s="10">
        <v>10</v>
      </c>
      <c r="D713" s="11"/>
      <c r="E713" s="2"/>
      <c r="AB713" t="str" cm="1">
        <f t="array" ref="AB713:AC713">_xlfn._xlws.FILTER(A713:Z713,A713:Z713&lt;&gt;"","")</f>
        <v>Tech Basics</v>
      </c>
      <c r="AC713">
        <v>10</v>
      </c>
      <c r="AD713" t="str">
        <v/>
      </c>
      <c r="AE713" t="str">
        <v/>
      </c>
      <c r="AF713" t="str" cm="1">
        <f t="array" ref="AF713">IF(AD713="","",SUMPRODUCT(IF(LEFT($AD$1:AD713,2)="JS",1,0)))</f>
        <v/>
      </c>
      <c r="AG713" t="str">
        <f t="shared" si="44"/>
        <v/>
      </c>
      <c r="AH713" t="str">
        <f t="shared" si="45"/>
        <v/>
      </c>
      <c r="AI713" t="str">
        <f>IF(AH713="","",MAX($AF$1:$AF713))</f>
        <v/>
      </c>
      <c r="AJ713" t="str">
        <f t="shared" si="46"/>
        <v/>
      </c>
      <c r="AK713" t="str">
        <f>IF(AJ713="","",MAX($AF$1:$AF713))</f>
        <v/>
      </c>
      <c r="AL713" t="str">
        <f t="shared" si="47"/>
        <v/>
      </c>
      <c r="AM713" t="str">
        <f>IF(AL713="","",MAX($AF$1:$AF713))</f>
        <v/>
      </c>
    </row>
    <row r="714" spans="1:39" ht="26.25" customHeight="1" x14ac:dyDescent="0.3">
      <c r="A714" s="29" t="s">
        <v>34</v>
      </c>
      <c r="B714" s="29"/>
      <c r="C714" s="29"/>
      <c r="D714" s="29"/>
      <c r="E714" s="1"/>
      <c r="AB714" t="str" cm="1">
        <f t="array" ref="AB714">_xlfn._xlws.FILTER(A714:Z714,A714:Z714&lt;&gt;"","")</f>
        <v>Category C: Other Language Subjects</v>
      </c>
      <c r="AD714" t="str">
        <v/>
      </c>
      <c r="AE714" t="str">
        <v/>
      </c>
      <c r="AF714" t="str" cm="1">
        <f t="array" ref="AF714">IF(AD714="","",SUMPRODUCT(IF(LEFT($AD$1:AD714,2)="JS",1,0)))</f>
        <v/>
      </c>
      <c r="AG714" t="str">
        <f t="shared" si="44"/>
        <v/>
      </c>
      <c r="AH714" t="str">
        <f t="shared" si="45"/>
        <v/>
      </c>
      <c r="AI714" t="str">
        <f>IF(AH714="","",MAX($AF$1:$AF714))</f>
        <v/>
      </c>
      <c r="AJ714" t="str">
        <f t="shared" si="46"/>
        <v/>
      </c>
      <c r="AK714" t="str">
        <f>IF(AJ714="","",MAX($AF$1:$AF714))</f>
        <v/>
      </c>
      <c r="AL714" t="str">
        <f t="shared" si="47"/>
        <v/>
      </c>
      <c r="AM714" t="str">
        <f>IF(AL714="","",MAX($AF$1:$AF714))</f>
        <v/>
      </c>
    </row>
    <row r="715" spans="1:39" ht="13.5" customHeight="1" x14ac:dyDescent="0.3">
      <c r="A715" s="14" t="s">
        <v>3</v>
      </c>
      <c r="B715" s="15"/>
      <c r="C715" s="16" t="s">
        <v>4</v>
      </c>
      <c r="D715" s="17"/>
      <c r="E715" s="2"/>
      <c r="AB715" t="str" cm="1">
        <f t="array" ref="AB715:AC715">_xlfn._xlws.FILTER(A715:Z715,A715:Z715&lt;&gt;"","")</f>
        <v>Subject Name</v>
      </c>
      <c r="AC715" t="str">
        <v>Subject Weighting for 2023/24 Admission Exercise *</v>
      </c>
      <c r="AD715" t="str">
        <v/>
      </c>
      <c r="AE715" t="str">
        <v/>
      </c>
      <c r="AF715" t="str" cm="1">
        <f t="array" ref="AF715">IF(AD715="","",SUMPRODUCT(IF(LEFT($AD$1:AD715,2)="JS",1,0)))</f>
        <v/>
      </c>
      <c r="AG715" t="str">
        <f t="shared" si="44"/>
        <v/>
      </c>
      <c r="AH715" t="str">
        <f t="shared" si="45"/>
        <v/>
      </c>
      <c r="AI715" t="str">
        <f>IF(AH715="","",MAX($AF$1:$AF715))</f>
        <v/>
      </c>
      <c r="AJ715" t="str">
        <f t="shared" si="46"/>
        <v/>
      </c>
      <c r="AK715" t="str">
        <f>IF(AJ715="","",MAX($AF$1:$AF715))</f>
        <v/>
      </c>
      <c r="AL715" t="str">
        <f t="shared" si="47"/>
        <v/>
      </c>
      <c r="AM715" t="str">
        <f>IF(AL715="","",MAX($AF$1:$AF715))</f>
        <v/>
      </c>
    </row>
    <row r="716" spans="1:39" ht="13.5" customHeight="1" x14ac:dyDescent="0.3">
      <c r="A716" s="8" t="s">
        <v>35</v>
      </c>
      <c r="B716" s="9"/>
      <c r="C716" s="10">
        <v>5</v>
      </c>
      <c r="D716" s="11"/>
      <c r="E716" s="2"/>
      <c r="AB716" t="str" cm="1">
        <f t="array" ref="AB716:AC716">_xlfn._xlws.FILTER(A716:Z716,A716:Z716&lt;&gt;"","")</f>
        <v>French</v>
      </c>
      <c r="AC716">
        <v>5</v>
      </c>
      <c r="AD716" t="str">
        <v/>
      </c>
      <c r="AE716" t="str">
        <v/>
      </c>
      <c r="AF716" t="str" cm="1">
        <f t="array" ref="AF716">IF(AD716="","",SUMPRODUCT(IF(LEFT($AD$1:AD716,2)="JS",1,0)))</f>
        <v/>
      </c>
      <c r="AG716" t="str">
        <f t="shared" si="44"/>
        <v/>
      </c>
      <c r="AH716" t="str">
        <f t="shared" si="45"/>
        <v/>
      </c>
      <c r="AI716" t="str">
        <f>IF(AH716="","",MAX($AF$1:$AF716))</f>
        <v/>
      </c>
      <c r="AJ716" t="str">
        <f t="shared" si="46"/>
        <v/>
      </c>
      <c r="AK716" t="str">
        <f>IF(AJ716="","",MAX($AF$1:$AF716))</f>
        <v/>
      </c>
      <c r="AL716" t="str">
        <f t="shared" si="47"/>
        <v/>
      </c>
      <c r="AM716" t="str">
        <f>IF(AL716="","",MAX($AF$1:$AF716))</f>
        <v/>
      </c>
    </row>
    <row r="717" spans="1:39" ht="13.5" customHeight="1" x14ac:dyDescent="0.3">
      <c r="A717" s="8" t="s">
        <v>36</v>
      </c>
      <c r="B717" s="9"/>
      <c r="C717" s="10">
        <v>5</v>
      </c>
      <c r="D717" s="11"/>
      <c r="E717" s="2"/>
      <c r="AB717" t="str" cm="1">
        <f t="array" ref="AB717:AC717">_xlfn._xlws.FILTER(A717:Z717,A717:Z717&lt;&gt;"","")</f>
        <v>German</v>
      </c>
      <c r="AC717">
        <v>5</v>
      </c>
      <c r="AD717" t="str">
        <v/>
      </c>
      <c r="AE717" t="str">
        <v/>
      </c>
      <c r="AF717" t="str" cm="1">
        <f t="array" ref="AF717">IF(AD717="","",SUMPRODUCT(IF(LEFT($AD$1:AD717,2)="JS",1,0)))</f>
        <v/>
      </c>
      <c r="AG717" t="str">
        <f t="shared" si="44"/>
        <v/>
      </c>
      <c r="AH717" t="str">
        <f t="shared" si="45"/>
        <v/>
      </c>
      <c r="AI717" t="str">
        <f>IF(AH717="","",MAX($AF$1:$AF717))</f>
        <v/>
      </c>
      <c r="AJ717" t="str">
        <f t="shared" si="46"/>
        <v/>
      </c>
      <c r="AK717" t="str">
        <f>IF(AJ717="","",MAX($AF$1:$AF717))</f>
        <v/>
      </c>
      <c r="AL717" t="str">
        <f t="shared" si="47"/>
        <v/>
      </c>
      <c r="AM717" t="str">
        <f>IF(AL717="","",MAX($AF$1:$AF717))</f>
        <v/>
      </c>
    </row>
    <row r="718" spans="1:39" ht="13.5" customHeight="1" x14ac:dyDescent="0.3">
      <c r="A718" s="8" t="s">
        <v>37</v>
      </c>
      <c r="B718" s="9"/>
      <c r="C718" s="10">
        <v>5</v>
      </c>
      <c r="D718" s="11"/>
      <c r="E718" s="2"/>
      <c r="AB718" t="str" cm="1">
        <f t="array" ref="AB718:AC718">_xlfn._xlws.FILTER(A718:Z718,A718:Z718&lt;&gt;"","")</f>
        <v>Hindi</v>
      </c>
      <c r="AC718">
        <v>5</v>
      </c>
      <c r="AD718" t="str">
        <v/>
      </c>
      <c r="AE718" t="str">
        <v/>
      </c>
      <c r="AF718" t="str" cm="1">
        <f t="array" ref="AF718">IF(AD718="","",SUMPRODUCT(IF(LEFT($AD$1:AD718,2)="JS",1,0)))</f>
        <v/>
      </c>
      <c r="AG718" t="str">
        <f t="shared" si="44"/>
        <v/>
      </c>
      <c r="AH718" t="str">
        <f t="shared" si="45"/>
        <v/>
      </c>
      <c r="AI718" t="str">
        <f>IF(AH718="","",MAX($AF$1:$AF718))</f>
        <v/>
      </c>
      <c r="AJ718" t="str">
        <f t="shared" si="46"/>
        <v/>
      </c>
      <c r="AK718" t="str">
        <f>IF(AJ718="","",MAX($AF$1:$AF718))</f>
        <v/>
      </c>
      <c r="AL718" t="str">
        <f t="shared" si="47"/>
        <v/>
      </c>
      <c r="AM718" t="str">
        <f>IF(AL718="","",MAX($AF$1:$AF718))</f>
        <v/>
      </c>
    </row>
    <row r="719" spans="1:39" ht="13.5" customHeight="1" x14ac:dyDescent="0.3">
      <c r="A719" s="8" t="s">
        <v>38</v>
      </c>
      <c r="B719" s="9"/>
      <c r="C719" s="10">
        <v>5</v>
      </c>
      <c r="D719" s="11"/>
      <c r="E719" s="2"/>
      <c r="AB719" t="str" cm="1">
        <f t="array" ref="AB719:AC719">_xlfn._xlws.FILTER(A719:Z719,A719:Z719&lt;&gt;"","")</f>
        <v>Japanese</v>
      </c>
      <c r="AC719">
        <v>5</v>
      </c>
      <c r="AD719" t="str">
        <v/>
      </c>
      <c r="AE719" t="str">
        <v/>
      </c>
      <c r="AF719" t="str" cm="1">
        <f t="array" ref="AF719">IF(AD719="","",SUMPRODUCT(IF(LEFT($AD$1:AD719,2)="JS",1,0)))</f>
        <v/>
      </c>
      <c r="AG719" t="str">
        <f t="shared" si="44"/>
        <v/>
      </c>
      <c r="AH719" t="str">
        <f t="shared" si="45"/>
        <v/>
      </c>
      <c r="AI719" t="str">
        <f>IF(AH719="","",MAX($AF$1:$AF719))</f>
        <v/>
      </c>
      <c r="AJ719" t="str">
        <f t="shared" si="46"/>
        <v/>
      </c>
      <c r="AK719" t="str">
        <f>IF(AJ719="","",MAX($AF$1:$AF719))</f>
        <v/>
      </c>
      <c r="AL719" t="str">
        <f t="shared" si="47"/>
        <v/>
      </c>
      <c r="AM719" t="str">
        <f>IF(AL719="","",MAX($AF$1:$AF719))</f>
        <v/>
      </c>
    </row>
    <row r="720" spans="1:39" ht="13.5" customHeight="1" x14ac:dyDescent="0.3">
      <c r="A720" s="8" t="s">
        <v>39</v>
      </c>
      <c r="B720" s="9"/>
      <c r="C720" s="10">
        <v>5</v>
      </c>
      <c r="D720" s="11"/>
      <c r="E720" s="2"/>
      <c r="AB720" t="str" cm="1">
        <f t="array" ref="AB720:AC720">_xlfn._xlws.FILTER(A720:Z720,A720:Z720&lt;&gt;"","")</f>
        <v>Spanish</v>
      </c>
      <c r="AC720">
        <v>5</v>
      </c>
      <c r="AD720" t="str">
        <v/>
      </c>
      <c r="AE720" t="str">
        <v/>
      </c>
      <c r="AF720" t="str" cm="1">
        <f t="array" ref="AF720">IF(AD720="","",SUMPRODUCT(IF(LEFT($AD$1:AD720,2)="JS",1,0)))</f>
        <v/>
      </c>
      <c r="AG720" t="str">
        <f t="shared" si="44"/>
        <v/>
      </c>
      <c r="AH720" t="str">
        <f t="shared" si="45"/>
        <v/>
      </c>
      <c r="AI720" t="str">
        <f>IF(AH720="","",MAX($AF$1:$AF720))</f>
        <v/>
      </c>
      <c r="AJ720" t="str">
        <f t="shared" si="46"/>
        <v/>
      </c>
      <c r="AK720" t="str">
        <f>IF(AJ720="","",MAX($AF$1:$AF720))</f>
        <v/>
      </c>
      <c r="AL720" t="str">
        <f t="shared" si="47"/>
        <v/>
      </c>
      <c r="AM720" t="str">
        <f>IF(AL720="","",MAX($AF$1:$AF720))</f>
        <v/>
      </c>
    </row>
    <row r="721" spans="1:39" ht="13.5" customHeight="1" x14ac:dyDescent="0.3">
      <c r="A721" s="8" t="s">
        <v>40</v>
      </c>
      <c r="B721" s="9"/>
      <c r="C721" s="10">
        <v>5</v>
      </c>
      <c r="D721" s="11"/>
      <c r="E721" s="2"/>
      <c r="AB721" t="str" cm="1">
        <f t="array" ref="AB721:AC721">_xlfn._xlws.FILTER(A721:Z721,A721:Z721&lt;&gt;"","")</f>
        <v>Urdu</v>
      </c>
      <c r="AC721">
        <v>5</v>
      </c>
      <c r="AD721" t="str">
        <v/>
      </c>
      <c r="AE721" t="str">
        <v/>
      </c>
      <c r="AF721" t="str" cm="1">
        <f t="array" ref="AF721">IF(AD721="","",SUMPRODUCT(IF(LEFT($AD$1:AD721,2)="JS",1,0)))</f>
        <v/>
      </c>
      <c r="AG721" t="str">
        <f t="shared" si="44"/>
        <v/>
      </c>
      <c r="AH721" t="str">
        <f t="shared" si="45"/>
        <v/>
      </c>
      <c r="AI721" t="str">
        <f>IF(AH721="","",MAX($AF$1:$AF721))</f>
        <v/>
      </c>
      <c r="AJ721" t="str">
        <f t="shared" si="46"/>
        <v/>
      </c>
      <c r="AK721" t="str">
        <f>IF(AJ721="","",MAX($AF$1:$AF721))</f>
        <v/>
      </c>
      <c r="AL721" t="str">
        <f t="shared" si="47"/>
        <v/>
      </c>
      <c r="AM721" t="str">
        <f>IF(AL721="","",MAX($AF$1:$AF721))</f>
        <v/>
      </c>
    </row>
    <row r="722" spans="1:39" ht="26.25" customHeight="1" x14ac:dyDescent="0.3">
      <c r="A722" s="26" t="s">
        <v>41</v>
      </c>
      <c r="B722" s="26"/>
      <c r="C722" s="26"/>
      <c r="D722" s="26"/>
      <c r="E722" s="26"/>
      <c r="AB722" t="str" cm="1">
        <f t="array" ref="AB722">_xlfn._xlws.FILTER(A722:Z722,A722:Z722&lt;&gt;"","")</f>
        <v>* Subject Weighting may be adjusted in the next admissions exercise</v>
      </c>
      <c r="AD722" t="str">
        <v/>
      </c>
      <c r="AE722" t="str">
        <v/>
      </c>
      <c r="AF722" t="str" cm="1">
        <f t="array" ref="AF722">IF(AD722="","",SUMPRODUCT(IF(LEFT($AD$1:AD722,2)="JS",1,0)))</f>
        <v/>
      </c>
      <c r="AG722" t="str">
        <f t="shared" si="44"/>
        <v/>
      </c>
      <c r="AH722" t="str">
        <f t="shared" si="45"/>
        <v/>
      </c>
      <c r="AI722" t="str">
        <f>IF(AH722="","",MAX($AF$1:$AF722))</f>
        <v/>
      </c>
      <c r="AJ722" t="str">
        <f t="shared" si="46"/>
        <v/>
      </c>
      <c r="AK722" t="str">
        <f>IF(AJ722="","",MAX($AF$1:$AF722))</f>
        <v/>
      </c>
      <c r="AL722" t="str">
        <f t="shared" si="47"/>
        <v/>
      </c>
      <c r="AM722" t="str">
        <f>IF(AL722="","",MAX($AF$1:$AF722))</f>
        <v/>
      </c>
    </row>
    <row r="723" spans="1:39" ht="15" customHeight="1" x14ac:dyDescent="0.3">
      <c r="A723" s="27" t="s">
        <v>111</v>
      </c>
      <c r="B723" s="27"/>
      <c r="C723" s="27"/>
      <c r="D723" s="23"/>
      <c r="E723" s="23"/>
      <c r="AB723" t="str" cm="1">
        <f t="array" ref="AB723">_xlfn._xlws.FILTER(A723:Z723,A723:Z723&lt;&gt;"","")</f>
        <v>JUPAS Code: JS3240</v>
      </c>
      <c r="AD723" t="str">
        <v>JS3240</v>
      </c>
      <c r="AE723" t="str">
        <v/>
      </c>
      <c r="AF723" cm="1">
        <f t="array" ref="AF723">IF(AD723="","",SUMPRODUCT(IF(LEFT($AD$1:AD723,2)="JS",1,0)))</f>
        <v>15</v>
      </c>
      <c r="AG723" t="str">
        <f t="shared" si="44"/>
        <v/>
      </c>
      <c r="AH723" t="str">
        <f t="shared" si="45"/>
        <v/>
      </c>
      <c r="AI723" t="str">
        <f>IF(AH723="","",MAX($AF$1:$AF723))</f>
        <v/>
      </c>
      <c r="AJ723" t="str">
        <f t="shared" si="46"/>
        <v/>
      </c>
      <c r="AK723" t="str">
        <f>IF(AJ723="","",MAX($AF$1:$AF723))</f>
        <v/>
      </c>
      <c r="AL723" t="str">
        <f t="shared" si="47"/>
        <v/>
      </c>
      <c r="AM723" t="str">
        <f>IF(AL723="","",MAX($AF$1:$AF723))</f>
        <v/>
      </c>
    </row>
    <row r="724" spans="1:39" ht="24" customHeight="1" x14ac:dyDescent="0.3">
      <c r="A724" s="27" t="s">
        <v>112</v>
      </c>
      <c r="B724" s="27"/>
      <c r="C724" s="27"/>
      <c r="D724" s="23"/>
      <c r="E724" s="23"/>
      <c r="AB724" t="str" cm="1">
        <f t="array" ref="AB724">_xlfn._xlws.FILTER(A724:Z724,A724:Z724&lt;&gt;"","")</f>
        <v>Programme Title: BA (Hons) Scheme in English and Applied Linguistics</v>
      </c>
      <c r="AD724" t="str">
        <v/>
      </c>
      <c r="AE724" t="str">
        <v>BA (Hons) Scheme in English and Applied Linguistics</v>
      </c>
      <c r="AF724" t="str" cm="1">
        <f t="array" ref="AF724">IF(AD724="","",SUMPRODUCT(IF(LEFT($AD$1:AD724,2)="JS",1,0)))</f>
        <v/>
      </c>
      <c r="AG724" t="str">
        <f t="shared" si="44"/>
        <v/>
      </c>
      <c r="AH724" t="str">
        <f t="shared" si="45"/>
        <v/>
      </c>
      <c r="AI724" t="str">
        <f>IF(AH724="","",MAX($AF$1:$AF724))</f>
        <v/>
      </c>
      <c r="AJ724" t="str">
        <f t="shared" si="46"/>
        <v/>
      </c>
      <c r="AK724" t="str">
        <f>IF(AJ724="","",MAX($AF$1:$AF724))</f>
        <v/>
      </c>
      <c r="AL724" t="str">
        <f t="shared" si="47"/>
        <v/>
      </c>
      <c r="AM724" t="str">
        <f>IF(AL724="","",MAX($AF$1:$AF724))</f>
        <v/>
      </c>
    </row>
    <row r="725" spans="1:39" ht="12.75" customHeight="1" x14ac:dyDescent="0.3">
      <c r="A725" s="28" t="s">
        <v>113</v>
      </c>
      <c r="B725" s="28"/>
      <c r="C725" s="28"/>
      <c r="D725" s="23"/>
      <c r="E725" s="23"/>
      <c r="AB725" t="str" cm="1">
        <f t="array" ref="AB725">_xlfn._xlws.FILTER(A725:Z725,A725:Z725&lt;&gt;"","")</f>
        <v>Category A: Core and Elective Subjects</v>
      </c>
      <c r="AD725" t="str">
        <v/>
      </c>
      <c r="AE725" t="str">
        <v/>
      </c>
      <c r="AF725" t="str" cm="1">
        <f t="array" ref="AF725">IF(AD725="","",SUMPRODUCT(IF(LEFT($AD$1:AD725,2)="JS",1,0)))</f>
        <v/>
      </c>
      <c r="AG725" t="str">
        <f t="shared" si="44"/>
        <v/>
      </c>
      <c r="AH725" t="str">
        <f t="shared" si="45"/>
        <v/>
      </c>
      <c r="AI725" t="str">
        <f>IF(AH725="","",MAX($AF$1:$AF725))</f>
        <v/>
      </c>
      <c r="AJ725" t="str">
        <f t="shared" si="46"/>
        <v/>
      </c>
      <c r="AK725" t="str">
        <f>IF(AJ725="","",MAX($AF$1:$AF725))</f>
        <v/>
      </c>
      <c r="AL725" t="str">
        <f t="shared" si="47"/>
        <v/>
      </c>
      <c r="AM725" t="str">
        <f>IF(AL725="","",MAX($AF$1:$AF725))</f>
        <v/>
      </c>
    </row>
    <row r="726" spans="1:39" ht="12.75" customHeight="1" x14ac:dyDescent="0.3">
      <c r="A726" s="3" t="s">
        <v>114</v>
      </c>
      <c r="B726" s="24" t="s">
        <v>115</v>
      </c>
      <c r="C726" s="25"/>
      <c r="D726" s="12"/>
      <c r="E726" s="12"/>
      <c r="AB726" t="str" cm="1">
        <f t="array" ref="AB726:AC726">_xlfn._xlws.FILTER(A726:Z726,A726:Z726&lt;&gt;"","")</f>
        <v>Subject Name</v>
      </c>
      <c r="AC726" t="str">
        <v>Subject Weighting for 2023/24 Admission Exercise *</v>
      </c>
      <c r="AD726" t="str">
        <v/>
      </c>
      <c r="AE726" t="str">
        <v/>
      </c>
      <c r="AF726" t="str" cm="1">
        <f t="array" ref="AF726">IF(AD726="","",SUMPRODUCT(IF(LEFT($AD$1:AD726,2)="JS",1,0)))</f>
        <v/>
      </c>
      <c r="AG726" t="str">
        <f t="shared" si="44"/>
        <v/>
      </c>
      <c r="AH726" t="str">
        <f t="shared" si="45"/>
        <v/>
      </c>
      <c r="AI726" t="str">
        <f>IF(AH726="","",MAX($AF$1:$AF726))</f>
        <v/>
      </c>
      <c r="AJ726" t="str">
        <f t="shared" si="46"/>
        <v/>
      </c>
      <c r="AK726" t="str">
        <f>IF(AJ726="","",MAX($AF$1:$AF726))</f>
        <v/>
      </c>
      <c r="AL726" t="str">
        <f t="shared" si="47"/>
        <v/>
      </c>
      <c r="AM726" t="str">
        <f>IF(AL726="","",MAX($AF$1:$AF726))</f>
        <v/>
      </c>
    </row>
    <row r="727" spans="1:39" ht="12.75" customHeight="1" x14ac:dyDescent="0.3">
      <c r="A727" s="4" t="s">
        <v>211</v>
      </c>
      <c r="B727" s="19">
        <v>5</v>
      </c>
      <c r="C727" s="20"/>
      <c r="D727" s="12"/>
      <c r="E727" s="12"/>
      <c r="AB727" t="str" cm="1">
        <f t="array" ref="AB727:AC727">_xlfn._xlws.FILTER(A727:Z727,A727:Z727&lt;&gt;"","")</f>
        <v>BIO</v>
      </c>
      <c r="AC727">
        <v>5</v>
      </c>
      <c r="AD727" t="str">
        <v/>
      </c>
      <c r="AE727" t="str">
        <v/>
      </c>
      <c r="AF727" t="str" cm="1">
        <f t="array" ref="AF727">IF(AD727="","",SUMPRODUCT(IF(LEFT($AD$1:AD727,2)="JS",1,0)))</f>
        <v/>
      </c>
      <c r="AG727" t="b">
        <f t="shared" si="44"/>
        <v>1</v>
      </c>
      <c r="AH727" t="str">
        <f t="shared" si="45"/>
        <v/>
      </c>
      <c r="AI727" t="str">
        <f>IF(AH727="","",MAX($AF$1:$AF727))</f>
        <v/>
      </c>
      <c r="AJ727" t="str">
        <f t="shared" si="46"/>
        <v/>
      </c>
      <c r="AK727" t="str">
        <f>IF(AJ727="","",MAX($AF$1:$AF727))</f>
        <v/>
      </c>
      <c r="AL727" t="str">
        <f t="shared" si="47"/>
        <v>BIO</v>
      </c>
      <c r="AM727">
        <f>IF(AL727="","",MAX($AF$1:$AF727))</f>
        <v>15</v>
      </c>
    </row>
    <row r="728" spans="1:39" ht="12.75" customHeight="1" x14ac:dyDescent="0.3">
      <c r="A728" s="4" t="s">
        <v>213</v>
      </c>
      <c r="B728" s="19">
        <v>7</v>
      </c>
      <c r="C728" s="20"/>
      <c r="D728" s="12"/>
      <c r="E728" s="12"/>
      <c r="AB728" t="str" cm="1">
        <f t="array" ref="AB728:AC728">_xlfn._xlws.FILTER(A728:Z728,A728:Z728&lt;&gt;"","")</f>
        <v>BAFS</v>
      </c>
      <c r="AC728">
        <v>7</v>
      </c>
      <c r="AD728" t="str">
        <v/>
      </c>
      <c r="AE728" t="str">
        <v/>
      </c>
      <c r="AF728" t="str" cm="1">
        <f t="array" ref="AF728">IF(AD728="","",SUMPRODUCT(IF(LEFT($AD$1:AD728,2)="JS",1,0)))</f>
        <v/>
      </c>
      <c r="AG728" t="b">
        <f t="shared" si="44"/>
        <v>1</v>
      </c>
      <c r="AH728" t="str">
        <f t="shared" si="45"/>
        <v/>
      </c>
      <c r="AI728" t="str">
        <f>IF(AH728="","",MAX($AF$1:$AF728))</f>
        <v/>
      </c>
      <c r="AJ728" t="str">
        <f t="shared" si="46"/>
        <v>BAFS</v>
      </c>
      <c r="AK728">
        <f>IF(AJ728="","",MAX($AF$1:$AF728))</f>
        <v>15</v>
      </c>
      <c r="AL728" t="str">
        <f t="shared" si="47"/>
        <v/>
      </c>
      <c r="AM728" t="str">
        <f>IF(AL728="","",MAX($AF$1:$AF728))</f>
        <v/>
      </c>
    </row>
    <row r="729" spans="1:39" ht="12.75" customHeight="1" x14ac:dyDescent="0.3">
      <c r="A729" s="4" t="s">
        <v>116</v>
      </c>
      <c r="B729" s="19">
        <v>7</v>
      </c>
      <c r="C729" s="20"/>
      <c r="D729" s="12"/>
      <c r="E729" s="12"/>
      <c r="AB729" t="str" cm="1">
        <f t="array" ref="AB729:AC729">_xlfn._xlws.FILTER(A729:Z729,A729:Z729&lt;&gt;"","")</f>
        <v>Business, Accounting and Financial Studies (Accounting)</v>
      </c>
      <c r="AC729">
        <v>7</v>
      </c>
      <c r="AD729" t="str">
        <v/>
      </c>
      <c r="AE729" t="str">
        <v/>
      </c>
      <c r="AF729" t="str" cm="1">
        <f t="array" ref="AF729">IF(AD729="","",SUMPRODUCT(IF(LEFT($AD$1:AD729,2)="JS",1,0)))</f>
        <v/>
      </c>
      <c r="AG729" t="str">
        <f t="shared" si="44"/>
        <v/>
      </c>
      <c r="AH729" t="str">
        <f t="shared" si="45"/>
        <v/>
      </c>
      <c r="AI729" t="str">
        <f>IF(AH729="","",MAX($AF$1:$AF729))</f>
        <v/>
      </c>
      <c r="AJ729" t="str">
        <f t="shared" si="46"/>
        <v/>
      </c>
      <c r="AK729" t="str">
        <f>IF(AJ729="","",MAX($AF$1:$AF729))</f>
        <v/>
      </c>
      <c r="AL729" t="str">
        <f t="shared" si="47"/>
        <v/>
      </c>
      <c r="AM729" t="str">
        <f>IF(AL729="","",MAX($AF$1:$AF729))</f>
        <v/>
      </c>
    </row>
    <row r="730" spans="1:39" ht="12.75" customHeight="1" x14ac:dyDescent="0.3">
      <c r="A730" s="4" t="s">
        <v>117</v>
      </c>
      <c r="B730" s="19">
        <v>7</v>
      </c>
      <c r="C730" s="20"/>
      <c r="D730" s="12"/>
      <c r="E730" s="12"/>
      <c r="AB730" t="str" cm="1">
        <f t="array" ref="AB730:AC730">_xlfn._xlws.FILTER(A730:Z730,A730:Z730&lt;&gt;"","")</f>
        <v>Business, Accounting and Financial Studies (Business Management)</v>
      </c>
      <c r="AC730">
        <v>7</v>
      </c>
      <c r="AD730" t="str">
        <v/>
      </c>
      <c r="AE730" t="str">
        <v/>
      </c>
      <c r="AF730" t="str" cm="1">
        <f t="array" ref="AF730">IF(AD730="","",SUMPRODUCT(IF(LEFT($AD$1:AD730,2)="JS",1,0)))</f>
        <v/>
      </c>
      <c r="AG730" t="str">
        <f t="shared" si="44"/>
        <v/>
      </c>
      <c r="AH730" t="str">
        <f t="shared" si="45"/>
        <v/>
      </c>
      <c r="AI730" t="str">
        <f>IF(AH730="","",MAX($AF$1:$AF730))</f>
        <v/>
      </c>
      <c r="AJ730" t="str">
        <f t="shared" si="46"/>
        <v/>
      </c>
      <c r="AK730" t="str">
        <f>IF(AJ730="","",MAX($AF$1:$AF730))</f>
        <v/>
      </c>
      <c r="AL730" t="str">
        <f t="shared" si="47"/>
        <v/>
      </c>
      <c r="AM730" t="str">
        <f>IF(AL730="","",MAX($AF$1:$AF730))</f>
        <v/>
      </c>
    </row>
    <row r="731" spans="1:39" ht="12.75" customHeight="1" x14ac:dyDescent="0.3">
      <c r="A731" s="4" t="s">
        <v>212</v>
      </c>
      <c r="B731" s="19">
        <v>5</v>
      </c>
      <c r="C731" s="20"/>
      <c r="D731" s="12"/>
      <c r="E731" s="12"/>
      <c r="AB731" t="str" cm="1">
        <f t="array" ref="AB731:AC731">_xlfn._xlws.FILTER(A731:Z731,A731:Z731&lt;&gt;"","")</f>
        <v>CHEM</v>
      </c>
      <c r="AC731">
        <v>5</v>
      </c>
      <c r="AD731" t="str">
        <v/>
      </c>
      <c r="AE731" t="str">
        <v/>
      </c>
      <c r="AF731" t="str" cm="1">
        <f t="array" ref="AF731">IF(AD731="","",SUMPRODUCT(IF(LEFT($AD$1:AD731,2)="JS",1,0)))</f>
        <v/>
      </c>
      <c r="AG731" t="b">
        <f t="shared" si="44"/>
        <v>1</v>
      </c>
      <c r="AH731" t="str">
        <f t="shared" si="45"/>
        <v/>
      </c>
      <c r="AI731" t="str">
        <f>IF(AH731="","",MAX($AF$1:$AF731))</f>
        <v/>
      </c>
      <c r="AJ731" t="str">
        <f t="shared" si="46"/>
        <v/>
      </c>
      <c r="AK731" t="str">
        <f>IF(AJ731="","",MAX($AF$1:$AF731))</f>
        <v/>
      </c>
      <c r="AL731" t="str">
        <f t="shared" si="47"/>
        <v>CHEM</v>
      </c>
      <c r="AM731">
        <f>IF(AL731="","",MAX($AF$1:$AF731))</f>
        <v>15</v>
      </c>
    </row>
    <row r="732" spans="1:39" ht="12.75" customHeight="1" x14ac:dyDescent="0.3">
      <c r="A732" s="4" t="s">
        <v>214</v>
      </c>
      <c r="B732" s="19">
        <v>7</v>
      </c>
      <c r="C732" s="20"/>
      <c r="D732" s="12"/>
      <c r="E732" s="12"/>
      <c r="AB732" t="str" cm="1">
        <f t="array" ref="AB732:AC732">_xlfn._xlws.FILTER(A732:Z732,A732:Z732&lt;&gt;"","")</f>
        <v>中史</v>
      </c>
      <c r="AC732">
        <v>7</v>
      </c>
      <c r="AD732" t="str">
        <v/>
      </c>
      <c r="AE732" t="str">
        <v/>
      </c>
      <c r="AF732" t="str" cm="1">
        <f t="array" ref="AF732">IF(AD732="","",SUMPRODUCT(IF(LEFT($AD$1:AD732,2)="JS",1,0)))</f>
        <v/>
      </c>
      <c r="AG732" t="b">
        <f t="shared" si="44"/>
        <v>1</v>
      </c>
      <c r="AH732" t="str">
        <f t="shared" si="45"/>
        <v/>
      </c>
      <c r="AI732" t="str">
        <f>IF(AH732="","",MAX($AF$1:$AF732))</f>
        <v/>
      </c>
      <c r="AJ732" t="str">
        <f t="shared" si="46"/>
        <v>中史</v>
      </c>
      <c r="AK732">
        <f>IF(AJ732="","",MAX($AF$1:$AF732))</f>
        <v>15</v>
      </c>
      <c r="AL732" t="str">
        <f t="shared" si="47"/>
        <v/>
      </c>
      <c r="AM732" t="str">
        <f>IF(AL732="","",MAX($AF$1:$AF732))</f>
        <v/>
      </c>
    </row>
    <row r="733" spans="1:39" ht="12.75" customHeight="1" x14ac:dyDescent="0.3">
      <c r="A733" s="4" t="s">
        <v>216</v>
      </c>
      <c r="B733" s="19">
        <v>10</v>
      </c>
      <c r="C733" s="20"/>
      <c r="D733" s="12"/>
      <c r="E733" s="12"/>
      <c r="AB733" t="str" cm="1">
        <f t="array" ref="AB733:AC733">_xlfn._xlws.FILTER(A733:Z733,A733:Z733&lt;&gt;"","")</f>
        <v>中文</v>
      </c>
      <c r="AC733">
        <v>10</v>
      </c>
      <c r="AD733" t="str">
        <v/>
      </c>
      <c r="AE733" t="str">
        <v/>
      </c>
      <c r="AF733" t="str" cm="1">
        <f t="array" ref="AF733">IF(AD733="","",SUMPRODUCT(IF(LEFT($AD$1:AD733,2)="JS",1,0)))</f>
        <v/>
      </c>
      <c r="AG733" t="b">
        <f t="shared" si="44"/>
        <v>1</v>
      </c>
      <c r="AH733" t="str">
        <f t="shared" si="45"/>
        <v>中文</v>
      </c>
      <c r="AI733">
        <f>IF(AH733="","",MAX($AF$1:$AF733))</f>
        <v>15</v>
      </c>
      <c r="AJ733" t="str">
        <f t="shared" si="46"/>
        <v/>
      </c>
      <c r="AK733" t="str">
        <f>IF(AJ733="","",MAX($AF$1:$AF733))</f>
        <v/>
      </c>
      <c r="AL733" t="str">
        <f t="shared" si="47"/>
        <v/>
      </c>
      <c r="AM733" t="str">
        <f>IF(AL733="","",MAX($AF$1:$AF733))</f>
        <v/>
      </c>
    </row>
    <row r="734" spans="1:39" ht="12.75" customHeight="1" x14ac:dyDescent="0.3">
      <c r="A734" s="4" t="s">
        <v>118</v>
      </c>
      <c r="B734" s="19">
        <v>7</v>
      </c>
      <c r="C734" s="20"/>
      <c r="D734" s="12"/>
      <c r="E734" s="12"/>
      <c r="AB734" t="str" cm="1">
        <f t="array" ref="AB734:AC734">_xlfn._xlws.FILTER(A734:Z734,A734:Z734&lt;&gt;"","")</f>
        <v>Chinese Literature</v>
      </c>
      <c r="AC734">
        <v>7</v>
      </c>
      <c r="AD734" t="str">
        <v/>
      </c>
      <c r="AE734" t="str">
        <v/>
      </c>
      <c r="AF734" t="str" cm="1">
        <f t="array" ref="AF734">IF(AD734="","",SUMPRODUCT(IF(LEFT($AD$1:AD734,2)="JS",1,0)))</f>
        <v/>
      </c>
      <c r="AG734" t="str">
        <f t="shared" si="44"/>
        <v/>
      </c>
      <c r="AH734" t="str">
        <f t="shared" si="45"/>
        <v/>
      </c>
      <c r="AI734" t="str">
        <f>IF(AH734="","",MAX($AF$1:$AF734))</f>
        <v/>
      </c>
      <c r="AJ734" t="str">
        <f t="shared" si="46"/>
        <v/>
      </c>
      <c r="AK734" t="str">
        <f>IF(AJ734="","",MAX($AF$1:$AF734))</f>
        <v/>
      </c>
      <c r="AL734" t="str">
        <f t="shared" si="47"/>
        <v/>
      </c>
      <c r="AM734" t="str">
        <f>IF(AL734="","",MAX($AF$1:$AF734))</f>
        <v/>
      </c>
    </row>
    <row r="735" spans="1:39" ht="12.75" customHeight="1" x14ac:dyDescent="0.3">
      <c r="A735" s="4" t="s">
        <v>119</v>
      </c>
      <c r="B735" s="19">
        <v>5</v>
      </c>
      <c r="C735" s="20"/>
      <c r="D735" s="12"/>
      <c r="E735" s="12"/>
      <c r="AB735" t="str" cm="1">
        <f t="array" ref="AB735:AC735">_xlfn._xlws.FILTER(A735:Z735,A735:Z735&lt;&gt;"","")</f>
        <v>Combined Science: Biology + Chemistry</v>
      </c>
      <c r="AC735">
        <v>5</v>
      </c>
      <c r="AD735" t="str">
        <v/>
      </c>
      <c r="AE735" t="str">
        <v/>
      </c>
      <c r="AF735" t="str" cm="1">
        <f t="array" ref="AF735">IF(AD735="","",SUMPRODUCT(IF(LEFT($AD$1:AD735,2)="JS",1,0)))</f>
        <v/>
      </c>
      <c r="AG735" t="str">
        <f t="shared" si="44"/>
        <v/>
      </c>
      <c r="AH735" t="str">
        <f t="shared" si="45"/>
        <v/>
      </c>
      <c r="AI735" t="str">
        <f>IF(AH735="","",MAX($AF$1:$AF735))</f>
        <v/>
      </c>
      <c r="AJ735" t="str">
        <f t="shared" si="46"/>
        <v/>
      </c>
      <c r="AK735" t="str">
        <f>IF(AJ735="","",MAX($AF$1:$AF735))</f>
        <v/>
      </c>
      <c r="AL735" t="str">
        <f t="shared" si="47"/>
        <v/>
      </c>
      <c r="AM735" t="str">
        <f>IF(AL735="","",MAX($AF$1:$AF735))</f>
        <v/>
      </c>
    </row>
    <row r="736" spans="1:39" ht="12.75" customHeight="1" x14ac:dyDescent="0.3">
      <c r="A736" s="4" t="s">
        <v>120</v>
      </c>
      <c r="B736" s="19">
        <v>5</v>
      </c>
      <c r="C736" s="20"/>
      <c r="D736" s="12"/>
      <c r="E736" s="12"/>
      <c r="AB736" t="str" cm="1">
        <f t="array" ref="AB736:AC736">_xlfn._xlws.FILTER(A736:Z736,A736:Z736&lt;&gt;"","")</f>
        <v>Combined Science: Biology + Physics</v>
      </c>
      <c r="AC736">
        <v>5</v>
      </c>
      <c r="AD736" t="str">
        <v/>
      </c>
      <c r="AE736" t="str">
        <v/>
      </c>
      <c r="AF736" t="str" cm="1">
        <f t="array" ref="AF736">IF(AD736="","",SUMPRODUCT(IF(LEFT($AD$1:AD736,2)="JS",1,0)))</f>
        <v/>
      </c>
      <c r="AG736" t="str">
        <f t="shared" si="44"/>
        <v/>
      </c>
      <c r="AH736" t="str">
        <f t="shared" si="45"/>
        <v/>
      </c>
      <c r="AI736" t="str">
        <f>IF(AH736="","",MAX($AF$1:$AF736))</f>
        <v/>
      </c>
      <c r="AJ736" t="str">
        <f t="shared" si="46"/>
        <v/>
      </c>
      <c r="AK736" t="str">
        <f>IF(AJ736="","",MAX($AF$1:$AF736))</f>
        <v/>
      </c>
      <c r="AL736" t="str">
        <f t="shared" si="47"/>
        <v/>
      </c>
      <c r="AM736" t="str">
        <f>IF(AL736="","",MAX($AF$1:$AF736))</f>
        <v/>
      </c>
    </row>
    <row r="737" spans="1:39" ht="12.75" customHeight="1" x14ac:dyDescent="0.3">
      <c r="A737" s="4" t="s">
        <v>121</v>
      </c>
      <c r="B737" s="19">
        <v>5</v>
      </c>
      <c r="C737" s="20"/>
      <c r="D737" s="12"/>
      <c r="E737" s="12"/>
      <c r="AB737" t="str" cm="1">
        <f t="array" ref="AB737:AC737">_xlfn._xlws.FILTER(A737:Z737,A737:Z737&lt;&gt;"","")</f>
        <v>Combined Science: Physics + Chemistry</v>
      </c>
      <c r="AC737">
        <v>5</v>
      </c>
      <c r="AD737" t="str">
        <v/>
      </c>
      <c r="AE737" t="str">
        <v/>
      </c>
      <c r="AF737" t="str" cm="1">
        <f t="array" ref="AF737">IF(AD737="","",SUMPRODUCT(IF(LEFT($AD$1:AD737,2)="JS",1,0)))</f>
        <v/>
      </c>
      <c r="AG737" t="str">
        <f t="shared" si="44"/>
        <v/>
      </c>
      <c r="AH737" t="str">
        <f t="shared" si="45"/>
        <v/>
      </c>
      <c r="AI737" t="str">
        <f>IF(AH737="","",MAX($AF$1:$AF737))</f>
        <v/>
      </c>
      <c r="AJ737" t="str">
        <f t="shared" si="46"/>
        <v/>
      </c>
      <c r="AK737" t="str">
        <f>IF(AJ737="","",MAX($AF$1:$AF737))</f>
        <v/>
      </c>
      <c r="AL737" t="str">
        <f t="shared" si="47"/>
        <v/>
      </c>
      <c r="AM737" t="str">
        <f>IF(AL737="","",MAX($AF$1:$AF737))</f>
        <v/>
      </c>
    </row>
    <row r="738" spans="1:39" ht="12.75" customHeight="1" x14ac:dyDescent="0.3">
      <c r="A738" s="4" t="s">
        <v>122</v>
      </c>
      <c r="B738" s="19">
        <v>7</v>
      </c>
      <c r="C738" s="20"/>
      <c r="D738" s="12"/>
      <c r="E738" s="12"/>
      <c r="AB738" t="str" cm="1">
        <f t="array" ref="AB738:AC738">_xlfn._xlws.FILTER(A738:Z738,A738:Z738&lt;&gt;"","")</f>
        <v>Design and Applied Technology</v>
      </c>
      <c r="AC738">
        <v>7</v>
      </c>
      <c r="AD738" t="str">
        <v/>
      </c>
      <c r="AE738" t="str">
        <v/>
      </c>
      <c r="AF738" t="str" cm="1">
        <f t="array" ref="AF738">IF(AD738="","",SUMPRODUCT(IF(LEFT($AD$1:AD738,2)="JS",1,0)))</f>
        <v/>
      </c>
      <c r="AG738" t="str">
        <f t="shared" si="44"/>
        <v/>
      </c>
      <c r="AH738" t="str">
        <f t="shared" si="45"/>
        <v/>
      </c>
      <c r="AI738" t="str">
        <f>IF(AH738="","",MAX($AF$1:$AF738))</f>
        <v/>
      </c>
      <c r="AJ738" t="str">
        <f t="shared" si="46"/>
        <v/>
      </c>
      <c r="AK738" t="str">
        <f>IF(AJ738="","",MAX($AF$1:$AF738))</f>
        <v/>
      </c>
      <c r="AL738" t="str">
        <f t="shared" si="47"/>
        <v/>
      </c>
      <c r="AM738" t="str">
        <f>IF(AL738="","",MAX($AF$1:$AF738))</f>
        <v/>
      </c>
    </row>
    <row r="739" spans="1:39" ht="12.75" customHeight="1" x14ac:dyDescent="0.3">
      <c r="A739" s="4" t="s">
        <v>217</v>
      </c>
      <c r="B739" s="19">
        <v>5</v>
      </c>
      <c r="C739" s="20"/>
      <c r="D739" s="12"/>
      <c r="E739" s="12"/>
      <c r="AB739" t="str" cm="1">
        <f t="array" ref="AB739:AC739">_xlfn._xlws.FILTER(A739:Z739,A739:Z739&lt;&gt;"","")</f>
        <v>ECON</v>
      </c>
      <c r="AC739">
        <v>5</v>
      </c>
      <c r="AD739" t="str">
        <v/>
      </c>
      <c r="AE739" t="str">
        <v/>
      </c>
      <c r="AF739" t="str" cm="1">
        <f t="array" ref="AF739">IF(AD739="","",SUMPRODUCT(IF(LEFT($AD$1:AD739,2)="JS",1,0)))</f>
        <v/>
      </c>
      <c r="AG739" t="b">
        <f t="shared" si="44"/>
        <v>1</v>
      </c>
      <c r="AH739" t="str">
        <f t="shared" si="45"/>
        <v/>
      </c>
      <c r="AI739" t="str">
        <f>IF(AH739="","",MAX($AF$1:$AF739))</f>
        <v/>
      </c>
      <c r="AJ739" t="str">
        <f t="shared" si="46"/>
        <v/>
      </c>
      <c r="AK739" t="str">
        <f>IF(AJ739="","",MAX($AF$1:$AF739))</f>
        <v/>
      </c>
      <c r="AL739" t="str">
        <f t="shared" si="47"/>
        <v>ECON</v>
      </c>
      <c r="AM739">
        <f>IF(AL739="","",MAX($AF$1:$AF739))</f>
        <v>15</v>
      </c>
    </row>
    <row r="740" spans="1:39" ht="12.75" customHeight="1" x14ac:dyDescent="0.3">
      <c r="A740" s="4" t="s">
        <v>218</v>
      </c>
      <c r="B740" s="19">
        <v>10</v>
      </c>
      <c r="C740" s="20"/>
      <c r="D740" s="12"/>
      <c r="E740" s="12"/>
      <c r="AB740" t="str" cm="1">
        <f t="array" ref="AB740:AC740">_xlfn._xlws.FILTER(A740:Z740,A740:Z740&lt;&gt;"","")</f>
        <v>ENG</v>
      </c>
      <c r="AC740">
        <v>10</v>
      </c>
      <c r="AD740" t="str">
        <v/>
      </c>
      <c r="AE740" t="str">
        <v/>
      </c>
      <c r="AF740" t="str" cm="1">
        <f t="array" ref="AF740">IF(AD740="","",SUMPRODUCT(IF(LEFT($AD$1:AD740,2)="JS",1,0)))</f>
        <v/>
      </c>
      <c r="AG740" t="b">
        <f t="shared" si="44"/>
        <v>1</v>
      </c>
      <c r="AH740" t="str">
        <f t="shared" si="45"/>
        <v>ENG</v>
      </c>
      <c r="AI740">
        <f>IF(AH740="","",MAX($AF$1:$AF740))</f>
        <v>15</v>
      </c>
      <c r="AJ740" t="str">
        <f t="shared" si="46"/>
        <v/>
      </c>
      <c r="AK740" t="str">
        <f>IF(AJ740="","",MAX($AF$1:$AF740))</f>
        <v/>
      </c>
      <c r="AL740" t="str">
        <f t="shared" si="47"/>
        <v/>
      </c>
      <c r="AM740" t="str">
        <f>IF(AL740="","",MAX($AF$1:$AF740))</f>
        <v/>
      </c>
    </row>
    <row r="741" spans="1:39" ht="12.75" customHeight="1" x14ac:dyDescent="0.3">
      <c r="A741" s="4" t="s">
        <v>123</v>
      </c>
      <c r="B741" s="19">
        <v>7</v>
      </c>
      <c r="C741" s="20"/>
      <c r="D741" s="12"/>
      <c r="E741" s="12"/>
      <c r="AB741" t="str" cm="1">
        <f t="array" ref="AB741:AC741">_xlfn._xlws.FILTER(A741:Z741,A741:Z741&lt;&gt;"","")</f>
        <v>Ethics and Religious Studies</v>
      </c>
      <c r="AC741">
        <v>7</v>
      </c>
      <c r="AD741" t="str">
        <v/>
      </c>
      <c r="AE741" t="str">
        <v/>
      </c>
      <c r="AF741" t="str" cm="1">
        <f t="array" ref="AF741">IF(AD741="","",SUMPRODUCT(IF(LEFT($AD$1:AD741,2)="JS",1,0)))</f>
        <v/>
      </c>
      <c r="AG741" t="str">
        <f t="shared" si="44"/>
        <v/>
      </c>
      <c r="AH741" t="str">
        <f t="shared" si="45"/>
        <v/>
      </c>
      <c r="AI741" t="str">
        <f>IF(AH741="","",MAX($AF$1:$AF741))</f>
        <v/>
      </c>
      <c r="AJ741" t="str">
        <f t="shared" si="46"/>
        <v/>
      </c>
      <c r="AK741" t="str">
        <f>IF(AJ741="","",MAX($AF$1:$AF741))</f>
        <v/>
      </c>
      <c r="AL741" t="str">
        <f t="shared" si="47"/>
        <v/>
      </c>
      <c r="AM741" t="str">
        <f>IF(AL741="","",MAX($AF$1:$AF741))</f>
        <v/>
      </c>
    </row>
    <row r="742" spans="1:39" ht="12.75" customHeight="1" x14ac:dyDescent="0.3">
      <c r="A742" s="4" t="s">
        <v>219</v>
      </c>
      <c r="B742" s="19">
        <v>7</v>
      </c>
      <c r="C742" s="20"/>
      <c r="D742" s="12"/>
      <c r="E742" s="12"/>
      <c r="AB742" t="str" cm="1">
        <f t="array" ref="AB742:AC742">_xlfn._xlws.FILTER(A742:Z742,A742:Z742&lt;&gt;"","")</f>
        <v>GEOG</v>
      </c>
      <c r="AC742">
        <v>7</v>
      </c>
      <c r="AD742" t="str">
        <v/>
      </c>
      <c r="AE742" t="str">
        <v/>
      </c>
      <c r="AF742" t="str" cm="1">
        <f t="array" ref="AF742">IF(AD742="","",SUMPRODUCT(IF(LEFT($AD$1:AD742,2)="JS",1,0)))</f>
        <v/>
      </c>
      <c r="AG742" t="b">
        <f t="shared" si="44"/>
        <v>1</v>
      </c>
      <c r="AH742" t="str">
        <f t="shared" si="45"/>
        <v/>
      </c>
      <c r="AI742" t="str">
        <f>IF(AH742="","",MAX($AF$1:$AF742))</f>
        <v/>
      </c>
      <c r="AJ742" t="str">
        <f t="shared" si="46"/>
        <v>GEOG</v>
      </c>
      <c r="AK742">
        <f>IF(AJ742="","",MAX($AF$1:$AF742))</f>
        <v>15</v>
      </c>
      <c r="AL742" t="str">
        <f t="shared" si="47"/>
        <v/>
      </c>
      <c r="AM742" t="str">
        <f>IF(AL742="","",MAX($AF$1:$AF742))</f>
        <v/>
      </c>
    </row>
    <row r="743" spans="1:39" ht="12.75" customHeight="1" x14ac:dyDescent="0.3">
      <c r="A743" s="4" t="s">
        <v>220</v>
      </c>
      <c r="B743" s="19">
        <v>7</v>
      </c>
      <c r="C743" s="20"/>
      <c r="D743" s="12"/>
      <c r="E743" s="12"/>
      <c r="AB743" t="str" cm="1">
        <f t="array" ref="AB743:AC743">_xlfn._xlws.FILTER(A743:Z743,A743:Z743&lt;&gt;"","")</f>
        <v>HMSC</v>
      </c>
      <c r="AC743">
        <v>7</v>
      </c>
      <c r="AD743" t="str">
        <v/>
      </c>
      <c r="AE743" t="str">
        <v/>
      </c>
      <c r="AF743" t="str" cm="1">
        <f t="array" ref="AF743">IF(AD743="","",SUMPRODUCT(IF(LEFT($AD$1:AD743,2)="JS",1,0)))</f>
        <v/>
      </c>
      <c r="AG743" t="b">
        <f t="shared" si="44"/>
        <v>1</v>
      </c>
      <c r="AH743" t="str">
        <f t="shared" si="45"/>
        <v/>
      </c>
      <c r="AI743" t="str">
        <f>IF(AH743="","",MAX($AF$1:$AF743))</f>
        <v/>
      </c>
      <c r="AJ743" t="str">
        <f t="shared" si="46"/>
        <v>HMSC</v>
      </c>
      <c r="AK743">
        <f>IF(AJ743="","",MAX($AF$1:$AF743))</f>
        <v>15</v>
      </c>
      <c r="AL743" t="str">
        <f t="shared" si="47"/>
        <v/>
      </c>
      <c r="AM743" t="str">
        <f>IF(AL743="","",MAX($AF$1:$AF743))</f>
        <v/>
      </c>
    </row>
    <row r="744" spans="1:39" ht="12.75" customHeight="1" x14ac:dyDescent="0.3">
      <c r="A744" s="4" t="s">
        <v>221</v>
      </c>
      <c r="B744" s="19">
        <v>7</v>
      </c>
      <c r="C744" s="20"/>
      <c r="D744" s="12"/>
      <c r="E744" s="12"/>
      <c r="AB744" t="str" cm="1">
        <f t="array" ref="AB744:AC744">_xlfn._xlws.FILTER(A744:Z744,A744:Z744&lt;&gt;"","")</f>
        <v>HIST</v>
      </c>
      <c r="AC744">
        <v>7</v>
      </c>
      <c r="AD744" t="str">
        <v/>
      </c>
      <c r="AE744" t="str">
        <v/>
      </c>
      <c r="AF744" t="str" cm="1">
        <f t="array" ref="AF744">IF(AD744="","",SUMPRODUCT(IF(LEFT($AD$1:AD744,2)="JS",1,0)))</f>
        <v/>
      </c>
      <c r="AG744" t="b">
        <f t="shared" si="44"/>
        <v>1</v>
      </c>
      <c r="AH744" t="str">
        <f t="shared" si="45"/>
        <v/>
      </c>
      <c r="AI744" t="str">
        <f>IF(AH744="","",MAX($AF$1:$AF744))</f>
        <v/>
      </c>
      <c r="AJ744" t="str">
        <f t="shared" si="46"/>
        <v>HIST</v>
      </c>
      <c r="AK744">
        <f>IF(AJ744="","",MAX($AF$1:$AF744))</f>
        <v>15</v>
      </c>
      <c r="AL744" t="str">
        <f t="shared" si="47"/>
        <v/>
      </c>
      <c r="AM744" t="str">
        <f>IF(AL744="","",MAX($AF$1:$AF744))</f>
        <v/>
      </c>
    </row>
    <row r="745" spans="1:39" ht="12.75" customHeight="1" x14ac:dyDescent="0.3">
      <c r="A745" s="4" t="s">
        <v>222</v>
      </c>
      <c r="B745" s="19">
        <v>7</v>
      </c>
      <c r="C745" s="20"/>
      <c r="D745" s="12"/>
      <c r="E745" s="12"/>
      <c r="AB745" t="str" cm="1">
        <f t="array" ref="AB745:AC745">_xlfn._xlws.FILTER(A745:Z745,A745:Z745&lt;&gt;"","")</f>
        <v>ICT</v>
      </c>
      <c r="AC745">
        <v>7</v>
      </c>
      <c r="AD745" t="str">
        <v/>
      </c>
      <c r="AE745" t="str">
        <v/>
      </c>
      <c r="AF745" t="str" cm="1">
        <f t="array" ref="AF745">IF(AD745="","",SUMPRODUCT(IF(LEFT($AD$1:AD745,2)="JS",1,0)))</f>
        <v/>
      </c>
      <c r="AG745" t="b">
        <f t="shared" si="44"/>
        <v>1</v>
      </c>
      <c r="AH745" t="str">
        <f t="shared" si="45"/>
        <v/>
      </c>
      <c r="AI745" t="str">
        <f>IF(AH745="","",MAX($AF$1:$AF745))</f>
        <v/>
      </c>
      <c r="AJ745" t="str">
        <f t="shared" si="46"/>
        <v>ICT</v>
      </c>
      <c r="AK745">
        <f>IF(AJ745="","",MAX($AF$1:$AF745))</f>
        <v>15</v>
      </c>
      <c r="AL745" t="str">
        <f t="shared" si="47"/>
        <v/>
      </c>
      <c r="AM745" t="str">
        <f>IF(AL745="","",MAX($AF$1:$AF745))</f>
        <v/>
      </c>
    </row>
    <row r="746" spans="1:39" ht="12.75" customHeight="1" x14ac:dyDescent="0.3">
      <c r="A746" s="4" t="s">
        <v>124</v>
      </c>
      <c r="B746" s="19">
        <v>5</v>
      </c>
      <c r="C746" s="20"/>
      <c r="D746" s="12"/>
      <c r="E746" s="12"/>
      <c r="AB746" t="str" cm="1">
        <f t="array" ref="AB746:AC746">_xlfn._xlws.FILTER(A746:Z746,A746:Z746&lt;&gt;"","")</f>
        <v>Integrated Science</v>
      </c>
      <c r="AC746">
        <v>5</v>
      </c>
      <c r="AD746" t="str">
        <v/>
      </c>
      <c r="AE746" t="str">
        <v/>
      </c>
      <c r="AF746" t="str" cm="1">
        <f t="array" ref="AF746">IF(AD746="","",SUMPRODUCT(IF(LEFT($AD$1:AD746,2)="JS",1,0)))</f>
        <v/>
      </c>
      <c r="AG746" t="str">
        <f t="shared" si="44"/>
        <v/>
      </c>
      <c r="AH746" t="str">
        <f t="shared" si="45"/>
        <v/>
      </c>
      <c r="AI746" t="str">
        <f>IF(AH746="","",MAX($AF$1:$AF746))</f>
        <v/>
      </c>
      <c r="AJ746" t="str">
        <f t="shared" si="46"/>
        <v/>
      </c>
      <c r="AK746" t="str">
        <f>IF(AJ746="","",MAX($AF$1:$AF746))</f>
        <v/>
      </c>
      <c r="AL746" t="str">
        <f t="shared" si="47"/>
        <v/>
      </c>
      <c r="AM746" t="str">
        <f>IF(AL746="","",MAX($AF$1:$AF746))</f>
        <v/>
      </c>
    </row>
    <row r="747" spans="1:39" ht="12.75" customHeight="1" x14ac:dyDescent="0.3">
      <c r="A747" s="4" t="s">
        <v>223</v>
      </c>
      <c r="B747" s="19">
        <v>7</v>
      </c>
      <c r="C747" s="20"/>
      <c r="D747" s="12"/>
      <c r="E747" s="12"/>
      <c r="AB747" t="str" cm="1">
        <f t="array" ref="AB747:AC747">_xlfn._xlws.FILTER(A747:Z747,A747:Z747&lt;&gt;"","")</f>
        <v>通</v>
      </c>
      <c r="AC747">
        <v>7</v>
      </c>
      <c r="AD747" t="str">
        <v/>
      </c>
      <c r="AE747" t="str">
        <v/>
      </c>
      <c r="AF747" t="str" cm="1">
        <f t="array" ref="AF747">IF(AD747="","",SUMPRODUCT(IF(LEFT($AD$1:AD747,2)="JS",1,0)))</f>
        <v/>
      </c>
      <c r="AG747" t="b">
        <f t="shared" si="44"/>
        <v>1</v>
      </c>
      <c r="AH747" t="str">
        <f t="shared" si="45"/>
        <v/>
      </c>
      <c r="AI747" t="str">
        <f>IF(AH747="","",MAX($AF$1:$AF747))</f>
        <v/>
      </c>
      <c r="AJ747" t="str">
        <f t="shared" si="46"/>
        <v>通</v>
      </c>
      <c r="AK747">
        <f>IF(AJ747="","",MAX($AF$1:$AF747))</f>
        <v>15</v>
      </c>
      <c r="AL747" t="str">
        <f t="shared" si="47"/>
        <v/>
      </c>
      <c r="AM747" t="str">
        <f>IF(AL747="","",MAX($AF$1:$AF747))</f>
        <v/>
      </c>
    </row>
    <row r="748" spans="1:39" ht="12.75" customHeight="1" x14ac:dyDescent="0.3">
      <c r="A748" s="4" t="s">
        <v>125</v>
      </c>
      <c r="B748" s="19">
        <v>7</v>
      </c>
      <c r="C748" s="20"/>
      <c r="D748" s="12"/>
      <c r="E748" s="12"/>
      <c r="AB748" t="str" cm="1">
        <f t="array" ref="AB748:AC748">_xlfn._xlws.FILTER(A748:Z748,A748:Z748&lt;&gt;"","")</f>
        <v>Literature in English</v>
      </c>
      <c r="AC748">
        <v>7</v>
      </c>
      <c r="AD748" t="str">
        <v/>
      </c>
      <c r="AE748" t="str">
        <v/>
      </c>
      <c r="AF748" t="str" cm="1">
        <f t="array" ref="AF748">IF(AD748="","",SUMPRODUCT(IF(LEFT($AD$1:AD748,2)="JS",1,0)))</f>
        <v/>
      </c>
      <c r="AG748" t="str">
        <f t="shared" si="44"/>
        <v/>
      </c>
      <c r="AH748" t="str">
        <f t="shared" si="45"/>
        <v/>
      </c>
      <c r="AI748" t="str">
        <f>IF(AH748="","",MAX($AF$1:$AF748))</f>
        <v/>
      </c>
      <c r="AJ748" t="str">
        <f t="shared" si="46"/>
        <v/>
      </c>
      <c r="AK748" t="str">
        <f>IF(AJ748="","",MAX($AF$1:$AF748))</f>
        <v/>
      </c>
      <c r="AL748" t="str">
        <f t="shared" si="47"/>
        <v/>
      </c>
      <c r="AM748" t="str">
        <f>IF(AL748="","",MAX($AF$1:$AF748))</f>
        <v/>
      </c>
    </row>
    <row r="749" spans="1:39" ht="12.75" customHeight="1" x14ac:dyDescent="0.3">
      <c r="A749" s="4" t="s">
        <v>224</v>
      </c>
      <c r="B749" s="19">
        <v>7</v>
      </c>
      <c r="C749" s="20"/>
      <c r="D749" s="12"/>
      <c r="E749" s="12"/>
      <c r="AB749" t="str" cm="1">
        <f t="array" ref="AB749:AC749">_xlfn._xlws.FILTER(A749:Z749,A749:Z749&lt;&gt;"","")</f>
        <v>MATH</v>
      </c>
      <c r="AC749">
        <v>7</v>
      </c>
      <c r="AD749" t="str">
        <v/>
      </c>
      <c r="AE749" t="str">
        <v/>
      </c>
      <c r="AF749" t="str" cm="1">
        <f t="array" ref="AF749">IF(AD749="","",SUMPRODUCT(IF(LEFT($AD$1:AD749,2)="JS",1,0)))</f>
        <v/>
      </c>
      <c r="AG749" t="b">
        <f t="shared" si="44"/>
        <v>1</v>
      </c>
      <c r="AH749" t="str">
        <f t="shared" si="45"/>
        <v/>
      </c>
      <c r="AI749" t="str">
        <f>IF(AH749="","",MAX($AF$1:$AF749))</f>
        <v/>
      </c>
      <c r="AJ749" t="str">
        <f t="shared" si="46"/>
        <v>MATH</v>
      </c>
      <c r="AK749">
        <f>IF(AJ749="","",MAX($AF$1:$AF749))</f>
        <v>15</v>
      </c>
      <c r="AL749" t="str">
        <f t="shared" si="47"/>
        <v/>
      </c>
      <c r="AM749" t="str">
        <f>IF(AL749="","",MAX($AF$1:$AF749))</f>
        <v/>
      </c>
    </row>
    <row r="750" spans="1:39" ht="12.75" customHeight="1" x14ac:dyDescent="0.3">
      <c r="A750" s="4" t="s">
        <v>225</v>
      </c>
      <c r="B750" s="19">
        <v>5</v>
      </c>
      <c r="C750" s="20"/>
      <c r="D750" s="12"/>
      <c r="E750" s="12"/>
      <c r="AB750" t="str" cm="1">
        <f t="array" ref="AB750:AC750">_xlfn._xlws.FILTER(A750:Z750,A750:Z750&lt;&gt;"","")</f>
        <v>M2</v>
      </c>
      <c r="AC750">
        <v>5</v>
      </c>
      <c r="AD750" t="str">
        <v/>
      </c>
      <c r="AE750" t="str">
        <v/>
      </c>
      <c r="AF750" t="str" cm="1">
        <f t="array" ref="AF750">IF(AD750="","",SUMPRODUCT(IF(LEFT($AD$1:AD750,2)="JS",1,0)))</f>
        <v/>
      </c>
      <c r="AG750" t="b">
        <f t="shared" si="44"/>
        <v>1</v>
      </c>
      <c r="AH750" t="str">
        <f t="shared" si="45"/>
        <v/>
      </c>
      <c r="AI750" t="str">
        <f>IF(AH750="","",MAX($AF$1:$AF750))</f>
        <v/>
      </c>
      <c r="AJ750" t="str">
        <f t="shared" si="46"/>
        <v/>
      </c>
      <c r="AK750" t="str">
        <f>IF(AJ750="","",MAX($AF$1:$AF750))</f>
        <v/>
      </c>
      <c r="AL750" t="str">
        <f t="shared" si="47"/>
        <v>M2</v>
      </c>
      <c r="AM750">
        <f>IF(AL750="","",MAX($AF$1:$AF750))</f>
        <v>15</v>
      </c>
    </row>
    <row r="751" spans="1:39" ht="12.75" customHeight="1" x14ac:dyDescent="0.3">
      <c r="A751" s="4" t="s">
        <v>126</v>
      </c>
      <c r="B751" s="19">
        <v>5</v>
      </c>
      <c r="C751" s="20"/>
      <c r="D751" s="12"/>
      <c r="E751" s="12"/>
      <c r="AB751" t="str" cm="1">
        <f t="array" ref="AB751:AC751">_xlfn._xlws.FILTER(A751:Z751,A751:Z751&lt;&gt;"","")</f>
        <v>Mathematics (Extended part - Calculus and Statistics)</v>
      </c>
      <c r="AC751">
        <v>5</v>
      </c>
      <c r="AD751" t="str">
        <v/>
      </c>
      <c r="AE751" t="str">
        <v/>
      </c>
      <c r="AF751" t="str" cm="1">
        <f t="array" ref="AF751">IF(AD751="","",SUMPRODUCT(IF(LEFT($AD$1:AD751,2)="JS",1,0)))</f>
        <v/>
      </c>
      <c r="AG751" t="str">
        <f t="shared" si="44"/>
        <v/>
      </c>
      <c r="AH751" t="str">
        <f t="shared" si="45"/>
        <v/>
      </c>
      <c r="AI751" t="str">
        <f>IF(AH751="","",MAX($AF$1:$AF751))</f>
        <v/>
      </c>
      <c r="AJ751" t="str">
        <f t="shared" si="46"/>
        <v/>
      </c>
      <c r="AK751" t="str">
        <f>IF(AJ751="","",MAX($AF$1:$AF751))</f>
        <v/>
      </c>
      <c r="AL751" t="str">
        <f t="shared" si="47"/>
        <v/>
      </c>
      <c r="AM751" t="str">
        <f>IF(AL751="","",MAX($AF$1:$AF751))</f>
        <v/>
      </c>
    </row>
    <row r="752" spans="1:39" ht="12.75" customHeight="1" x14ac:dyDescent="0.3">
      <c r="A752" s="4" t="s">
        <v>127</v>
      </c>
      <c r="B752" s="19">
        <v>7</v>
      </c>
      <c r="C752" s="20"/>
      <c r="D752" s="12"/>
      <c r="E752" s="12"/>
      <c r="AB752" t="str" cm="1">
        <f t="array" ref="AB752:AC752">_xlfn._xlws.FILTER(A752:Z752,A752:Z752&lt;&gt;"","")</f>
        <v>Music</v>
      </c>
      <c r="AC752">
        <v>7</v>
      </c>
      <c r="AD752" t="str">
        <v/>
      </c>
      <c r="AE752" t="str">
        <v/>
      </c>
      <c r="AF752" t="str" cm="1">
        <f t="array" ref="AF752">IF(AD752="","",SUMPRODUCT(IF(LEFT($AD$1:AD752,2)="JS",1,0)))</f>
        <v/>
      </c>
      <c r="AG752" t="str">
        <f t="shared" si="44"/>
        <v/>
      </c>
      <c r="AH752" t="str">
        <f t="shared" si="45"/>
        <v/>
      </c>
      <c r="AI752" t="str">
        <f>IF(AH752="","",MAX($AF$1:$AF752))</f>
        <v/>
      </c>
      <c r="AJ752" t="str">
        <f t="shared" si="46"/>
        <v/>
      </c>
      <c r="AK752" t="str">
        <f>IF(AJ752="","",MAX($AF$1:$AF752))</f>
        <v/>
      </c>
      <c r="AL752" t="str">
        <f t="shared" si="47"/>
        <v/>
      </c>
      <c r="AM752" t="str">
        <f>IF(AL752="","",MAX($AF$1:$AF752))</f>
        <v/>
      </c>
    </row>
    <row r="753" spans="1:39" ht="12.75" customHeight="1" x14ac:dyDescent="0.3">
      <c r="A753" s="4" t="s">
        <v>128</v>
      </c>
      <c r="B753" s="19">
        <v>5</v>
      </c>
      <c r="C753" s="20"/>
      <c r="D753" s="12"/>
      <c r="E753" s="12"/>
      <c r="AB753" t="str" cm="1">
        <f t="array" ref="AB753:AC753">_xlfn._xlws.FILTER(A753:Z753,A753:Z753&lt;&gt;"","")</f>
        <v>Physical Education</v>
      </c>
      <c r="AC753">
        <v>5</v>
      </c>
      <c r="AD753" t="str">
        <v/>
      </c>
      <c r="AE753" t="str">
        <v/>
      </c>
      <c r="AF753" t="str" cm="1">
        <f t="array" ref="AF753">IF(AD753="","",SUMPRODUCT(IF(LEFT($AD$1:AD753,2)="JS",1,0)))</f>
        <v/>
      </c>
      <c r="AG753" t="str">
        <f t="shared" si="44"/>
        <v/>
      </c>
      <c r="AH753" t="str">
        <f t="shared" si="45"/>
        <v/>
      </c>
      <c r="AI753" t="str">
        <f>IF(AH753="","",MAX($AF$1:$AF753))</f>
        <v/>
      </c>
      <c r="AJ753" t="str">
        <f t="shared" si="46"/>
        <v/>
      </c>
      <c r="AK753" t="str">
        <f>IF(AJ753="","",MAX($AF$1:$AF753))</f>
        <v/>
      </c>
      <c r="AL753" t="str">
        <f t="shared" si="47"/>
        <v/>
      </c>
      <c r="AM753" t="str">
        <f>IF(AL753="","",MAX($AF$1:$AF753))</f>
        <v/>
      </c>
    </row>
    <row r="754" spans="1:39" ht="12.75" customHeight="1" x14ac:dyDescent="0.3">
      <c r="A754" s="4" t="s">
        <v>226</v>
      </c>
      <c r="B754" s="19">
        <v>5</v>
      </c>
      <c r="C754" s="20"/>
      <c r="D754" s="12"/>
      <c r="E754" s="12"/>
      <c r="AB754" t="str" cm="1">
        <f t="array" ref="AB754:AC754">_xlfn._xlws.FILTER(A754:Z754,A754:Z754&lt;&gt;"","")</f>
        <v>PHY</v>
      </c>
      <c r="AC754">
        <v>5</v>
      </c>
      <c r="AD754" t="str">
        <v/>
      </c>
      <c r="AE754" t="str">
        <v/>
      </c>
      <c r="AF754" t="str" cm="1">
        <f t="array" ref="AF754">IF(AD754="","",SUMPRODUCT(IF(LEFT($AD$1:AD754,2)="JS",1,0)))</f>
        <v/>
      </c>
      <c r="AG754" t="b">
        <f t="shared" si="44"/>
        <v>1</v>
      </c>
      <c r="AH754" t="str">
        <f t="shared" si="45"/>
        <v/>
      </c>
      <c r="AI754" t="str">
        <f>IF(AH754="","",MAX($AF$1:$AF754))</f>
        <v/>
      </c>
      <c r="AJ754" t="str">
        <f t="shared" si="46"/>
        <v/>
      </c>
      <c r="AK754" t="str">
        <f>IF(AJ754="","",MAX($AF$1:$AF754))</f>
        <v/>
      </c>
      <c r="AL754" t="str">
        <f t="shared" si="47"/>
        <v>PHY</v>
      </c>
      <c r="AM754">
        <f>IF(AL754="","",MAX($AF$1:$AF754))</f>
        <v>15</v>
      </c>
    </row>
    <row r="755" spans="1:39" ht="12.75" customHeight="1" x14ac:dyDescent="0.3">
      <c r="A755" s="4" t="s">
        <v>129</v>
      </c>
      <c r="B755" s="19">
        <v>5</v>
      </c>
      <c r="C755" s="20"/>
      <c r="D755" s="12"/>
      <c r="E755" s="12"/>
      <c r="AB755" t="str" cm="1">
        <f t="array" ref="AB755:AC755">_xlfn._xlws.FILTER(A755:Z755,A755:Z755&lt;&gt;"","")</f>
        <v>Technology and Living (Fashion, Clothing and Textiles)</v>
      </c>
      <c r="AC755">
        <v>5</v>
      </c>
      <c r="AD755" t="str">
        <v/>
      </c>
      <c r="AE755" t="str">
        <v/>
      </c>
      <c r="AF755" t="str" cm="1">
        <f t="array" ref="AF755">IF(AD755="","",SUMPRODUCT(IF(LEFT($AD$1:AD755,2)="JS",1,0)))</f>
        <v/>
      </c>
      <c r="AG755" t="str">
        <f t="shared" si="44"/>
        <v/>
      </c>
      <c r="AH755" t="str">
        <f t="shared" si="45"/>
        <v/>
      </c>
      <c r="AI755" t="str">
        <f>IF(AH755="","",MAX($AF$1:$AF755))</f>
        <v/>
      </c>
      <c r="AJ755" t="str">
        <f t="shared" si="46"/>
        <v/>
      </c>
      <c r="AK755" t="str">
        <f>IF(AJ755="","",MAX($AF$1:$AF755))</f>
        <v/>
      </c>
      <c r="AL755" t="str">
        <f t="shared" si="47"/>
        <v/>
      </c>
      <c r="AM755" t="str">
        <f>IF(AL755="","",MAX($AF$1:$AF755))</f>
        <v/>
      </c>
    </row>
    <row r="756" spans="1:39" ht="12.75" customHeight="1" x14ac:dyDescent="0.3">
      <c r="A756" s="4" t="s">
        <v>130</v>
      </c>
      <c r="B756" s="19">
        <v>5</v>
      </c>
      <c r="C756" s="20"/>
      <c r="D756" s="12"/>
      <c r="E756" s="12"/>
      <c r="AB756" t="str" cm="1">
        <f t="array" ref="AB756:AC756">_xlfn._xlws.FILTER(A756:Z756,A756:Z756&lt;&gt;"","")</f>
        <v>Technology and Living (Food Science and Technology)</v>
      </c>
      <c r="AC756">
        <v>5</v>
      </c>
      <c r="AD756" t="str">
        <v/>
      </c>
      <c r="AE756" t="str">
        <v/>
      </c>
      <c r="AF756" t="str" cm="1">
        <f t="array" ref="AF756">IF(AD756="","",SUMPRODUCT(IF(LEFT($AD$1:AD756,2)="JS",1,0)))</f>
        <v/>
      </c>
      <c r="AG756" t="str">
        <f t="shared" si="44"/>
        <v/>
      </c>
      <c r="AH756" t="str">
        <f t="shared" si="45"/>
        <v/>
      </c>
      <c r="AI756" t="str">
        <f>IF(AH756="","",MAX($AF$1:$AF756))</f>
        <v/>
      </c>
      <c r="AJ756" t="str">
        <f t="shared" si="46"/>
        <v/>
      </c>
      <c r="AK756" t="str">
        <f>IF(AJ756="","",MAX($AF$1:$AF756))</f>
        <v/>
      </c>
      <c r="AL756" t="str">
        <f t="shared" si="47"/>
        <v/>
      </c>
      <c r="AM756" t="str">
        <f>IF(AL756="","",MAX($AF$1:$AF756))</f>
        <v/>
      </c>
    </row>
    <row r="757" spans="1:39" ht="12.75" customHeight="1" x14ac:dyDescent="0.3">
      <c r="A757" s="4" t="s">
        <v>131</v>
      </c>
      <c r="B757" s="19">
        <v>7</v>
      </c>
      <c r="C757" s="20"/>
      <c r="D757" s="12"/>
      <c r="E757" s="12"/>
      <c r="AB757" t="str" cm="1">
        <f t="array" ref="AB757:AC757">_xlfn._xlws.FILTER(A757:Z757,A757:Z757&lt;&gt;"","")</f>
        <v>Tourism and Hospitality Studies</v>
      </c>
      <c r="AC757">
        <v>7</v>
      </c>
      <c r="AD757" t="str">
        <v/>
      </c>
      <c r="AE757" t="str">
        <v/>
      </c>
      <c r="AF757" t="str" cm="1">
        <f t="array" ref="AF757">IF(AD757="","",SUMPRODUCT(IF(LEFT($AD$1:AD757,2)="JS",1,0)))</f>
        <v/>
      </c>
      <c r="AG757" t="str">
        <f t="shared" si="44"/>
        <v/>
      </c>
      <c r="AH757" t="str">
        <f t="shared" si="45"/>
        <v/>
      </c>
      <c r="AI757" t="str">
        <f>IF(AH757="","",MAX($AF$1:$AF757))</f>
        <v/>
      </c>
      <c r="AJ757" t="str">
        <f t="shared" si="46"/>
        <v/>
      </c>
      <c r="AK757" t="str">
        <f>IF(AJ757="","",MAX($AF$1:$AF757))</f>
        <v/>
      </c>
      <c r="AL757" t="str">
        <f t="shared" si="47"/>
        <v/>
      </c>
      <c r="AM757" t="str">
        <f>IF(AL757="","",MAX($AF$1:$AF757))</f>
        <v/>
      </c>
    </row>
    <row r="758" spans="1:39" ht="12.75" customHeight="1" x14ac:dyDescent="0.3">
      <c r="A758" s="4" t="s">
        <v>210</v>
      </c>
      <c r="B758" s="19">
        <v>7</v>
      </c>
      <c r="C758" s="20"/>
      <c r="D758" s="12"/>
      <c r="E758" s="12"/>
      <c r="AB758" t="str" cm="1">
        <f t="array" ref="AB758:AC758">_xlfn._xlws.FILTER(A758:Z758,A758:Z758&lt;&gt;"","")</f>
        <v>VA</v>
      </c>
      <c r="AC758">
        <v>7</v>
      </c>
      <c r="AD758" t="str">
        <v/>
      </c>
      <c r="AE758" t="str">
        <v/>
      </c>
      <c r="AF758" t="str" cm="1">
        <f t="array" ref="AF758">IF(AD758="","",SUMPRODUCT(IF(LEFT($AD$1:AD758,2)="JS",1,0)))</f>
        <v/>
      </c>
      <c r="AG758" t="b">
        <f t="shared" si="44"/>
        <v>1</v>
      </c>
      <c r="AH758" t="str">
        <f t="shared" si="45"/>
        <v/>
      </c>
      <c r="AI758" t="str">
        <f>IF(AH758="","",MAX($AF$1:$AF758))</f>
        <v/>
      </c>
      <c r="AJ758" t="str">
        <f t="shared" si="46"/>
        <v>VA</v>
      </c>
      <c r="AK758">
        <f>IF(AJ758="","",MAX($AF$1:$AF758))</f>
        <v>15</v>
      </c>
      <c r="AL758" t="str">
        <f t="shared" si="47"/>
        <v/>
      </c>
      <c r="AM758" t="str">
        <f>IF(AL758="","",MAX($AF$1:$AF758))</f>
        <v/>
      </c>
    </row>
    <row r="759" spans="1:39" ht="24.75" customHeight="1" x14ac:dyDescent="0.3">
      <c r="A759" s="22" t="s">
        <v>132</v>
      </c>
      <c r="B759" s="22"/>
      <c r="C759" s="22"/>
      <c r="D759" s="23"/>
      <c r="E759" s="23"/>
      <c r="AB759" t="str" cm="1">
        <f t="array" ref="AB759">_xlfn._xlws.FILTER(A759:Z759,A759:Z759&lt;&gt;"","")</f>
        <v>Category B: Applied Learning Subjects</v>
      </c>
      <c r="AD759" t="str">
        <v/>
      </c>
      <c r="AE759" t="str">
        <v/>
      </c>
      <c r="AF759" t="str" cm="1">
        <f t="array" ref="AF759">IF(AD759="","",SUMPRODUCT(IF(LEFT($AD$1:AD759,2)="JS",1,0)))</f>
        <v/>
      </c>
      <c r="AG759" t="str">
        <f t="shared" si="44"/>
        <v/>
      </c>
      <c r="AH759" t="str">
        <f t="shared" si="45"/>
        <v/>
      </c>
      <c r="AI759" t="str">
        <f>IF(AH759="","",MAX($AF$1:$AF759))</f>
        <v/>
      </c>
      <c r="AJ759" t="str">
        <f t="shared" si="46"/>
        <v/>
      </c>
      <c r="AK759" t="str">
        <f>IF(AJ759="","",MAX($AF$1:$AF759))</f>
        <v/>
      </c>
      <c r="AL759" t="str">
        <f t="shared" si="47"/>
        <v/>
      </c>
      <c r="AM759" t="str">
        <f>IF(AL759="","",MAX($AF$1:$AF759))</f>
        <v/>
      </c>
    </row>
    <row r="760" spans="1:39" ht="12.75" customHeight="1" x14ac:dyDescent="0.3">
      <c r="A760" s="3" t="s">
        <v>114</v>
      </c>
      <c r="B760" s="24" t="s">
        <v>115</v>
      </c>
      <c r="C760" s="25"/>
      <c r="D760" s="12"/>
      <c r="E760" s="12"/>
      <c r="AB760" t="str" cm="1">
        <f t="array" ref="AB760:AC760">_xlfn._xlws.FILTER(A760:Z760,A760:Z760&lt;&gt;"","")</f>
        <v>Subject Name</v>
      </c>
      <c r="AC760" t="str">
        <v>Subject Weighting for 2023/24 Admission Exercise *</v>
      </c>
      <c r="AD760" t="str">
        <v/>
      </c>
      <c r="AE760" t="str">
        <v/>
      </c>
      <c r="AF760" t="str" cm="1">
        <f t="array" ref="AF760">IF(AD760="","",SUMPRODUCT(IF(LEFT($AD$1:AD760,2)="JS",1,0)))</f>
        <v/>
      </c>
      <c r="AG760" t="str">
        <f t="shared" si="44"/>
        <v/>
      </c>
      <c r="AH760" t="str">
        <f t="shared" si="45"/>
        <v/>
      </c>
      <c r="AI760" t="str">
        <f>IF(AH760="","",MAX($AF$1:$AF760))</f>
        <v/>
      </c>
      <c r="AJ760" t="str">
        <f t="shared" si="46"/>
        <v/>
      </c>
      <c r="AK760" t="str">
        <f>IF(AJ760="","",MAX($AF$1:$AF760))</f>
        <v/>
      </c>
      <c r="AL760" t="str">
        <f t="shared" si="47"/>
        <v/>
      </c>
      <c r="AM760" t="str">
        <f>IF(AL760="","",MAX($AF$1:$AF760))</f>
        <v/>
      </c>
    </row>
    <row r="761" spans="1:39" ht="12.75" customHeight="1" x14ac:dyDescent="0.3">
      <c r="A761" s="4" t="s">
        <v>133</v>
      </c>
      <c r="B761" s="19">
        <v>5</v>
      </c>
      <c r="C761" s="20"/>
      <c r="D761" s="12"/>
      <c r="E761" s="12"/>
      <c r="AB761" t="str" cm="1">
        <f t="array" ref="AB761:AC761">_xlfn._xlws.FILTER(A761:Z761,A761:Z761&lt;&gt;"","")</f>
        <v>Accounting in Practice</v>
      </c>
      <c r="AC761">
        <v>5</v>
      </c>
      <c r="AD761" t="str">
        <v/>
      </c>
      <c r="AE761" t="str">
        <v/>
      </c>
      <c r="AF761" t="str" cm="1">
        <f t="array" ref="AF761">IF(AD761="","",SUMPRODUCT(IF(LEFT($AD$1:AD761,2)="JS",1,0)))</f>
        <v/>
      </c>
      <c r="AG761" t="str">
        <f t="shared" si="44"/>
        <v/>
      </c>
      <c r="AH761" t="str">
        <f t="shared" si="45"/>
        <v/>
      </c>
      <c r="AI761" t="str">
        <f>IF(AH761="","",MAX($AF$1:$AF761))</f>
        <v/>
      </c>
      <c r="AJ761" t="str">
        <f t="shared" si="46"/>
        <v/>
      </c>
      <c r="AK761" t="str">
        <f>IF(AJ761="","",MAX($AF$1:$AF761))</f>
        <v/>
      </c>
      <c r="AL761" t="str">
        <f t="shared" si="47"/>
        <v/>
      </c>
      <c r="AM761" t="str">
        <f>IF(AL761="","",MAX($AF$1:$AF761))</f>
        <v/>
      </c>
    </row>
    <row r="762" spans="1:39" ht="12.75" customHeight="1" x14ac:dyDescent="0.3">
      <c r="A762" s="4" t="s">
        <v>134</v>
      </c>
      <c r="B762" s="19">
        <v>5</v>
      </c>
      <c r="C762" s="20"/>
      <c r="D762" s="12"/>
      <c r="E762" s="12"/>
      <c r="AB762" t="str" cm="1">
        <f t="array" ref="AB762:AC762">_xlfn._xlws.FILTER(A762:Z762,A762:Z762&lt;&gt;"","")</f>
        <v>Applied Psychology</v>
      </c>
      <c r="AC762">
        <v>5</v>
      </c>
      <c r="AD762" t="str">
        <v/>
      </c>
      <c r="AE762" t="str">
        <v/>
      </c>
      <c r="AF762" t="str" cm="1">
        <f t="array" ref="AF762">IF(AD762="","",SUMPRODUCT(IF(LEFT($AD$1:AD762,2)="JS",1,0)))</f>
        <v/>
      </c>
      <c r="AG762" t="str">
        <f t="shared" si="44"/>
        <v/>
      </c>
      <c r="AH762" t="str">
        <f t="shared" si="45"/>
        <v/>
      </c>
      <c r="AI762" t="str">
        <f>IF(AH762="","",MAX($AF$1:$AF762))</f>
        <v/>
      </c>
      <c r="AJ762" t="str">
        <f t="shared" si="46"/>
        <v/>
      </c>
      <c r="AK762" t="str">
        <f>IF(AJ762="","",MAX($AF$1:$AF762))</f>
        <v/>
      </c>
      <c r="AL762" t="str">
        <f t="shared" si="47"/>
        <v/>
      </c>
      <c r="AM762" t="str">
        <f>IF(AL762="","",MAX($AF$1:$AF762))</f>
        <v/>
      </c>
    </row>
    <row r="763" spans="1:39" ht="12.75" customHeight="1" x14ac:dyDescent="0.3">
      <c r="A763" s="4" t="s">
        <v>135</v>
      </c>
      <c r="B763" s="19">
        <v>5</v>
      </c>
      <c r="C763" s="20"/>
      <c r="D763" s="12"/>
      <c r="E763" s="12"/>
      <c r="AB763" t="str" cm="1">
        <f t="array" ref="AB763:AC763">_xlfn._xlws.FILTER(A763:Z763,A763:Z763&lt;&gt;"","")</f>
        <v>Child Care and Education</v>
      </c>
      <c r="AC763">
        <v>5</v>
      </c>
      <c r="AD763" t="str">
        <v/>
      </c>
      <c r="AE763" t="str">
        <v/>
      </c>
      <c r="AF763" t="str" cm="1">
        <f t="array" ref="AF763">IF(AD763="","",SUMPRODUCT(IF(LEFT($AD$1:AD763,2)="JS",1,0)))</f>
        <v/>
      </c>
      <c r="AG763" t="str">
        <f t="shared" si="44"/>
        <v/>
      </c>
      <c r="AH763" t="str">
        <f t="shared" si="45"/>
        <v/>
      </c>
      <c r="AI763" t="str">
        <f>IF(AH763="","",MAX($AF$1:$AF763))</f>
        <v/>
      </c>
      <c r="AJ763" t="str">
        <f t="shared" si="46"/>
        <v/>
      </c>
      <c r="AK763" t="str">
        <f>IF(AJ763="","",MAX($AF$1:$AF763))</f>
        <v/>
      </c>
      <c r="AL763" t="str">
        <f t="shared" si="47"/>
        <v/>
      </c>
      <c r="AM763" t="str">
        <f>IF(AL763="","",MAX($AF$1:$AF763))</f>
        <v/>
      </c>
    </row>
    <row r="764" spans="1:39" ht="12.75" customHeight="1" x14ac:dyDescent="0.3">
      <c r="A764" s="4" t="s">
        <v>136</v>
      </c>
      <c r="B764" s="19">
        <v>5</v>
      </c>
      <c r="C764" s="20"/>
      <c r="D764" s="12"/>
      <c r="E764" s="12"/>
      <c r="AB764" t="str" cm="1">
        <f t="array" ref="AB764:AC764">_xlfn._xlws.FILTER(A764:Z764,A764:Z764&lt;&gt;"","")</f>
        <v>Creative Advertising</v>
      </c>
      <c r="AC764">
        <v>5</v>
      </c>
      <c r="AD764" t="str">
        <v/>
      </c>
      <c r="AE764" t="str">
        <v/>
      </c>
      <c r="AF764" t="str" cm="1">
        <f t="array" ref="AF764">IF(AD764="","",SUMPRODUCT(IF(LEFT($AD$1:AD764,2)="JS",1,0)))</f>
        <v/>
      </c>
      <c r="AG764" t="str">
        <f t="shared" si="44"/>
        <v/>
      </c>
      <c r="AH764" t="str">
        <f t="shared" si="45"/>
        <v/>
      </c>
      <c r="AI764" t="str">
        <f>IF(AH764="","",MAX($AF$1:$AF764))</f>
        <v/>
      </c>
      <c r="AJ764" t="str">
        <f t="shared" si="46"/>
        <v/>
      </c>
      <c r="AK764" t="str">
        <f>IF(AJ764="","",MAX($AF$1:$AF764))</f>
        <v/>
      </c>
      <c r="AL764" t="str">
        <f t="shared" si="47"/>
        <v/>
      </c>
      <c r="AM764" t="str">
        <f>IF(AL764="","",MAX($AF$1:$AF764))</f>
        <v/>
      </c>
    </row>
    <row r="765" spans="1:39" ht="12.75" customHeight="1" x14ac:dyDescent="0.3">
      <c r="A765" s="4" t="s">
        <v>137</v>
      </c>
      <c r="B765" s="19">
        <v>5</v>
      </c>
      <c r="C765" s="20"/>
      <c r="D765" s="12"/>
      <c r="E765" s="12"/>
      <c r="AB765" t="str" cm="1">
        <f t="array" ref="AB765:AC765">_xlfn._xlws.FILTER(A765:Z765,A765:Z765&lt;&gt;"","")</f>
        <v>Exploring Psychology</v>
      </c>
      <c r="AC765">
        <v>5</v>
      </c>
      <c r="AD765" t="str">
        <v/>
      </c>
      <c r="AE765" t="str">
        <v/>
      </c>
      <c r="AF765" t="str" cm="1">
        <f t="array" ref="AF765">IF(AD765="","",SUMPRODUCT(IF(LEFT($AD$1:AD765,2)="JS",1,0)))</f>
        <v/>
      </c>
      <c r="AG765" t="str">
        <f t="shared" si="44"/>
        <v/>
      </c>
      <c r="AH765" t="str">
        <f t="shared" si="45"/>
        <v/>
      </c>
      <c r="AI765" t="str">
        <f>IF(AH765="","",MAX($AF$1:$AF765))</f>
        <v/>
      </c>
      <c r="AJ765" t="str">
        <f t="shared" si="46"/>
        <v/>
      </c>
      <c r="AK765" t="str">
        <f>IF(AJ765="","",MAX($AF$1:$AF765))</f>
        <v/>
      </c>
      <c r="AL765" t="str">
        <f t="shared" si="47"/>
        <v/>
      </c>
      <c r="AM765" t="str">
        <f>IF(AL765="","",MAX($AF$1:$AF765))</f>
        <v/>
      </c>
    </row>
    <row r="766" spans="1:39" ht="12.75" customHeight="1" x14ac:dyDescent="0.3">
      <c r="A766" s="4" t="s">
        <v>138</v>
      </c>
      <c r="B766" s="19">
        <v>5</v>
      </c>
      <c r="C766" s="20"/>
      <c r="D766" s="12"/>
      <c r="E766" s="12"/>
      <c r="AB766" t="str" cm="1">
        <f t="array" ref="AB766:AC766">_xlfn._xlws.FILTER(A766:Z766,A766:Z766&lt;&gt;"","")</f>
        <v>Fashion Image Design</v>
      </c>
      <c r="AC766">
        <v>5</v>
      </c>
      <c r="AD766" t="str">
        <v/>
      </c>
      <c r="AE766" t="str">
        <v/>
      </c>
      <c r="AF766" t="str" cm="1">
        <f t="array" ref="AF766">IF(AD766="","",SUMPRODUCT(IF(LEFT($AD$1:AD766,2)="JS",1,0)))</f>
        <v/>
      </c>
      <c r="AG766" t="str">
        <f t="shared" si="44"/>
        <v/>
      </c>
      <c r="AH766" t="str">
        <f t="shared" si="45"/>
        <v/>
      </c>
      <c r="AI766" t="str">
        <f>IF(AH766="","",MAX($AF$1:$AF766))</f>
        <v/>
      </c>
      <c r="AJ766" t="str">
        <f t="shared" si="46"/>
        <v/>
      </c>
      <c r="AK766" t="str">
        <f>IF(AJ766="","",MAX($AF$1:$AF766))</f>
        <v/>
      </c>
      <c r="AL766" t="str">
        <f t="shared" si="47"/>
        <v/>
      </c>
      <c r="AM766" t="str">
        <f>IF(AL766="","",MAX($AF$1:$AF766))</f>
        <v/>
      </c>
    </row>
    <row r="767" spans="1:39" ht="12.75" customHeight="1" x14ac:dyDescent="0.3">
      <c r="A767" s="4" t="s">
        <v>139</v>
      </c>
      <c r="B767" s="19">
        <v>5</v>
      </c>
      <c r="C767" s="20"/>
      <c r="D767" s="12"/>
      <c r="E767" s="12"/>
      <c r="AB767" t="str" cm="1">
        <f t="array" ref="AB767:AC767">_xlfn._xlws.FILTER(A767:Z767,A767:Z767&lt;&gt;"","")</f>
        <v>Film and Video</v>
      </c>
      <c r="AC767">
        <v>5</v>
      </c>
      <c r="AD767" t="str">
        <v/>
      </c>
      <c r="AE767" t="str">
        <v/>
      </c>
      <c r="AF767" t="str" cm="1">
        <f t="array" ref="AF767">IF(AD767="","",SUMPRODUCT(IF(LEFT($AD$1:AD767,2)="JS",1,0)))</f>
        <v/>
      </c>
      <c r="AG767" t="str">
        <f t="shared" si="44"/>
        <v/>
      </c>
      <c r="AH767" t="str">
        <f t="shared" si="45"/>
        <v/>
      </c>
      <c r="AI767" t="str">
        <f>IF(AH767="","",MAX($AF$1:$AF767))</f>
        <v/>
      </c>
      <c r="AJ767" t="str">
        <f t="shared" si="46"/>
        <v/>
      </c>
      <c r="AK767" t="str">
        <f>IF(AJ767="","",MAX($AF$1:$AF767))</f>
        <v/>
      </c>
      <c r="AL767" t="str">
        <f t="shared" si="47"/>
        <v/>
      </c>
      <c r="AM767" t="str">
        <f>IF(AL767="","",MAX($AF$1:$AF767))</f>
        <v/>
      </c>
    </row>
    <row r="768" spans="1:39" ht="12.75" customHeight="1" x14ac:dyDescent="0.3">
      <c r="A768" s="4" t="s">
        <v>140</v>
      </c>
      <c r="B768" s="19">
        <v>5</v>
      </c>
      <c r="C768" s="20"/>
      <c r="D768" s="12"/>
      <c r="E768" s="12"/>
      <c r="AB768" t="str" cm="1">
        <f t="array" ref="AB768:AC768">_xlfn._xlws.FILTER(A768:Z768,A768:Z768&lt;&gt;"","")</f>
        <v>Image Design</v>
      </c>
      <c r="AC768">
        <v>5</v>
      </c>
      <c r="AD768" t="str">
        <v/>
      </c>
      <c r="AE768" t="str">
        <v/>
      </c>
      <c r="AF768" t="str" cm="1">
        <f t="array" ref="AF768">IF(AD768="","",SUMPRODUCT(IF(LEFT($AD$1:AD768,2)="JS",1,0)))</f>
        <v/>
      </c>
      <c r="AG768" t="str">
        <f t="shared" si="44"/>
        <v/>
      </c>
      <c r="AH768" t="str">
        <f t="shared" si="45"/>
        <v/>
      </c>
      <c r="AI768" t="str">
        <f>IF(AH768="","",MAX($AF$1:$AF768))</f>
        <v/>
      </c>
      <c r="AJ768" t="str">
        <f t="shared" si="46"/>
        <v/>
      </c>
      <c r="AK768" t="str">
        <f>IF(AJ768="","",MAX($AF$1:$AF768))</f>
        <v/>
      </c>
      <c r="AL768" t="str">
        <f t="shared" si="47"/>
        <v/>
      </c>
      <c r="AM768" t="str">
        <f>IF(AL768="","",MAX($AF$1:$AF768))</f>
        <v/>
      </c>
    </row>
    <row r="769" spans="1:39" ht="12.75" customHeight="1" x14ac:dyDescent="0.3">
      <c r="A769" s="4" t="s">
        <v>141</v>
      </c>
      <c r="B769" s="19">
        <v>5</v>
      </c>
      <c r="C769" s="20"/>
      <c r="D769" s="12"/>
      <c r="E769" s="12"/>
      <c r="AB769" t="str" cm="1">
        <f t="array" ref="AB769:AC769">_xlfn._xlws.FILTER(A769:Z769,A769:Z769&lt;&gt;"","")</f>
        <v>Introduction to Theatre Arts</v>
      </c>
      <c r="AC769">
        <v>5</v>
      </c>
      <c r="AD769" t="str">
        <v/>
      </c>
      <c r="AE769" t="str">
        <v/>
      </c>
      <c r="AF769" t="str" cm="1">
        <f t="array" ref="AF769">IF(AD769="","",SUMPRODUCT(IF(LEFT($AD$1:AD769,2)="JS",1,0)))</f>
        <v/>
      </c>
      <c r="AG769" t="str">
        <f t="shared" ref="AG769:AG832" si="48">IF(ISNUMBER(MATCH(AB769,$AV$3:$AV$18,0)),TRUE,"")</f>
        <v/>
      </c>
      <c r="AH769" t="str">
        <f t="shared" si="45"/>
        <v/>
      </c>
      <c r="AI769" t="str">
        <f>IF(AH769="","",MAX($AF$1:$AF769))</f>
        <v/>
      </c>
      <c r="AJ769" t="str">
        <f t="shared" si="46"/>
        <v/>
      </c>
      <c r="AK769" t="str">
        <f>IF(AJ769="","",MAX($AF$1:$AF769))</f>
        <v/>
      </c>
      <c r="AL769" t="str">
        <f t="shared" si="47"/>
        <v/>
      </c>
      <c r="AM769" t="str">
        <f>IF(AL769="","",MAX($AF$1:$AF769))</f>
        <v/>
      </c>
    </row>
    <row r="770" spans="1:39" ht="12.75" customHeight="1" x14ac:dyDescent="0.3">
      <c r="A770" s="4" t="s">
        <v>142</v>
      </c>
      <c r="B770" s="19">
        <v>5</v>
      </c>
      <c r="C770" s="20"/>
      <c r="D770" s="12"/>
      <c r="E770" s="12"/>
      <c r="AB770" t="str" cm="1">
        <f t="array" ref="AB770:AC770">_xlfn._xlws.FILTER(A770:Z770,A770:Z770&lt;&gt;"","")</f>
        <v>Magazine Editing and Production</v>
      </c>
      <c r="AC770">
        <v>5</v>
      </c>
      <c r="AD770" t="str">
        <v/>
      </c>
      <c r="AE770" t="str">
        <v/>
      </c>
      <c r="AF770" t="str" cm="1">
        <f t="array" ref="AF770">IF(AD770="","",SUMPRODUCT(IF(LEFT($AD$1:AD770,2)="JS",1,0)))</f>
        <v/>
      </c>
      <c r="AG770" t="str">
        <f t="shared" si="48"/>
        <v/>
      </c>
      <c r="AH770" t="str">
        <f t="shared" ref="AH770:AH833" si="49">IF(AND(AC770=10,AG770=TRUE),AB770,"")</f>
        <v/>
      </c>
      <c r="AI770" t="str">
        <f>IF(AH770="","",MAX($AF$1:$AF770))</f>
        <v/>
      </c>
      <c r="AJ770" t="str">
        <f t="shared" ref="AJ770:AJ833" si="50">IF(AND(AC770=7,AG770=TRUE),AB770,"")</f>
        <v/>
      </c>
      <c r="AK770" t="str">
        <f>IF(AJ770="","",MAX($AF$1:$AF770))</f>
        <v/>
      </c>
      <c r="AL770" t="str">
        <f t="shared" ref="AL770:AL833" si="51">IF(AND(AC770=5,AG770=TRUE),AB770,"")</f>
        <v/>
      </c>
      <c r="AM770" t="str">
        <f>IF(AL770="","",MAX($AF$1:$AF770))</f>
        <v/>
      </c>
    </row>
    <row r="771" spans="1:39" ht="12.75" customHeight="1" x14ac:dyDescent="0.3">
      <c r="A771" s="4" t="s">
        <v>143</v>
      </c>
      <c r="B771" s="19">
        <v>5</v>
      </c>
      <c r="C771" s="20"/>
      <c r="D771" s="12"/>
      <c r="E771" s="12"/>
      <c r="AB771" t="str" cm="1">
        <f t="array" ref="AB771:AC771">_xlfn._xlws.FILTER(A771:Z771,A771:Z771&lt;&gt;"","")</f>
        <v>Marketing in Global Trade</v>
      </c>
      <c r="AC771">
        <v>5</v>
      </c>
      <c r="AD771" t="str">
        <v/>
      </c>
      <c r="AE771" t="str">
        <v/>
      </c>
      <c r="AF771" t="str" cm="1">
        <f t="array" ref="AF771">IF(AD771="","",SUMPRODUCT(IF(LEFT($AD$1:AD771,2)="JS",1,0)))</f>
        <v/>
      </c>
      <c r="AG771" t="str">
        <f t="shared" si="48"/>
        <v/>
      </c>
      <c r="AH771" t="str">
        <f t="shared" si="49"/>
        <v/>
      </c>
      <c r="AI771" t="str">
        <f>IF(AH771="","",MAX($AF$1:$AF771))</f>
        <v/>
      </c>
      <c r="AJ771" t="str">
        <f t="shared" si="50"/>
        <v/>
      </c>
      <c r="AK771" t="str">
        <f>IF(AJ771="","",MAX($AF$1:$AF771))</f>
        <v/>
      </c>
      <c r="AL771" t="str">
        <f t="shared" si="51"/>
        <v/>
      </c>
      <c r="AM771" t="str">
        <f>IF(AL771="","",MAX($AF$1:$AF771))</f>
        <v/>
      </c>
    </row>
    <row r="772" spans="1:39" ht="12.75" customHeight="1" x14ac:dyDescent="0.3">
      <c r="A772" s="4" t="s">
        <v>144</v>
      </c>
      <c r="B772" s="19">
        <v>5</v>
      </c>
      <c r="C772" s="20"/>
      <c r="D772" s="12"/>
      <c r="E772" s="12"/>
      <c r="AB772" t="str" cm="1">
        <f t="array" ref="AB772:AC772">_xlfn._xlws.FILTER(A772:Z772,A772:Z772&lt;&gt;"","")</f>
        <v>Multimedia Entertainment Studies</v>
      </c>
      <c r="AC772">
        <v>5</v>
      </c>
      <c r="AD772" t="str">
        <v/>
      </c>
      <c r="AE772" t="str">
        <v/>
      </c>
      <c r="AF772" t="str" cm="1">
        <f t="array" ref="AF772">IF(AD772="","",SUMPRODUCT(IF(LEFT($AD$1:AD772,2)="JS",1,0)))</f>
        <v/>
      </c>
      <c r="AG772" t="str">
        <f t="shared" si="48"/>
        <v/>
      </c>
      <c r="AH772" t="str">
        <f t="shared" si="49"/>
        <v/>
      </c>
      <c r="AI772" t="str">
        <f>IF(AH772="","",MAX($AF$1:$AF772))</f>
        <v/>
      </c>
      <c r="AJ772" t="str">
        <f t="shared" si="50"/>
        <v/>
      </c>
      <c r="AK772" t="str">
        <f>IF(AJ772="","",MAX($AF$1:$AF772))</f>
        <v/>
      </c>
      <c r="AL772" t="str">
        <f t="shared" si="51"/>
        <v/>
      </c>
      <c r="AM772" t="str">
        <f>IF(AL772="","",MAX($AF$1:$AF772))</f>
        <v/>
      </c>
    </row>
    <row r="773" spans="1:39" ht="12.75" customHeight="1" x14ac:dyDescent="0.3">
      <c r="A773" s="4" t="s">
        <v>145</v>
      </c>
      <c r="B773" s="19">
        <v>5</v>
      </c>
      <c r="C773" s="20"/>
      <c r="D773" s="12"/>
      <c r="E773" s="12"/>
      <c r="AB773" t="str" cm="1">
        <f t="array" ref="AB773:AC773">_xlfn._xlws.FILTER(A773:Z773,A773:Z773&lt;&gt;"","")</f>
        <v>New Media Communication Strategies</v>
      </c>
      <c r="AC773">
        <v>5</v>
      </c>
      <c r="AD773" t="str">
        <v/>
      </c>
      <c r="AE773" t="str">
        <v/>
      </c>
      <c r="AF773" t="str" cm="1">
        <f t="array" ref="AF773">IF(AD773="","",SUMPRODUCT(IF(LEFT($AD$1:AD773,2)="JS",1,0)))</f>
        <v/>
      </c>
      <c r="AG773" t="str">
        <f t="shared" si="48"/>
        <v/>
      </c>
      <c r="AH773" t="str">
        <f t="shared" si="49"/>
        <v/>
      </c>
      <c r="AI773" t="str">
        <f>IF(AH773="","",MAX($AF$1:$AF773))</f>
        <v/>
      </c>
      <c r="AJ773" t="str">
        <f t="shared" si="50"/>
        <v/>
      </c>
      <c r="AK773" t="str">
        <f>IF(AJ773="","",MAX($AF$1:$AF773))</f>
        <v/>
      </c>
      <c r="AL773" t="str">
        <f t="shared" si="51"/>
        <v/>
      </c>
      <c r="AM773" t="str">
        <f>IF(AL773="","",MAX($AF$1:$AF773))</f>
        <v/>
      </c>
    </row>
    <row r="774" spans="1:39" ht="12.75" customHeight="1" x14ac:dyDescent="0.3">
      <c r="A774" s="4" t="s">
        <v>146</v>
      </c>
      <c r="B774" s="19">
        <v>5</v>
      </c>
      <c r="C774" s="20"/>
      <c r="D774" s="12"/>
      <c r="E774" s="12"/>
      <c r="AB774" t="str" cm="1">
        <f t="array" ref="AB774:AC774">_xlfn._xlws.FILTER(A774:Z774,A774:Z774&lt;&gt;"","")</f>
        <v>Practical Psychology</v>
      </c>
      <c r="AC774">
        <v>5</v>
      </c>
      <c r="AD774" t="str">
        <v/>
      </c>
      <c r="AE774" t="str">
        <v/>
      </c>
      <c r="AF774" t="str" cm="1">
        <f t="array" ref="AF774">IF(AD774="","",SUMPRODUCT(IF(LEFT($AD$1:AD774,2)="JS",1,0)))</f>
        <v/>
      </c>
      <c r="AG774" t="str">
        <f t="shared" si="48"/>
        <v/>
      </c>
      <c r="AH774" t="str">
        <f t="shared" si="49"/>
        <v/>
      </c>
      <c r="AI774" t="str">
        <f>IF(AH774="","",MAX($AF$1:$AF774))</f>
        <v/>
      </c>
      <c r="AJ774" t="str">
        <f t="shared" si="50"/>
        <v/>
      </c>
      <c r="AK774" t="str">
        <f>IF(AJ774="","",MAX($AF$1:$AF774))</f>
        <v/>
      </c>
      <c r="AL774" t="str">
        <f t="shared" si="51"/>
        <v/>
      </c>
      <c r="AM774" t="str">
        <f>IF(AL774="","",MAX($AF$1:$AF774))</f>
        <v/>
      </c>
    </row>
    <row r="775" spans="1:39" ht="12.75" customHeight="1" x14ac:dyDescent="0.3">
      <c r="A775" s="4" t="s">
        <v>147</v>
      </c>
      <c r="B775" s="19">
        <v>5</v>
      </c>
      <c r="C775" s="20"/>
      <c r="D775" s="12"/>
      <c r="E775" s="12"/>
      <c r="AB775" t="str" cm="1">
        <f t="array" ref="AB775:AC775">_xlfn._xlws.FILTER(A775:Z775,A775:Z775&lt;&gt;"","")</f>
        <v>Public Relations and Advertising</v>
      </c>
      <c r="AC775">
        <v>5</v>
      </c>
      <c r="AD775" t="str">
        <v/>
      </c>
      <c r="AE775" t="str">
        <v/>
      </c>
      <c r="AF775" t="str" cm="1">
        <f t="array" ref="AF775">IF(AD775="","",SUMPRODUCT(IF(LEFT($AD$1:AD775,2)="JS",1,0)))</f>
        <v/>
      </c>
      <c r="AG775" t="str">
        <f t="shared" si="48"/>
        <v/>
      </c>
      <c r="AH775" t="str">
        <f t="shared" si="49"/>
        <v/>
      </c>
      <c r="AI775" t="str">
        <f>IF(AH775="","",MAX($AF$1:$AF775))</f>
        <v/>
      </c>
      <c r="AJ775" t="str">
        <f t="shared" si="50"/>
        <v/>
      </c>
      <c r="AK775" t="str">
        <f>IF(AJ775="","",MAX($AF$1:$AF775))</f>
        <v/>
      </c>
      <c r="AL775" t="str">
        <f t="shared" si="51"/>
        <v/>
      </c>
      <c r="AM775" t="str">
        <f>IF(AL775="","",MAX($AF$1:$AF775))</f>
        <v/>
      </c>
    </row>
    <row r="776" spans="1:39" ht="12.75" customHeight="1" x14ac:dyDescent="0.3">
      <c r="A776" s="4" t="s">
        <v>148</v>
      </c>
      <c r="B776" s="19">
        <v>5</v>
      </c>
      <c r="C776" s="20"/>
      <c r="D776" s="12"/>
      <c r="E776" s="12"/>
      <c r="AB776" t="str" cm="1">
        <f t="array" ref="AB776:AC776">_xlfn._xlws.FILTER(A776:Z776,A776:Z776&lt;&gt;"","")</f>
        <v>Radio Host and Programme Production</v>
      </c>
      <c r="AC776">
        <v>5</v>
      </c>
      <c r="AD776" t="str">
        <v/>
      </c>
      <c r="AE776" t="str">
        <v/>
      </c>
      <c r="AF776" t="str" cm="1">
        <f t="array" ref="AF776">IF(AD776="","",SUMPRODUCT(IF(LEFT($AD$1:AD776,2)="JS",1,0)))</f>
        <v/>
      </c>
      <c r="AG776" t="str">
        <f t="shared" si="48"/>
        <v/>
      </c>
      <c r="AH776" t="str">
        <f t="shared" si="49"/>
        <v/>
      </c>
      <c r="AI776" t="str">
        <f>IF(AH776="","",MAX($AF$1:$AF776))</f>
        <v/>
      </c>
      <c r="AJ776" t="str">
        <f t="shared" si="50"/>
        <v/>
      </c>
      <c r="AK776" t="str">
        <f>IF(AJ776="","",MAX($AF$1:$AF776))</f>
        <v/>
      </c>
      <c r="AL776" t="str">
        <f t="shared" si="51"/>
        <v/>
      </c>
      <c r="AM776" t="str">
        <f>IF(AL776="","",MAX($AF$1:$AF776))</f>
        <v/>
      </c>
    </row>
    <row r="777" spans="1:39" ht="12.75" customHeight="1" x14ac:dyDescent="0.3">
      <c r="A777" s="4" t="s">
        <v>149</v>
      </c>
      <c r="B777" s="19">
        <v>5</v>
      </c>
      <c r="C777" s="20"/>
      <c r="D777" s="12"/>
      <c r="E777" s="12"/>
      <c r="AB777" t="str" cm="1">
        <f t="array" ref="AB777:AC777">_xlfn._xlws.FILTER(A777:Z777,A777:Z777&lt;&gt;"","")</f>
        <v>Western Cuisine</v>
      </c>
      <c r="AC777">
        <v>5</v>
      </c>
      <c r="AD777" t="str">
        <v/>
      </c>
      <c r="AE777" t="str">
        <v/>
      </c>
      <c r="AF777" t="str" cm="1">
        <f t="array" ref="AF777">IF(AD777="","",SUMPRODUCT(IF(LEFT($AD$1:AD777,2)="JS",1,0)))</f>
        <v/>
      </c>
      <c r="AG777" t="str">
        <f t="shared" si="48"/>
        <v/>
      </c>
      <c r="AH777" t="str">
        <f t="shared" si="49"/>
        <v/>
      </c>
      <c r="AI777" t="str">
        <f>IF(AH777="","",MAX($AF$1:$AF777))</f>
        <v/>
      </c>
      <c r="AJ777" t="str">
        <f t="shared" si="50"/>
        <v/>
      </c>
      <c r="AK777" t="str">
        <f>IF(AJ777="","",MAX($AF$1:$AF777))</f>
        <v/>
      </c>
      <c r="AL777" t="str">
        <f t="shared" si="51"/>
        <v/>
      </c>
      <c r="AM777" t="str">
        <f>IF(AL777="","",MAX($AF$1:$AF777))</f>
        <v/>
      </c>
    </row>
    <row r="778" spans="1:39" ht="24.75" customHeight="1" x14ac:dyDescent="0.3">
      <c r="A778" s="22" t="s">
        <v>150</v>
      </c>
      <c r="B778" s="22"/>
      <c r="C778" s="22"/>
      <c r="D778" s="23"/>
      <c r="E778" s="23"/>
      <c r="AB778" t="str" cm="1">
        <f t="array" ref="AB778">_xlfn._xlws.FILTER(A778:Z778,A778:Z778&lt;&gt;"","")</f>
        <v>Category C: Other Language Subjects</v>
      </c>
      <c r="AD778" t="str">
        <v/>
      </c>
      <c r="AE778" t="str">
        <v/>
      </c>
      <c r="AF778" t="str" cm="1">
        <f t="array" ref="AF778">IF(AD778="","",SUMPRODUCT(IF(LEFT($AD$1:AD778,2)="JS",1,0)))</f>
        <v/>
      </c>
      <c r="AG778" t="str">
        <f t="shared" si="48"/>
        <v/>
      </c>
      <c r="AH778" t="str">
        <f t="shared" si="49"/>
        <v/>
      </c>
      <c r="AI778" t="str">
        <f>IF(AH778="","",MAX($AF$1:$AF778))</f>
        <v/>
      </c>
      <c r="AJ778" t="str">
        <f t="shared" si="50"/>
        <v/>
      </c>
      <c r="AK778" t="str">
        <f>IF(AJ778="","",MAX($AF$1:$AF778))</f>
        <v/>
      </c>
      <c r="AL778" t="str">
        <f t="shared" si="51"/>
        <v/>
      </c>
      <c r="AM778" t="str">
        <f>IF(AL778="","",MAX($AF$1:$AF778))</f>
        <v/>
      </c>
    </row>
    <row r="779" spans="1:39" ht="12.75" customHeight="1" x14ac:dyDescent="0.3">
      <c r="A779" s="3" t="s">
        <v>114</v>
      </c>
      <c r="B779" s="24" t="s">
        <v>115</v>
      </c>
      <c r="C779" s="25"/>
      <c r="D779" s="12"/>
      <c r="E779" s="12"/>
      <c r="AB779" t="str" cm="1">
        <f t="array" ref="AB779:AC779">_xlfn._xlws.FILTER(A779:Z779,A779:Z779&lt;&gt;"","")</f>
        <v>Subject Name</v>
      </c>
      <c r="AC779" t="str">
        <v>Subject Weighting for 2023/24 Admission Exercise *</v>
      </c>
      <c r="AD779" t="str">
        <v/>
      </c>
      <c r="AE779" t="str">
        <v/>
      </c>
      <c r="AF779" t="str" cm="1">
        <f t="array" ref="AF779">IF(AD779="","",SUMPRODUCT(IF(LEFT($AD$1:AD779,2)="JS",1,0)))</f>
        <v/>
      </c>
      <c r="AG779" t="str">
        <f t="shared" si="48"/>
        <v/>
      </c>
      <c r="AH779" t="str">
        <f t="shared" si="49"/>
        <v/>
      </c>
      <c r="AI779" t="str">
        <f>IF(AH779="","",MAX($AF$1:$AF779))</f>
        <v/>
      </c>
      <c r="AJ779" t="str">
        <f t="shared" si="50"/>
        <v/>
      </c>
      <c r="AK779" t="str">
        <f>IF(AJ779="","",MAX($AF$1:$AF779))</f>
        <v/>
      </c>
      <c r="AL779" t="str">
        <f t="shared" si="51"/>
        <v/>
      </c>
      <c r="AM779" t="str">
        <f>IF(AL779="","",MAX($AF$1:$AF779))</f>
        <v/>
      </c>
    </row>
    <row r="780" spans="1:39" ht="12.75" customHeight="1" x14ac:dyDescent="0.3">
      <c r="A780" s="4" t="s">
        <v>151</v>
      </c>
      <c r="B780" s="19">
        <v>7</v>
      </c>
      <c r="C780" s="20"/>
      <c r="D780" s="12"/>
      <c r="E780" s="12"/>
      <c r="AB780" t="str" cm="1">
        <f t="array" ref="AB780:AC780">_xlfn._xlws.FILTER(A780:Z780,A780:Z780&lt;&gt;"","")</f>
        <v>French</v>
      </c>
      <c r="AC780">
        <v>7</v>
      </c>
      <c r="AD780" t="str">
        <v/>
      </c>
      <c r="AE780" t="str">
        <v/>
      </c>
      <c r="AF780" t="str" cm="1">
        <f t="array" ref="AF780">IF(AD780="","",SUMPRODUCT(IF(LEFT($AD$1:AD780,2)="JS",1,0)))</f>
        <v/>
      </c>
      <c r="AG780" t="str">
        <f t="shared" si="48"/>
        <v/>
      </c>
      <c r="AH780" t="str">
        <f t="shared" si="49"/>
        <v/>
      </c>
      <c r="AI780" t="str">
        <f>IF(AH780="","",MAX($AF$1:$AF780))</f>
        <v/>
      </c>
      <c r="AJ780" t="str">
        <f t="shared" si="50"/>
        <v/>
      </c>
      <c r="AK780" t="str">
        <f>IF(AJ780="","",MAX($AF$1:$AF780))</f>
        <v/>
      </c>
      <c r="AL780" t="str">
        <f t="shared" si="51"/>
        <v/>
      </c>
      <c r="AM780" t="str">
        <f>IF(AL780="","",MAX($AF$1:$AF780))</f>
        <v/>
      </c>
    </row>
    <row r="781" spans="1:39" ht="12.75" customHeight="1" x14ac:dyDescent="0.3">
      <c r="A781" s="4" t="s">
        <v>152</v>
      </c>
      <c r="B781" s="19">
        <v>7</v>
      </c>
      <c r="C781" s="20"/>
      <c r="D781" s="12"/>
      <c r="E781" s="12"/>
      <c r="AB781" t="str" cm="1">
        <f t="array" ref="AB781:AC781">_xlfn._xlws.FILTER(A781:Z781,A781:Z781&lt;&gt;"","")</f>
        <v>German</v>
      </c>
      <c r="AC781">
        <v>7</v>
      </c>
      <c r="AD781" t="str">
        <v/>
      </c>
      <c r="AE781" t="str">
        <v/>
      </c>
      <c r="AF781" t="str" cm="1">
        <f t="array" ref="AF781">IF(AD781="","",SUMPRODUCT(IF(LEFT($AD$1:AD781,2)="JS",1,0)))</f>
        <v/>
      </c>
      <c r="AG781" t="str">
        <f t="shared" si="48"/>
        <v/>
      </c>
      <c r="AH781" t="str">
        <f t="shared" si="49"/>
        <v/>
      </c>
      <c r="AI781" t="str">
        <f>IF(AH781="","",MAX($AF$1:$AF781))</f>
        <v/>
      </c>
      <c r="AJ781" t="str">
        <f t="shared" si="50"/>
        <v/>
      </c>
      <c r="AK781" t="str">
        <f>IF(AJ781="","",MAX($AF$1:$AF781))</f>
        <v/>
      </c>
      <c r="AL781" t="str">
        <f t="shared" si="51"/>
        <v/>
      </c>
      <c r="AM781" t="str">
        <f>IF(AL781="","",MAX($AF$1:$AF781))</f>
        <v/>
      </c>
    </row>
    <row r="782" spans="1:39" ht="12.75" customHeight="1" x14ac:dyDescent="0.3">
      <c r="A782" s="4" t="s">
        <v>153</v>
      </c>
      <c r="B782" s="19">
        <v>7</v>
      </c>
      <c r="C782" s="20"/>
      <c r="D782" s="12"/>
      <c r="E782" s="12"/>
      <c r="AB782" t="str" cm="1">
        <f t="array" ref="AB782:AC782">_xlfn._xlws.FILTER(A782:Z782,A782:Z782&lt;&gt;"","")</f>
        <v>Hindi</v>
      </c>
      <c r="AC782">
        <v>7</v>
      </c>
      <c r="AD782" t="str">
        <v/>
      </c>
      <c r="AE782" t="str">
        <v/>
      </c>
      <c r="AF782" t="str" cm="1">
        <f t="array" ref="AF782">IF(AD782="","",SUMPRODUCT(IF(LEFT($AD$1:AD782,2)="JS",1,0)))</f>
        <v/>
      </c>
      <c r="AG782" t="str">
        <f t="shared" si="48"/>
        <v/>
      </c>
      <c r="AH782" t="str">
        <f t="shared" si="49"/>
        <v/>
      </c>
      <c r="AI782" t="str">
        <f>IF(AH782="","",MAX($AF$1:$AF782))</f>
        <v/>
      </c>
      <c r="AJ782" t="str">
        <f t="shared" si="50"/>
        <v/>
      </c>
      <c r="AK782" t="str">
        <f>IF(AJ782="","",MAX($AF$1:$AF782))</f>
        <v/>
      </c>
      <c r="AL782" t="str">
        <f t="shared" si="51"/>
        <v/>
      </c>
      <c r="AM782" t="str">
        <f>IF(AL782="","",MAX($AF$1:$AF782))</f>
        <v/>
      </c>
    </row>
    <row r="783" spans="1:39" ht="12.75" customHeight="1" x14ac:dyDescent="0.3">
      <c r="A783" s="4" t="s">
        <v>154</v>
      </c>
      <c r="B783" s="19">
        <v>7</v>
      </c>
      <c r="C783" s="20"/>
      <c r="D783" s="12"/>
      <c r="E783" s="12"/>
      <c r="AB783" t="str" cm="1">
        <f t="array" ref="AB783:AC783">_xlfn._xlws.FILTER(A783:Z783,A783:Z783&lt;&gt;"","")</f>
        <v>Japanese</v>
      </c>
      <c r="AC783">
        <v>7</v>
      </c>
      <c r="AD783" t="str">
        <v/>
      </c>
      <c r="AE783" t="str">
        <v/>
      </c>
      <c r="AF783" t="str" cm="1">
        <f t="array" ref="AF783">IF(AD783="","",SUMPRODUCT(IF(LEFT($AD$1:AD783,2)="JS",1,0)))</f>
        <v/>
      </c>
      <c r="AG783" t="str">
        <f t="shared" si="48"/>
        <v/>
      </c>
      <c r="AH783" t="str">
        <f t="shared" si="49"/>
        <v/>
      </c>
      <c r="AI783" t="str">
        <f>IF(AH783="","",MAX($AF$1:$AF783))</f>
        <v/>
      </c>
      <c r="AJ783" t="str">
        <f t="shared" si="50"/>
        <v/>
      </c>
      <c r="AK783" t="str">
        <f>IF(AJ783="","",MAX($AF$1:$AF783))</f>
        <v/>
      </c>
      <c r="AL783" t="str">
        <f t="shared" si="51"/>
        <v/>
      </c>
      <c r="AM783" t="str">
        <f>IF(AL783="","",MAX($AF$1:$AF783))</f>
        <v/>
      </c>
    </row>
    <row r="784" spans="1:39" ht="12.75" customHeight="1" x14ac:dyDescent="0.3">
      <c r="A784" s="4" t="s">
        <v>155</v>
      </c>
      <c r="B784" s="19">
        <v>7</v>
      </c>
      <c r="C784" s="20"/>
      <c r="D784" s="12"/>
      <c r="E784" s="12"/>
      <c r="AB784" t="str" cm="1">
        <f t="array" ref="AB784:AC784">_xlfn._xlws.FILTER(A784:Z784,A784:Z784&lt;&gt;"","")</f>
        <v>Spanish</v>
      </c>
      <c r="AC784">
        <v>7</v>
      </c>
      <c r="AD784" t="str">
        <v/>
      </c>
      <c r="AE784" t="str">
        <v/>
      </c>
      <c r="AF784" t="str" cm="1">
        <f t="array" ref="AF784">IF(AD784="","",SUMPRODUCT(IF(LEFT($AD$1:AD784,2)="JS",1,0)))</f>
        <v/>
      </c>
      <c r="AG784" t="str">
        <f t="shared" si="48"/>
        <v/>
      </c>
      <c r="AH784" t="str">
        <f t="shared" si="49"/>
        <v/>
      </c>
      <c r="AI784" t="str">
        <f>IF(AH784="","",MAX($AF$1:$AF784))</f>
        <v/>
      </c>
      <c r="AJ784" t="str">
        <f t="shared" si="50"/>
        <v/>
      </c>
      <c r="AK784" t="str">
        <f>IF(AJ784="","",MAX($AF$1:$AF784))</f>
        <v/>
      </c>
      <c r="AL784" t="str">
        <f t="shared" si="51"/>
        <v/>
      </c>
      <c r="AM784" t="str">
        <f>IF(AL784="","",MAX($AF$1:$AF784))</f>
        <v/>
      </c>
    </row>
    <row r="785" spans="1:39" ht="12.75" customHeight="1" x14ac:dyDescent="0.3">
      <c r="A785" s="4" t="s">
        <v>156</v>
      </c>
      <c r="B785" s="19">
        <v>7</v>
      </c>
      <c r="C785" s="20"/>
      <c r="D785" s="12"/>
      <c r="E785" s="12"/>
      <c r="AB785" t="str" cm="1">
        <f t="array" ref="AB785:AC785">_xlfn._xlws.FILTER(A785:Z785,A785:Z785&lt;&gt;"","")</f>
        <v>Urdu</v>
      </c>
      <c r="AC785">
        <v>7</v>
      </c>
      <c r="AD785" t="str">
        <v/>
      </c>
      <c r="AE785" t="str">
        <v/>
      </c>
      <c r="AF785" t="str" cm="1">
        <f t="array" ref="AF785">IF(AD785="","",SUMPRODUCT(IF(LEFT($AD$1:AD785,2)="JS",1,0)))</f>
        <v/>
      </c>
      <c r="AG785" t="str">
        <f t="shared" si="48"/>
        <v/>
      </c>
      <c r="AH785" t="str">
        <f t="shared" si="49"/>
        <v/>
      </c>
      <c r="AI785" t="str">
        <f>IF(AH785="","",MAX($AF$1:$AF785))</f>
        <v/>
      </c>
      <c r="AJ785" t="str">
        <f t="shared" si="50"/>
        <v/>
      </c>
      <c r="AK785" t="str">
        <f>IF(AJ785="","",MAX($AF$1:$AF785))</f>
        <v/>
      </c>
      <c r="AL785" t="str">
        <f t="shared" si="51"/>
        <v/>
      </c>
      <c r="AM785" t="str">
        <f>IF(AL785="","",MAX($AF$1:$AF785))</f>
        <v/>
      </c>
    </row>
    <row r="786" spans="1:39" ht="24.75" customHeight="1" x14ac:dyDescent="0.3">
      <c r="A786" s="21" t="s">
        <v>157</v>
      </c>
      <c r="B786" s="21"/>
      <c r="C786" s="21"/>
      <c r="D786" s="21"/>
      <c r="E786" s="21"/>
      <c r="AB786" t="str" cm="1">
        <f t="array" ref="AB786">_xlfn._xlws.FILTER(A786:Z786,A786:Z786&lt;&gt;"","")</f>
        <v>* Subject Weighting may be adjusted in the next admissions exercise</v>
      </c>
      <c r="AD786" t="str">
        <v/>
      </c>
      <c r="AE786" t="str">
        <v/>
      </c>
      <c r="AF786" t="str" cm="1">
        <f t="array" ref="AF786">IF(AD786="","",SUMPRODUCT(IF(LEFT($AD$1:AD786,2)="JS",1,0)))</f>
        <v/>
      </c>
      <c r="AG786" t="str">
        <f t="shared" si="48"/>
        <v/>
      </c>
      <c r="AH786" t="str">
        <f t="shared" si="49"/>
        <v/>
      </c>
      <c r="AI786" t="str">
        <f>IF(AH786="","",MAX($AF$1:$AF786))</f>
        <v/>
      </c>
      <c r="AJ786" t="str">
        <f t="shared" si="50"/>
        <v/>
      </c>
      <c r="AK786" t="str">
        <f>IF(AJ786="","",MAX($AF$1:$AF786))</f>
        <v/>
      </c>
      <c r="AL786" t="str">
        <f t="shared" si="51"/>
        <v/>
      </c>
      <c r="AM786" t="str">
        <f>IF(AL786="","",MAX($AF$1:$AF786))</f>
        <v/>
      </c>
    </row>
    <row r="787" spans="1:39" ht="15" customHeight="1" x14ac:dyDescent="0.3">
      <c r="A787" s="18" t="s">
        <v>158</v>
      </c>
      <c r="B787" s="18"/>
      <c r="C787" s="18"/>
      <c r="D787" s="1"/>
      <c r="E787" s="1"/>
      <c r="AB787" t="str" cm="1">
        <f t="array" ref="AB787">_xlfn._xlws.FILTER(A787:Z787,A787:Z787&lt;&gt;"","")</f>
        <v>JUPAS Code: JS3250</v>
      </c>
      <c r="AD787" t="str">
        <v>JS3250</v>
      </c>
      <c r="AE787" t="str">
        <v/>
      </c>
      <c r="AF787" cm="1">
        <f t="array" ref="AF787">IF(AD787="","",SUMPRODUCT(IF(LEFT($AD$1:AD787,2)="JS",1,0)))</f>
        <v>16</v>
      </c>
      <c r="AG787" t="str">
        <f t="shared" si="48"/>
        <v/>
      </c>
      <c r="AH787" t="str">
        <f t="shared" si="49"/>
        <v/>
      </c>
      <c r="AI787" t="str">
        <f>IF(AH787="","",MAX($AF$1:$AF787))</f>
        <v/>
      </c>
      <c r="AJ787" t="str">
        <f t="shared" si="50"/>
        <v/>
      </c>
      <c r="AK787" t="str">
        <f>IF(AJ787="","",MAX($AF$1:$AF787))</f>
        <v/>
      </c>
      <c r="AL787" t="str">
        <f t="shared" si="51"/>
        <v/>
      </c>
      <c r="AM787" t="str">
        <f>IF(AL787="","",MAX($AF$1:$AF787))</f>
        <v/>
      </c>
    </row>
    <row r="788" spans="1:39" ht="24" customHeight="1" x14ac:dyDescent="0.3">
      <c r="A788" s="18" t="s">
        <v>159</v>
      </c>
      <c r="B788" s="18"/>
      <c r="C788" s="18"/>
      <c r="D788" s="1"/>
      <c r="E788" s="1"/>
      <c r="AB788" t="str" cm="1">
        <f t="array" ref="AB788">_xlfn._xlws.FILTER(A788:Z788,A788:Z788&lt;&gt;"","")</f>
        <v>Programme Title: BA (Hons) Scheme in Applied Social Sciences</v>
      </c>
      <c r="AD788" t="str">
        <v/>
      </c>
      <c r="AE788" t="str">
        <v>BA (Hons) Scheme in Applied Social Sciences</v>
      </c>
      <c r="AF788" t="str" cm="1">
        <f t="array" ref="AF788">IF(AD788="","",SUMPRODUCT(IF(LEFT($AD$1:AD788,2)="JS",1,0)))</f>
        <v/>
      </c>
      <c r="AG788" t="str">
        <f t="shared" si="48"/>
        <v/>
      </c>
      <c r="AH788" t="str">
        <f t="shared" si="49"/>
        <v/>
      </c>
      <c r="AI788" t="str">
        <f>IF(AH788="","",MAX($AF$1:$AF788))</f>
        <v/>
      </c>
      <c r="AJ788" t="str">
        <f t="shared" si="50"/>
        <v/>
      </c>
      <c r="AK788" t="str">
        <f>IF(AJ788="","",MAX($AF$1:$AF788))</f>
        <v/>
      </c>
      <c r="AL788" t="str">
        <f t="shared" si="51"/>
        <v/>
      </c>
      <c r="AM788" t="str">
        <f>IF(AL788="","",MAX($AF$1:$AF788))</f>
        <v/>
      </c>
    </row>
    <row r="789" spans="1:39" ht="13.5" customHeight="1" x14ac:dyDescent="0.3">
      <c r="A789" s="13" t="s">
        <v>2</v>
      </c>
      <c r="B789" s="13"/>
      <c r="C789" s="13"/>
      <c r="D789" s="13"/>
      <c r="E789" s="1"/>
      <c r="AB789" t="str" cm="1">
        <f t="array" ref="AB789">_xlfn._xlws.FILTER(A789:Z789,A789:Z789&lt;&gt;"","")</f>
        <v>Category A: Core and Elective Subjects</v>
      </c>
      <c r="AD789" t="str">
        <v/>
      </c>
      <c r="AE789" t="str">
        <v/>
      </c>
      <c r="AF789" t="str" cm="1">
        <f t="array" ref="AF789">IF(AD789="","",SUMPRODUCT(IF(LEFT($AD$1:AD789,2)="JS",1,0)))</f>
        <v/>
      </c>
      <c r="AG789" t="str">
        <f t="shared" si="48"/>
        <v/>
      </c>
      <c r="AH789" t="str">
        <f t="shared" si="49"/>
        <v/>
      </c>
      <c r="AI789" t="str">
        <f>IF(AH789="","",MAX($AF$1:$AF789))</f>
        <v/>
      </c>
      <c r="AJ789" t="str">
        <f t="shared" si="50"/>
        <v/>
      </c>
      <c r="AK789" t="str">
        <f>IF(AJ789="","",MAX($AF$1:$AF789))</f>
        <v/>
      </c>
      <c r="AL789" t="str">
        <f t="shared" si="51"/>
        <v/>
      </c>
      <c r="AM789" t="str">
        <f>IF(AL789="","",MAX($AF$1:$AF789))</f>
        <v/>
      </c>
    </row>
    <row r="790" spans="1:39" ht="13.5" customHeight="1" x14ac:dyDescent="0.3">
      <c r="A790" s="14" t="s">
        <v>3</v>
      </c>
      <c r="B790" s="15"/>
      <c r="C790" s="16" t="s">
        <v>4</v>
      </c>
      <c r="D790" s="17"/>
      <c r="E790" s="2"/>
      <c r="AB790" t="str" cm="1">
        <f t="array" ref="AB790:AC790">_xlfn._xlws.FILTER(A790:Z790,A790:Z790&lt;&gt;"","")</f>
        <v>Subject Name</v>
      </c>
      <c r="AC790" t="str">
        <v>Subject Weighting for 2023/24 Admission Exercise *</v>
      </c>
      <c r="AD790" t="str">
        <v/>
      </c>
      <c r="AE790" t="str">
        <v/>
      </c>
      <c r="AF790" t="str" cm="1">
        <f t="array" ref="AF790">IF(AD790="","",SUMPRODUCT(IF(LEFT($AD$1:AD790,2)="JS",1,0)))</f>
        <v/>
      </c>
      <c r="AG790" t="str">
        <f t="shared" si="48"/>
        <v/>
      </c>
      <c r="AH790" t="str">
        <f t="shared" si="49"/>
        <v/>
      </c>
      <c r="AI790" t="str">
        <f>IF(AH790="","",MAX($AF$1:$AF790))</f>
        <v/>
      </c>
      <c r="AJ790" t="str">
        <f t="shared" si="50"/>
        <v/>
      </c>
      <c r="AK790" t="str">
        <f>IF(AJ790="","",MAX($AF$1:$AF790))</f>
        <v/>
      </c>
      <c r="AL790" t="str">
        <f t="shared" si="51"/>
        <v/>
      </c>
      <c r="AM790" t="str">
        <f>IF(AL790="","",MAX($AF$1:$AF790))</f>
        <v/>
      </c>
    </row>
    <row r="791" spans="1:39" ht="13.5" customHeight="1" x14ac:dyDescent="0.3">
      <c r="A791" s="8" t="s">
        <v>211</v>
      </c>
      <c r="B791" s="9"/>
      <c r="C791" s="10">
        <v>7</v>
      </c>
      <c r="D791" s="11"/>
      <c r="E791" s="2"/>
      <c r="AB791" t="str" cm="1">
        <f t="array" ref="AB791:AC791">_xlfn._xlws.FILTER(A791:Z791,A791:Z791&lt;&gt;"","")</f>
        <v>BIO</v>
      </c>
      <c r="AC791">
        <v>7</v>
      </c>
      <c r="AD791" t="str">
        <v/>
      </c>
      <c r="AE791" t="str">
        <v/>
      </c>
      <c r="AF791" t="str" cm="1">
        <f t="array" ref="AF791">IF(AD791="","",SUMPRODUCT(IF(LEFT($AD$1:AD791,2)="JS",1,0)))</f>
        <v/>
      </c>
      <c r="AG791" t="b">
        <f t="shared" si="48"/>
        <v>1</v>
      </c>
      <c r="AH791" t="str">
        <f t="shared" si="49"/>
        <v/>
      </c>
      <c r="AI791" t="str">
        <f>IF(AH791="","",MAX($AF$1:$AF791))</f>
        <v/>
      </c>
      <c r="AJ791" t="str">
        <f t="shared" si="50"/>
        <v>BIO</v>
      </c>
      <c r="AK791">
        <f>IF(AJ791="","",MAX($AF$1:$AF791))</f>
        <v>16</v>
      </c>
      <c r="AL791" t="str">
        <f t="shared" si="51"/>
        <v/>
      </c>
      <c r="AM791" t="str">
        <f>IF(AL791="","",MAX($AF$1:$AF791))</f>
        <v/>
      </c>
    </row>
    <row r="792" spans="1:39" ht="13.5" customHeight="1" x14ac:dyDescent="0.3">
      <c r="A792" s="8" t="s">
        <v>213</v>
      </c>
      <c r="B792" s="9"/>
      <c r="C792" s="10">
        <v>7</v>
      </c>
      <c r="D792" s="11"/>
      <c r="E792" s="2"/>
      <c r="AB792" t="str" cm="1">
        <f t="array" ref="AB792:AC792">_xlfn._xlws.FILTER(A792:Z792,A792:Z792&lt;&gt;"","")</f>
        <v>BAFS</v>
      </c>
      <c r="AC792">
        <v>7</v>
      </c>
      <c r="AD792" t="str">
        <v/>
      </c>
      <c r="AE792" t="str">
        <v/>
      </c>
      <c r="AF792" t="str" cm="1">
        <f t="array" ref="AF792">IF(AD792="","",SUMPRODUCT(IF(LEFT($AD$1:AD792,2)="JS",1,0)))</f>
        <v/>
      </c>
      <c r="AG792" t="b">
        <f t="shared" si="48"/>
        <v>1</v>
      </c>
      <c r="AH792" t="str">
        <f t="shared" si="49"/>
        <v/>
      </c>
      <c r="AI792" t="str">
        <f>IF(AH792="","",MAX($AF$1:$AF792))</f>
        <v/>
      </c>
      <c r="AJ792" t="str">
        <f t="shared" si="50"/>
        <v>BAFS</v>
      </c>
      <c r="AK792">
        <f>IF(AJ792="","",MAX($AF$1:$AF792))</f>
        <v>16</v>
      </c>
      <c r="AL792" t="str">
        <f t="shared" si="51"/>
        <v/>
      </c>
      <c r="AM792" t="str">
        <f>IF(AL792="","",MAX($AF$1:$AF792))</f>
        <v/>
      </c>
    </row>
    <row r="793" spans="1:39" ht="13.5" customHeight="1" x14ac:dyDescent="0.3">
      <c r="A793" s="8" t="s">
        <v>5</v>
      </c>
      <c r="B793" s="9"/>
      <c r="C793" s="10">
        <v>7</v>
      </c>
      <c r="D793" s="11"/>
      <c r="E793" s="2"/>
      <c r="AB793" t="str" cm="1">
        <f t="array" ref="AB793:AC793">_xlfn._xlws.FILTER(A793:Z793,A793:Z793&lt;&gt;"","")</f>
        <v>Business, Accounting and Financial Studies (Accounting)</v>
      </c>
      <c r="AC793">
        <v>7</v>
      </c>
      <c r="AD793" t="str">
        <v/>
      </c>
      <c r="AE793" t="str">
        <v/>
      </c>
      <c r="AF793" t="str" cm="1">
        <f t="array" ref="AF793">IF(AD793="","",SUMPRODUCT(IF(LEFT($AD$1:AD793,2)="JS",1,0)))</f>
        <v/>
      </c>
      <c r="AG793" t="str">
        <f t="shared" si="48"/>
        <v/>
      </c>
      <c r="AH793" t="str">
        <f t="shared" si="49"/>
        <v/>
      </c>
      <c r="AI793" t="str">
        <f>IF(AH793="","",MAX($AF$1:$AF793))</f>
        <v/>
      </c>
      <c r="AJ793" t="str">
        <f t="shared" si="50"/>
        <v/>
      </c>
      <c r="AK793" t="str">
        <f>IF(AJ793="","",MAX($AF$1:$AF793))</f>
        <v/>
      </c>
      <c r="AL793" t="str">
        <f t="shared" si="51"/>
        <v/>
      </c>
      <c r="AM793" t="str">
        <f>IF(AL793="","",MAX($AF$1:$AF793))</f>
        <v/>
      </c>
    </row>
    <row r="794" spans="1:39" ht="13.5" customHeight="1" x14ac:dyDescent="0.3">
      <c r="A794" s="8" t="s">
        <v>6</v>
      </c>
      <c r="B794" s="9"/>
      <c r="C794" s="10">
        <v>7</v>
      </c>
      <c r="D794" s="11"/>
      <c r="E794" s="2"/>
      <c r="AB794" t="str" cm="1">
        <f t="array" ref="AB794:AC794">_xlfn._xlws.FILTER(A794:Z794,A794:Z794&lt;&gt;"","")</f>
        <v>Business, Accounting and Financial Studies (Business Management)</v>
      </c>
      <c r="AC794">
        <v>7</v>
      </c>
      <c r="AD794" t="str">
        <v/>
      </c>
      <c r="AE794" t="str">
        <v/>
      </c>
      <c r="AF794" t="str" cm="1">
        <f t="array" ref="AF794">IF(AD794="","",SUMPRODUCT(IF(LEFT($AD$1:AD794,2)="JS",1,0)))</f>
        <v/>
      </c>
      <c r="AG794" t="str">
        <f t="shared" si="48"/>
        <v/>
      </c>
      <c r="AH794" t="str">
        <f t="shared" si="49"/>
        <v/>
      </c>
      <c r="AI794" t="str">
        <f>IF(AH794="","",MAX($AF$1:$AF794))</f>
        <v/>
      </c>
      <c r="AJ794" t="str">
        <f t="shared" si="50"/>
        <v/>
      </c>
      <c r="AK794" t="str">
        <f>IF(AJ794="","",MAX($AF$1:$AF794))</f>
        <v/>
      </c>
      <c r="AL794" t="str">
        <f t="shared" si="51"/>
        <v/>
      </c>
      <c r="AM794" t="str">
        <f>IF(AL794="","",MAX($AF$1:$AF794))</f>
        <v/>
      </c>
    </row>
    <row r="795" spans="1:39" ht="13.5" customHeight="1" x14ac:dyDescent="0.3">
      <c r="A795" s="8" t="s">
        <v>212</v>
      </c>
      <c r="B795" s="9"/>
      <c r="C795" s="10">
        <v>7</v>
      </c>
      <c r="D795" s="11"/>
      <c r="E795" s="2"/>
      <c r="AB795" t="str" cm="1">
        <f t="array" ref="AB795:AC795">_xlfn._xlws.FILTER(A795:Z795,A795:Z795&lt;&gt;"","")</f>
        <v>CHEM</v>
      </c>
      <c r="AC795">
        <v>7</v>
      </c>
      <c r="AD795" t="str">
        <v/>
      </c>
      <c r="AE795" t="str">
        <v/>
      </c>
      <c r="AF795" t="str" cm="1">
        <f t="array" ref="AF795">IF(AD795="","",SUMPRODUCT(IF(LEFT($AD$1:AD795,2)="JS",1,0)))</f>
        <v/>
      </c>
      <c r="AG795" t="b">
        <f t="shared" si="48"/>
        <v>1</v>
      </c>
      <c r="AH795" t="str">
        <f t="shared" si="49"/>
        <v/>
      </c>
      <c r="AI795" t="str">
        <f>IF(AH795="","",MAX($AF$1:$AF795))</f>
        <v/>
      </c>
      <c r="AJ795" t="str">
        <f t="shared" si="50"/>
        <v>CHEM</v>
      </c>
      <c r="AK795">
        <f>IF(AJ795="","",MAX($AF$1:$AF795))</f>
        <v>16</v>
      </c>
      <c r="AL795" t="str">
        <f t="shared" si="51"/>
        <v/>
      </c>
      <c r="AM795" t="str">
        <f>IF(AL795="","",MAX($AF$1:$AF795))</f>
        <v/>
      </c>
    </row>
    <row r="796" spans="1:39" ht="13.5" customHeight="1" x14ac:dyDescent="0.3">
      <c r="A796" s="8" t="s">
        <v>214</v>
      </c>
      <c r="B796" s="9"/>
      <c r="C796" s="10">
        <v>7</v>
      </c>
      <c r="D796" s="11"/>
      <c r="E796" s="2"/>
      <c r="AB796" t="str" cm="1">
        <f t="array" ref="AB796:AC796">_xlfn._xlws.FILTER(A796:Z796,A796:Z796&lt;&gt;"","")</f>
        <v>中史</v>
      </c>
      <c r="AC796">
        <v>7</v>
      </c>
      <c r="AD796" t="str">
        <v/>
      </c>
      <c r="AE796" t="str">
        <v/>
      </c>
      <c r="AF796" t="str" cm="1">
        <f t="array" ref="AF796">IF(AD796="","",SUMPRODUCT(IF(LEFT($AD$1:AD796,2)="JS",1,0)))</f>
        <v/>
      </c>
      <c r="AG796" t="b">
        <f t="shared" si="48"/>
        <v>1</v>
      </c>
      <c r="AH796" t="str">
        <f t="shared" si="49"/>
        <v/>
      </c>
      <c r="AI796" t="str">
        <f>IF(AH796="","",MAX($AF$1:$AF796))</f>
        <v/>
      </c>
      <c r="AJ796" t="str">
        <f t="shared" si="50"/>
        <v>中史</v>
      </c>
      <c r="AK796">
        <f>IF(AJ796="","",MAX($AF$1:$AF796))</f>
        <v>16</v>
      </c>
      <c r="AL796" t="str">
        <f t="shared" si="51"/>
        <v/>
      </c>
      <c r="AM796" t="str">
        <f>IF(AL796="","",MAX($AF$1:$AF796))</f>
        <v/>
      </c>
    </row>
    <row r="797" spans="1:39" ht="13.5" customHeight="1" x14ac:dyDescent="0.3">
      <c r="A797" s="8" t="s">
        <v>216</v>
      </c>
      <c r="B797" s="9"/>
      <c r="C797" s="10">
        <v>7</v>
      </c>
      <c r="D797" s="11"/>
      <c r="E797" s="2"/>
      <c r="AB797" t="str" cm="1">
        <f t="array" ref="AB797:AC797">_xlfn._xlws.FILTER(A797:Z797,A797:Z797&lt;&gt;"","")</f>
        <v>中文</v>
      </c>
      <c r="AC797">
        <v>7</v>
      </c>
      <c r="AD797" t="str">
        <v/>
      </c>
      <c r="AE797" t="str">
        <v/>
      </c>
      <c r="AF797" t="str" cm="1">
        <f t="array" ref="AF797">IF(AD797="","",SUMPRODUCT(IF(LEFT($AD$1:AD797,2)="JS",1,0)))</f>
        <v/>
      </c>
      <c r="AG797" t="b">
        <f t="shared" si="48"/>
        <v>1</v>
      </c>
      <c r="AH797" t="str">
        <f t="shared" si="49"/>
        <v/>
      </c>
      <c r="AI797" t="str">
        <f>IF(AH797="","",MAX($AF$1:$AF797))</f>
        <v/>
      </c>
      <c r="AJ797" t="str">
        <f t="shared" si="50"/>
        <v>中文</v>
      </c>
      <c r="AK797">
        <f>IF(AJ797="","",MAX($AF$1:$AF797))</f>
        <v>16</v>
      </c>
      <c r="AL797" t="str">
        <f t="shared" si="51"/>
        <v/>
      </c>
      <c r="AM797" t="str">
        <f>IF(AL797="","",MAX($AF$1:$AF797))</f>
        <v/>
      </c>
    </row>
    <row r="798" spans="1:39" ht="13.5" customHeight="1" x14ac:dyDescent="0.3">
      <c r="A798" s="8" t="s">
        <v>7</v>
      </c>
      <c r="B798" s="9"/>
      <c r="C798" s="10">
        <v>7</v>
      </c>
      <c r="D798" s="11"/>
      <c r="E798" s="2"/>
      <c r="AB798" t="str" cm="1">
        <f t="array" ref="AB798:AC798">_xlfn._xlws.FILTER(A798:Z798,A798:Z798&lt;&gt;"","")</f>
        <v>Chinese Literature</v>
      </c>
      <c r="AC798">
        <v>7</v>
      </c>
      <c r="AD798" t="str">
        <v/>
      </c>
      <c r="AE798" t="str">
        <v/>
      </c>
      <c r="AF798" t="str" cm="1">
        <f t="array" ref="AF798">IF(AD798="","",SUMPRODUCT(IF(LEFT($AD$1:AD798,2)="JS",1,0)))</f>
        <v/>
      </c>
      <c r="AG798" t="str">
        <f t="shared" si="48"/>
        <v/>
      </c>
      <c r="AH798" t="str">
        <f t="shared" si="49"/>
        <v/>
      </c>
      <c r="AI798" t="str">
        <f>IF(AH798="","",MAX($AF$1:$AF798))</f>
        <v/>
      </c>
      <c r="AJ798" t="str">
        <f t="shared" si="50"/>
        <v/>
      </c>
      <c r="AK798" t="str">
        <f>IF(AJ798="","",MAX($AF$1:$AF798))</f>
        <v/>
      </c>
      <c r="AL798" t="str">
        <f t="shared" si="51"/>
        <v/>
      </c>
      <c r="AM798" t="str">
        <f>IF(AL798="","",MAX($AF$1:$AF798))</f>
        <v/>
      </c>
    </row>
    <row r="799" spans="1:39" ht="13.5" customHeight="1" x14ac:dyDescent="0.3">
      <c r="A799" s="8" t="s">
        <v>8</v>
      </c>
      <c r="B799" s="9"/>
      <c r="C799" s="10">
        <v>7</v>
      </c>
      <c r="D799" s="11"/>
      <c r="E799" s="2"/>
      <c r="AB799" t="str" cm="1">
        <f t="array" ref="AB799:AC799">_xlfn._xlws.FILTER(A799:Z799,A799:Z799&lt;&gt;"","")</f>
        <v>Combined Science: Biology + Chemistry</v>
      </c>
      <c r="AC799">
        <v>7</v>
      </c>
      <c r="AD799" t="str">
        <v/>
      </c>
      <c r="AE799" t="str">
        <v/>
      </c>
      <c r="AF799" t="str" cm="1">
        <f t="array" ref="AF799">IF(AD799="","",SUMPRODUCT(IF(LEFT($AD$1:AD799,2)="JS",1,0)))</f>
        <v/>
      </c>
      <c r="AG799" t="str">
        <f t="shared" si="48"/>
        <v/>
      </c>
      <c r="AH799" t="str">
        <f t="shared" si="49"/>
        <v/>
      </c>
      <c r="AI799" t="str">
        <f>IF(AH799="","",MAX($AF$1:$AF799))</f>
        <v/>
      </c>
      <c r="AJ799" t="str">
        <f t="shared" si="50"/>
        <v/>
      </c>
      <c r="AK799" t="str">
        <f>IF(AJ799="","",MAX($AF$1:$AF799))</f>
        <v/>
      </c>
      <c r="AL799" t="str">
        <f t="shared" si="51"/>
        <v/>
      </c>
      <c r="AM799" t="str">
        <f>IF(AL799="","",MAX($AF$1:$AF799))</f>
        <v/>
      </c>
    </row>
    <row r="800" spans="1:39" ht="13.5" customHeight="1" x14ac:dyDescent="0.3">
      <c r="A800" s="8" t="s">
        <v>9</v>
      </c>
      <c r="B800" s="9"/>
      <c r="C800" s="10">
        <v>7</v>
      </c>
      <c r="D800" s="11"/>
      <c r="E800" s="2"/>
      <c r="AB800" t="str" cm="1">
        <f t="array" ref="AB800:AC800">_xlfn._xlws.FILTER(A800:Z800,A800:Z800&lt;&gt;"","")</f>
        <v>Combined Science: Biology + Physics</v>
      </c>
      <c r="AC800">
        <v>7</v>
      </c>
      <c r="AD800" t="str">
        <v/>
      </c>
      <c r="AE800" t="str">
        <v/>
      </c>
      <c r="AF800" t="str" cm="1">
        <f t="array" ref="AF800">IF(AD800="","",SUMPRODUCT(IF(LEFT($AD$1:AD800,2)="JS",1,0)))</f>
        <v/>
      </c>
      <c r="AG800" t="str">
        <f t="shared" si="48"/>
        <v/>
      </c>
      <c r="AH800" t="str">
        <f t="shared" si="49"/>
        <v/>
      </c>
      <c r="AI800" t="str">
        <f>IF(AH800="","",MAX($AF$1:$AF800))</f>
        <v/>
      </c>
      <c r="AJ800" t="str">
        <f t="shared" si="50"/>
        <v/>
      </c>
      <c r="AK800" t="str">
        <f>IF(AJ800="","",MAX($AF$1:$AF800))</f>
        <v/>
      </c>
      <c r="AL800" t="str">
        <f t="shared" si="51"/>
        <v/>
      </c>
      <c r="AM800" t="str">
        <f>IF(AL800="","",MAX($AF$1:$AF800))</f>
        <v/>
      </c>
    </row>
    <row r="801" spans="1:39" ht="13.5" customHeight="1" x14ac:dyDescent="0.3">
      <c r="A801" s="8" t="s">
        <v>10</v>
      </c>
      <c r="B801" s="9"/>
      <c r="C801" s="10">
        <v>7</v>
      </c>
      <c r="D801" s="11"/>
      <c r="E801" s="2"/>
      <c r="AB801" t="str" cm="1">
        <f t="array" ref="AB801:AC801">_xlfn._xlws.FILTER(A801:Z801,A801:Z801&lt;&gt;"","")</f>
        <v>Combined Science: Physics + Chemistry</v>
      </c>
      <c r="AC801">
        <v>7</v>
      </c>
      <c r="AD801" t="str">
        <v/>
      </c>
      <c r="AE801" t="str">
        <v/>
      </c>
      <c r="AF801" t="str" cm="1">
        <f t="array" ref="AF801">IF(AD801="","",SUMPRODUCT(IF(LEFT($AD$1:AD801,2)="JS",1,0)))</f>
        <v/>
      </c>
      <c r="AG801" t="str">
        <f t="shared" si="48"/>
        <v/>
      </c>
      <c r="AH801" t="str">
        <f t="shared" si="49"/>
        <v/>
      </c>
      <c r="AI801" t="str">
        <f>IF(AH801="","",MAX($AF$1:$AF801))</f>
        <v/>
      </c>
      <c r="AJ801" t="str">
        <f t="shared" si="50"/>
        <v/>
      </c>
      <c r="AK801" t="str">
        <f>IF(AJ801="","",MAX($AF$1:$AF801))</f>
        <v/>
      </c>
      <c r="AL801" t="str">
        <f t="shared" si="51"/>
        <v/>
      </c>
      <c r="AM801" t="str">
        <f>IF(AL801="","",MAX($AF$1:$AF801))</f>
        <v/>
      </c>
    </row>
    <row r="802" spans="1:39" ht="13.5" customHeight="1" x14ac:dyDescent="0.3">
      <c r="A802" s="8" t="s">
        <v>11</v>
      </c>
      <c r="B802" s="9"/>
      <c r="C802" s="10">
        <v>7</v>
      </c>
      <c r="D802" s="11"/>
      <c r="E802" s="2"/>
      <c r="AB802" t="str" cm="1">
        <f t="array" ref="AB802:AC802">_xlfn._xlws.FILTER(A802:Z802,A802:Z802&lt;&gt;"","")</f>
        <v>Design and Applied Technology</v>
      </c>
      <c r="AC802">
        <v>7</v>
      </c>
      <c r="AD802" t="str">
        <v/>
      </c>
      <c r="AE802" t="str">
        <v/>
      </c>
      <c r="AF802" t="str" cm="1">
        <f t="array" ref="AF802">IF(AD802="","",SUMPRODUCT(IF(LEFT($AD$1:AD802,2)="JS",1,0)))</f>
        <v/>
      </c>
      <c r="AG802" t="str">
        <f t="shared" si="48"/>
        <v/>
      </c>
      <c r="AH802" t="str">
        <f t="shared" si="49"/>
        <v/>
      </c>
      <c r="AI802" t="str">
        <f>IF(AH802="","",MAX($AF$1:$AF802))</f>
        <v/>
      </c>
      <c r="AJ802" t="str">
        <f t="shared" si="50"/>
        <v/>
      </c>
      <c r="AK802" t="str">
        <f>IF(AJ802="","",MAX($AF$1:$AF802))</f>
        <v/>
      </c>
      <c r="AL802" t="str">
        <f t="shared" si="51"/>
        <v/>
      </c>
      <c r="AM802" t="str">
        <f>IF(AL802="","",MAX($AF$1:$AF802))</f>
        <v/>
      </c>
    </row>
    <row r="803" spans="1:39" ht="13.5" customHeight="1" x14ac:dyDescent="0.3">
      <c r="A803" s="8" t="s">
        <v>217</v>
      </c>
      <c r="B803" s="9"/>
      <c r="C803" s="10">
        <v>7</v>
      </c>
      <c r="D803" s="11"/>
      <c r="E803" s="2"/>
      <c r="AB803" t="str" cm="1">
        <f t="array" ref="AB803:AC803">_xlfn._xlws.FILTER(A803:Z803,A803:Z803&lt;&gt;"","")</f>
        <v>ECON</v>
      </c>
      <c r="AC803">
        <v>7</v>
      </c>
      <c r="AD803" t="str">
        <v/>
      </c>
      <c r="AE803" t="str">
        <v/>
      </c>
      <c r="AF803" t="str" cm="1">
        <f t="array" ref="AF803">IF(AD803="","",SUMPRODUCT(IF(LEFT($AD$1:AD803,2)="JS",1,0)))</f>
        <v/>
      </c>
      <c r="AG803" t="b">
        <f t="shared" si="48"/>
        <v>1</v>
      </c>
      <c r="AH803" t="str">
        <f t="shared" si="49"/>
        <v/>
      </c>
      <c r="AI803" t="str">
        <f>IF(AH803="","",MAX($AF$1:$AF803))</f>
        <v/>
      </c>
      <c r="AJ803" t="str">
        <f t="shared" si="50"/>
        <v>ECON</v>
      </c>
      <c r="AK803">
        <f>IF(AJ803="","",MAX($AF$1:$AF803))</f>
        <v>16</v>
      </c>
      <c r="AL803" t="str">
        <f t="shared" si="51"/>
        <v/>
      </c>
      <c r="AM803" t="str">
        <f>IF(AL803="","",MAX($AF$1:$AF803))</f>
        <v/>
      </c>
    </row>
    <row r="804" spans="1:39" ht="13.5" customHeight="1" x14ac:dyDescent="0.3">
      <c r="A804" s="8" t="s">
        <v>218</v>
      </c>
      <c r="B804" s="9"/>
      <c r="C804" s="10">
        <v>7</v>
      </c>
      <c r="D804" s="11"/>
      <c r="E804" s="2"/>
      <c r="AB804" t="str" cm="1">
        <f t="array" ref="AB804:AC804">_xlfn._xlws.FILTER(A804:Z804,A804:Z804&lt;&gt;"","")</f>
        <v>ENG</v>
      </c>
      <c r="AC804">
        <v>7</v>
      </c>
      <c r="AD804" t="str">
        <v/>
      </c>
      <c r="AE804" t="str">
        <v/>
      </c>
      <c r="AF804" t="str" cm="1">
        <f t="array" ref="AF804">IF(AD804="","",SUMPRODUCT(IF(LEFT($AD$1:AD804,2)="JS",1,0)))</f>
        <v/>
      </c>
      <c r="AG804" t="b">
        <f t="shared" si="48"/>
        <v>1</v>
      </c>
      <c r="AH804" t="str">
        <f t="shared" si="49"/>
        <v/>
      </c>
      <c r="AI804" t="str">
        <f>IF(AH804="","",MAX($AF$1:$AF804))</f>
        <v/>
      </c>
      <c r="AJ804" t="str">
        <f t="shared" si="50"/>
        <v>ENG</v>
      </c>
      <c r="AK804">
        <f>IF(AJ804="","",MAX($AF$1:$AF804))</f>
        <v>16</v>
      </c>
      <c r="AL804" t="str">
        <f t="shared" si="51"/>
        <v/>
      </c>
      <c r="AM804" t="str">
        <f>IF(AL804="","",MAX($AF$1:$AF804))</f>
        <v/>
      </c>
    </row>
    <row r="805" spans="1:39" ht="13.5" customHeight="1" x14ac:dyDescent="0.3">
      <c r="A805" s="8" t="s">
        <v>12</v>
      </c>
      <c r="B805" s="9"/>
      <c r="C805" s="10">
        <v>7</v>
      </c>
      <c r="D805" s="11"/>
      <c r="E805" s="2"/>
      <c r="AB805" t="str" cm="1">
        <f t="array" ref="AB805:AC805">_xlfn._xlws.FILTER(A805:Z805,A805:Z805&lt;&gt;"","")</f>
        <v>Ethics and Religious Studies</v>
      </c>
      <c r="AC805">
        <v>7</v>
      </c>
      <c r="AD805" t="str">
        <v/>
      </c>
      <c r="AE805" t="str">
        <v/>
      </c>
      <c r="AF805" t="str" cm="1">
        <f t="array" ref="AF805">IF(AD805="","",SUMPRODUCT(IF(LEFT($AD$1:AD805,2)="JS",1,0)))</f>
        <v/>
      </c>
      <c r="AG805" t="str">
        <f t="shared" si="48"/>
        <v/>
      </c>
      <c r="AH805" t="str">
        <f t="shared" si="49"/>
        <v/>
      </c>
      <c r="AI805" t="str">
        <f>IF(AH805="","",MAX($AF$1:$AF805))</f>
        <v/>
      </c>
      <c r="AJ805" t="str">
        <f t="shared" si="50"/>
        <v/>
      </c>
      <c r="AK805" t="str">
        <f>IF(AJ805="","",MAX($AF$1:$AF805))</f>
        <v/>
      </c>
      <c r="AL805" t="str">
        <f t="shared" si="51"/>
        <v/>
      </c>
      <c r="AM805" t="str">
        <f>IF(AL805="","",MAX($AF$1:$AF805))</f>
        <v/>
      </c>
    </row>
    <row r="806" spans="1:39" ht="13.5" customHeight="1" x14ac:dyDescent="0.3">
      <c r="A806" s="8" t="s">
        <v>219</v>
      </c>
      <c r="B806" s="9"/>
      <c r="C806" s="10">
        <v>7</v>
      </c>
      <c r="D806" s="11"/>
      <c r="E806" s="2"/>
      <c r="AB806" t="str" cm="1">
        <f t="array" ref="AB806:AC806">_xlfn._xlws.FILTER(A806:Z806,A806:Z806&lt;&gt;"","")</f>
        <v>GEOG</v>
      </c>
      <c r="AC806">
        <v>7</v>
      </c>
      <c r="AD806" t="str">
        <v/>
      </c>
      <c r="AE806" t="str">
        <v/>
      </c>
      <c r="AF806" t="str" cm="1">
        <f t="array" ref="AF806">IF(AD806="","",SUMPRODUCT(IF(LEFT($AD$1:AD806,2)="JS",1,0)))</f>
        <v/>
      </c>
      <c r="AG806" t="b">
        <f t="shared" si="48"/>
        <v>1</v>
      </c>
      <c r="AH806" t="str">
        <f t="shared" si="49"/>
        <v/>
      </c>
      <c r="AI806" t="str">
        <f>IF(AH806="","",MAX($AF$1:$AF806))</f>
        <v/>
      </c>
      <c r="AJ806" t="str">
        <f t="shared" si="50"/>
        <v>GEOG</v>
      </c>
      <c r="AK806">
        <f>IF(AJ806="","",MAX($AF$1:$AF806))</f>
        <v>16</v>
      </c>
      <c r="AL806" t="str">
        <f t="shared" si="51"/>
        <v/>
      </c>
      <c r="AM806" t="str">
        <f>IF(AL806="","",MAX($AF$1:$AF806))</f>
        <v/>
      </c>
    </row>
    <row r="807" spans="1:39" ht="13.5" customHeight="1" x14ac:dyDescent="0.3">
      <c r="A807" s="8" t="s">
        <v>220</v>
      </c>
      <c r="B807" s="9"/>
      <c r="C807" s="10">
        <v>7</v>
      </c>
      <c r="D807" s="11"/>
      <c r="E807" s="2"/>
      <c r="AB807" t="str" cm="1">
        <f t="array" ref="AB807:AC807">_xlfn._xlws.FILTER(A807:Z807,A807:Z807&lt;&gt;"","")</f>
        <v>HMSC</v>
      </c>
      <c r="AC807">
        <v>7</v>
      </c>
      <c r="AD807" t="str">
        <v/>
      </c>
      <c r="AE807" t="str">
        <v/>
      </c>
      <c r="AF807" t="str" cm="1">
        <f t="array" ref="AF807">IF(AD807="","",SUMPRODUCT(IF(LEFT($AD$1:AD807,2)="JS",1,0)))</f>
        <v/>
      </c>
      <c r="AG807" t="b">
        <f t="shared" si="48"/>
        <v>1</v>
      </c>
      <c r="AH807" t="str">
        <f t="shared" si="49"/>
        <v/>
      </c>
      <c r="AI807" t="str">
        <f>IF(AH807="","",MAX($AF$1:$AF807))</f>
        <v/>
      </c>
      <c r="AJ807" t="str">
        <f t="shared" si="50"/>
        <v>HMSC</v>
      </c>
      <c r="AK807">
        <f>IF(AJ807="","",MAX($AF$1:$AF807))</f>
        <v>16</v>
      </c>
      <c r="AL807" t="str">
        <f t="shared" si="51"/>
        <v/>
      </c>
      <c r="AM807" t="str">
        <f>IF(AL807="","",MAX($AF$1:$AF807))</f>
        <v/>
      </c>
    </row>
    <row r="808" spans="1:39" ht="13.5" customHeight="1" x14ac:dyDescent="0.3">
      <c r="A808" s="8" t="s">
        <v>221</v>
      </c>
      <c r="B808" s="9"/>
      <c r="C808" s="10">
        <v>7</v>
      </c>
      <c r="D808" s="11"/>
      <c r="E808" s="2"/>
      <c r="AB808" t="str" cm="1">
        <f t="array" ref="AB808:AC808">_xlfn._xlws.FILTER(A808:Z808,A808:Z808&lt;&gt;"","")</f>
        <v>HIST</v>
      </c>
      <c r="AC808">
        <v>7</v>
      </c>
      <c r="AD808" t="str">
        <v/>
      </c>
      <c r="AE808" t="str">
        <v/>
      </c>
      <c r="AF808" t="str" cm="1">
        <f t="array" ref="AF808">IF(AD808="","",SUMPRODUCT(IF(LEFT($AD$1:AD808,2)="JS",1,0)))</f>
        <v/>
      </c>
      <c r="AG808" t="b">
        <f t="shared" si="48"/>
        <v>1</v>
      </c>
      <c r="AH808" t="str">
        <f t="shared" si="49"/>
        <v/>
      </c>
      <c r="AI808" t="str">
        <f>IF(AH808="","",MAX($AF$1:$AF808))</f>
        <v/>
      </c>
      <c r="AJ808" t="str">
        <f t="shared" si="50"/>
        <v>HIST</v>
      </c>
      <c r="AK808">
        <f>IF(AJ808="","",MAX($AF$1:$AF808))</f>
        <v>16</v>
      </c>
      <c r="AL808" t="str">
        <f t="shared" si="51"/>
        <v/>
      </c>
      <c r="AM808" t="str">
        <f>IF(AL808="","",MAX($AF$1:$AF808))</f>
        <v/>
      </c>
    </row>
    <row r="809" spans="1:39" ht="13.5" customHeight="1" x14ac:dyDescent="0.3">
      <c r="A809" s="8" t="s">
        <v>222</v>
      </c>
      <c r="B809" s="9"/>
      <c r="C809" s="10">
        <v>7</v>
      </c>
      <c r="D809" s="11"/>
      <c r="E809" s="2"/>
      <c r="AB809" t="str" cm="1">
        <f t="array" ref="AB809:AC809">_xlfn._xlws.FILTER(A809:Z809,A809:Z809&lt;&gt;"","")</f>
        <v>ICT</v>
      </c>
      <c r="AC809">
        <v>7</v>
      </c>
      <c r="AD809" t="str">
        <v/>
      </c>
      <c r="AE809" t="str">
        <v/>
      </c>
      <c r="AF809" t="str" cm="1">
        <f t="array" ref="AF809">IF(AD809="","",SUMPRODUCT(IF(LEFT($AD$1:AD809,2)="JS",1,0)))</f>
        <v/>
      </c>
      <c r="AG809" t="b">
        <f t="shared" si="48"/>
        <v>1</v>
      </c>
      <c r="AH809" t="str">
        <f t="shared" si="49"/>
        <v/>
      </c>
      <c r="AI809" t="str">
        <f>IF(AH809="","",MAX($AF$1:$AF809))</f>
        <v/>
      </c>
      <c r="AJ809" t="str">
        <f t="shared" si="50"/>
        <v>ICT</v>
      </c>
      <c r="AK809">
        <f>IF(AJ809="","",MAX($AF$1:$AF809))</f>
        <v>16</v>
      </c>
      <c r="AL809" t="str">
        <f t="shared" si="51"/>
        <v/>
      </c>
      <c r="AM809" t="str">
        <f>IF(AL809="","",MAX($AF$1:$AF809))</f>
        <v/>
      </c>
    </row>
    <row r="810" spans="1:39" ht="13.5" customHeight="1" x14ac:dyDescent="0.3">
      <c r="A810" s="8" t="s">
        <v>13</v>
      </c>
      <c r="B810" s="9"/>
      <c r="C810" s="10">
        <v>7</v>
      </c>
      <c r="D810" s="11"/>
      <c r="E810" s="2"/>
      <c r="AB810" t="str" cm="1">
        <f t="array" ref="AB810:AC810">_xlfn._xlws.FILTER(A810:Z810,A810:Z810&lt;&gt;"","")</f>
        <v>Integrated Science</v>
      </c>
      <c r="AC810">
        <v>7</v>
      </c>
      <c r="AD810" t="str">
        <v/>
      </c>
      <c r="AE810" t="str">
        <v/>
      </c>
      <c r="AF810" t="str" cm="1">
        <f t="array" ref="AF810">IF(AD810="","",SUMPRODUCT(IF(LEFT($AD$1:AD810,2)="JS",1,0)))</f>
        <v/>
      </c>
      <c r="AG810" t="str">
        <f t="shared" si="48"/>
        <v/>
      </c>
      <c r="AH810" t="str">
        <f t="shared" si="49"/>
        <v/>
      </c>
      <c r="AI810" t="str">
        <f>IF(AH810="","",MAX($AF$1:$AF810))</f>
        <v/>
      </c>
      <c r="AJ810" t="str">
        <f t="shared" si="50"/>
        <v/>
      </c>
      <c r="AK810" t="str">
        <f>IF(AJ810="","",MAX($AF$1:$AF810))</f>
        <v/>
      </c>
      <c r="AL810" t="str">
        <f t="shared" si="51"/>
        <v/>
      </c>
      <c r="AM810" t="str">
        <f>IF(AL810="","",MAX($AF$1:$AF810))</f>
        <v/>
      </c>
    </row>
    <row r="811" spans="1:39" ht="13.5" customHeight="1" x14ac:dyDescent="0.3">
      <c r="A811" s="8" t="s">
        <v>223</v>
      </c>
      <c r="B811" s="9"/>
      <c r="C811" s="10">
        <v>7</v>
      </c>
      <c r="D811" s="11"/>
      <c r="E811" s="2"/>
      <c r="AB811" t="str" cm="1">
        <f t="array" ref="AB811:AC811">_xlfn._xlws.FILTER(A811:Z811,A811:Z811&lt;&gt;"","")</f>
        <v>通</v>
      </c>
      <c r="AC811">
        <v>7</v>
      </c>
      <c r="AD811" t="str">
        <v/>
      </c>
      <c r="AE811" t="str">
        <v/>
      </c>
      <c r="AF811" t="str" cm="1">
        <f t="array" ref="AF811">IF(AD811="","",SUMPRODUCT(IF(LEFT($AD$1:AD811,2)="JS",1,0)))</f>
        <v/>
      </c>
      <c r="AG811" t="b">
        <f t="shared" si="48"/>
        <v>1</v>
      </c>
      <c r="AH811" t="str">
        <f t="shared" si="49"/>
        <v/>
      </c>
      <c r="AI811" t="str">
        <f>IF(AH811="","",MAX($AF$1:$AF811))</f>
        <v/>
      </c>
      <c r="AJ811" t="str">
        <f t="shared" si="50"/>
        <v>通</v>
      </c>
      <c r="AK811">
        <f>IF(AJ811="","",MAX($AF$1:$AF811))</f>
        <v>16</v>
      </c>
      <c r="AL811" t="str">
        <f t="shared" si="51"/>
        <v/>
      </c>
      <c r="AM811" t="str">
        <f>IF(AL811="","",MAX($AF$1:$AF811))</f>
        <v/>
      </c>
    </row>
    <row r="812" spans="1:39" ht="13.5" customHeight="1" x14ac:dyDescent="0.3">
      <c r="A812" s="8" t="s">
        <v>14</v>
      </c>
      <c r="B812" s="9"/>
      <c r="C812" s="10">
        <v>7</v>
      </c>
      <c r="D812" s="11"/>
      <c r="E812" s="2"/>
      <c r="AB812" t="str" cm="1">
        <f t="array" ref="AB812:AC812">_xlfn._xlws.FILTER(A812:Z812,A812:Z812&lt;&gt;"","")</f>
        <v>Literature in English</v>
      </c>
      <c r="AC812">
        <v>7</v>
      </c>
      <c r="AD812" t="str">
        <v/>
      </c>
      <c r="AE812" t="str">
        <v/>
      </c>
      <c r="AF812" t="str" cm="1">
        <f t="array" ref="AF812">IF(AD812="","",SUMPRODUCT(IF(LEFT($AD$1:AD812,2)="JS",1,0)))</f>
        <v/>
      </c>
      <c r="AG812" t="str">
        <f t="shared" si="48"/>
        <v/>
      </c>
      <c r="AH812" t="str">
        <f t="shared" si="49"/>
        <v/>
      </c>
      <c r="AI812" t="str">
        <f>IF(AH812="","",MAX($AF$1:$AF812))</f>
        <v/>
      </c>
      <c r="AJ812" t="str">
        <f t="shared" si="50"/>
        <v/>
      </c>
      <c r="AK812" t="str">
        <f>IF(AJ812="","",MAX($AF$1:$AF812))</f>
        <v/>
      </c>
      <c r="AL812" t="str">
        <f t="shared" si="51"/>
        <v/>
      </c>
      <c r="AM812" t="str">
        <f>IF(AL812="","",MAX($AF$1:$AF812))</f>
        <v/>
      </c>
    </row>
    <row r="813" spans="1:39" ht="13.5" customHeight="1" x14ac:dyDescent="0.3">
      <c r="A813" s="8" t="s">
        <v>224</v>
      </c>
      <c r="B813" s="9"/>
      <c r="C813" s="10">
        <v>7</v>
      </c>
      <c r="D813" s="11"/>
      <c r="E813" s="2"/>
      <c r="AB813" t="str" cm="1">
        <f t="array" ref="AB813:AC813">_xlfn._xlws.FILTER(A813:Z813,A813:Z813&lt;&gt;"","")</f>
        <v>MATH</v>
      </c>
      <c r="AC813">
        <v>7</v>
      </c>
      <c r="AD813" t="str">
        <v/>
      </c>
      <c r="AE813" t="str">
        <v/>
      </c>
      <c r="AF813" t="str" cm="1">
        <f t="array" ref="AF813">IF(AD813="","",SUMPRODUCT(IF(LEFT($AD$1:AD813,2)="JS",1,0)))</f>
        <v/>
      </c>
      <c r="AG813" t="b">
        <f t="shared" si="48"/>
        <v>1</v>
      </c>
      <c r="AH813" t="str">
        <f t="shared" si="49"/>
        <v/>
      </c>
      <c r="AI813" t="str">
        <f>IF(AH813="","",MAX($AF$1:$AF813))</f>
        <v/>
      </c>
      <c r="AJ813" t="str">
        <f t="shared" si="50"/>
        <v>MATH</v>
      </c>
      <c r="AK813">
        <f>IF(AJ813="","",MAX($AF$1:$AF813))</f>
        <v>16</v>
      </c>
      <c r="AL813" t="str">
        <f t="shared" si="51"/>
        <v/>
      </c>
      <c r="AM813" t="str">
        <f>IF(AL813="","",MAX($AF$1:$AF813))</f>
        <v/>
      </c>
    </row>
    <row r="814" spans="1:39" ht="13.5" customHeight="1" x14ac:dyDescent="0.3">
      <c r="A814" s="8" t="s">
        <v>225</v>
      </c>
      <c r="B814" s="9"/>
      <c r="C814" s="10">
        <v>7</v>
      </c>
      <c r="D814" s="11"/>
      <c r="E814" s="2"/>
      <c r="AB814" t="str" cm="1">
        <f t="array" ref="AB814:AC814">_xlfn._xlws.FILTER(A814:Z814,A814:Z814&lt;&gt;"","")</f>
        <v>M2</v>
      </c>
      <c r="AC814">
        <v>7</v>
      </c>
      <c r="AD814" t="str">
        <v/>
      </c>
      <c r="AE814" t="str">
        <v/>
      </c>
      <c r="AF814" t="str" cm="1">
        <f t="array" ref="AF814">IF(AD814="","",SUMPRODUCT(IF(LEFT($AD$1:AD814,2)="JS",1,0)))</f>
        <v/>
      </c>
      <c r="AG814" t="b">
        <f t="shared" si="48"/>
        <v>1</v>
      </c>
      <c r="AH814" t="str">
        <f t="shared" si="49"/>
        <v/>
      </c>
      <c r="AI814" t="str">
        <f>IF(AH814="","",MAX($AF$1:$AF814))</f>
        <v/>
      </c>
      <c r="AJ814" t="str">
        <f t="shared" si="50"/>
        <v>M2</v>
      </c>
      <c r="AK814">
        <f>IF(AJ814="","",MAX($AF$1:$AF814))</f>
        <v>16</v>
      </c>
      <c r="AL814" t="str">
        <f t="shared" si="51"/>
        <v/>
      </c>
      <c r="AM814" t="str">
        <f>IF(AL814="","",MAX($AF$1:$AF814))</f>
        <v/>
      </c>
    </row>
    <row r="815" spans="1:39" ht="13.5" customHeight="1" x14ac:dyDescent="0.3">
      <c r="A815" s="8" t="s">
        <v>15</v>
      </c>
      <c r="B815" s="9"/>
      <c r="C815" s="10">
        <v>7</v>
      </c>
      <c r="D815" s="11"/>
      <c r="E815" s="2"/>
      <c r="AB815" t="str" cm="1">
        <f t="array" ref="AB815:AC815">_xlfn._xlws.FILTER(A815:Z815,A815:Z815&lt;&gt;"","")</f>
        <v>Mathematics (Extended part - Calculus and Statistics)</v>
      </c>
      <c r="AC815">
        <v>7</v>
      </c>
      <c r="AD815" t="str">
        <v/>
      </c>
      <c r="AE815" t="str">
        <v/>
      </c>
      <c r="AF815" t="str" cm="1">
        <f t="array" ref="AF815">IF(AD815="","",SUMPRODUCT(IF(LEFT($AD$1:AD815,2)="JS",1,0)))</f>
        <v/>
      </c>
      <c r="AG815" t="str">
        <f t="shared" si="48"/>
        <v/>
      </c>
      <c r="AH815" t="str">
        <f t="shared" si="49"/>
        <v/>
      </c>
      <c r="AI815" t="str">
        <f>IF(AH815="","",MAX($AF$1:$AF815))</f>
        <v/>
      </c>
      <c r="AJ815" t="str">
        <f t="shared" si="50"/>
        <v/>
      </c>
      <c r="AK815" t="str">
        <f>IF(AJ815="","",MAX($AF$1:$AF815))</f>
        <v/>
      </c>
      <c r="AL815" t="str">
        <f t="shared" si="51"/>
        <v/>
      </c>
      <c r="AM815" t="str">
        <f>IF(AL815="","",MAX($AF$1:$AF815))</f>
        <v/>
      </c>
    </row>
    <row r="816" spans="1:39" ht="13.5" customHeight="1" x14ac:dyDescent="0.3">
      <c r="A816" s="8" t="s">
        <v>16</v>
      </c>
      <c r="B816" s="9"/>
      <c r="C816" s="10">
        <v>7</v>
      </c>
      <c r="D816" s="11"/>
      <c r="E816" s="2"/>
      <c r="AB816" t="str" cm="1">
        <f t="array" ref="AB816:AC816">_xlfn._xlws.FILTER(A816:Z816,A816:Z816&lt;&gt;"","")</f>
        <v>Music</v>
      </c>
      <c r="AC816">
        <v>7</v>
      </c>
      <c r="AD816" t="str">
        <v/>
      </c>
      <c r="AE816" t="str">
        <v/>
      </c>
      <c r="AF816" t="str" cm="1">
        <f t="array" ref="AF816">IF(AD816="","",SUMPRODUCT(IF(LEFT($AD$1:AD816,2)="JS",1,0)))</f>
        <v/>
      </c>
      <c r="AG816" t="str">
        <f t="shared" si="48"/>
        <v/>
      </c>
      <c r="AH816" t="str">
        <f t="shared" si="49"/>
        <v/>
      </c>
      <c r="AI816" t="str">
        <f>IF(AH816="","",MAX($AF$1:$AF816))</f>
        <v/>
      </c>
      <c r="AJ816" t="str">
        <f t="shared" si="50"/>
        <v/>
      </c>
      <c r="AK816" t="str">
        <f>IF(AJ816="","",MAX($AF$1:$AF816))</f>
        <v/>
      </c>
      <c r="AL816" t="str">
        <f t="shared" si="51"/>
        <v/>
      </c>
      <c r="AM816" t="str">
        <f>IF(AL816="","",MAX($AF$1:$AF816))</f>
        <v/>
      </c>
    </row>
    <row r="817" spans="1:39" ht="13.5" customHeight="1" x14ac:dyDescent="0.3">
      <c r="A817" s="8" t="s">
        <v>17</v>
      </c>
      <c r="B817" s="9"/>
      <c r="C817" s="10">
        <v>7</v>
      </c>
      <c r="D817" s="11"/>
      <c r="E817" s="2"/>
      <c r="AB817" t="str" cm="1">
        <f t="array" ref="AB817:AC817">_xlfn._xlws.FILTER(A817:Z817,A817:Z817&lt;&gt;"","")</f>
        <v>Physical Education</v>
      </c>
      <c r="AC817">
        <v>7</v>
      </c>
      <c r="AD817" t="str">
        <v/>
      </c>
      <c r="AE817" t="str">
        <v/>
      </c>
      <c r="AF817" t="str" cm="1">
        <f t="array" ref="AF817">IF(AD817="","",SUMPRODUCT(IF(LEFT($AD$1:AD817,2)="JS",1,0)))</f>
        <v/>
      </c>
      <c r="AG817" t="str">
        <f t="shared" si="48"/>
        <v/>
      </c>
      <c r="AH817" t="str">
        <f t="shared" si="49"/>
        <v/>
      </c>
      <c r="AI817" t="str">
        <f>IF(AH817="","",MAX($AF$1:$AF817))</f>
        <v/>
      </c>
      <c r="AJ817" t="str">
        <f t="shared" si="50"/>
        <v/>
      </c>
      <c r="AK817" t="str">
        <f>IF(AJ817="","",MAX($AF$1:$AF817))</f>
        <v/>
      </c>
      <c r="AL817" t="str">
        <f t="shared" si="51"/>
        <v/>
      </c>
      <c r="AM817" t="str">
        <f>IF(AL817="","",MAX($AF$1:$AF817))</f>
        <v/>
      </c>
    </row>
    <row r="818" spans="1:39" ht="13.5" customHeight="1" x14ac:dyDescent="0.3">
      <c r="A818" s="8" t="s">
        <v>226</v>
      </c>
      <c r="B818" s="9"/>
      <c r="C818" s="10">
        <v>7</v>
      </c>
      <c r="D818" s="11"/>
      <c r="E818" s="2"/>
      <c r="AB818" t="str" cm="1">
        <f t="array" ref="AB818:AC818">_xlfn._xlws.FILTER(A818:Z818,A818:Z818&lt;&gt;"","")</f>
        <v>PHY</v>
      </c>
      <c r="AC818">
        <v>7</v>
      </c>
      <c r="AD818" t="str">
        <v/>
      </c>
      <c r="AE818" t="str">
        <v/>
      </c>
      <c r="AF818" t="str" cm="1">
        <f t="array" ref="AF818">IF(AD818="","",SUMPRODUCT(IF(LEFT($AD$1:AD818,2)="JS",1,0)))</f>
        <v/>
      </c>
      <c r="AG818" t="b">
        <f t="shared" si="48"/>
        <v>1</v>
      </c>
      <c r="AH818" t="str">
        <f t="shared" si="49"/>
        <v/>
      </c>
      <c r="AI818" t="str">
        <f>IF(AH818="","",MAX($AF$1:$AF818))</f>
        <v/>
      </c>
      <c r="AJ818" t="str">
        <f t="shared" si="50"/>
        <v>PHY</v>
      </c>
      <c r="AK818">
        <f>IF(AJ818="","",MAX($AF$1:$AF818))</f>
        <v>16</v>
      </c>
      <c r="AL818" t="str">
        <f t="shared" si="51"/>
        <v/>
      </c>
      <c r="AM818" t="str">
        <f>IF(AL818="","",MAX($AF$1:$AF818))</f>
        <v/>
      </c>
    </row>
    <row r="819" spans="1:39" ht="13.5" customHeight="1" x14ac:dyDescent="0.3">
      <c r="A819" s="8" t="s">
        <v>18</v>
      </c>
      <c r="B819" s="9"/>
      <c r="C819" s="10">
        <v>7</v>
      </c>
      <c r="D819" s="11"/>
      <c r="E819" s="2"/>
      <c r="AB819" t="str" cm="1">
        <f t="array" ref="AB819:AC819">_xlfn._xlws.FILTER(A819:Z819,A819:Z819&lt;&gt;"","")</f>
        <v>Technology and Living (Fashion, Clothing and Textiles)</v>
      </c>
      <c r="AC819">
        <v>7</v>
      </c>
      <c r="AD819" t="str">
        <v/>
      </c>
      <c r="AE819" t="str">
        <v/>
      </c>
      <c r="AF819" t="str" cm="1">
        <f t="array" ref="AF819">IF(AD819="","",SUMPRODUCT(IF(LEFT($AD$1:AD819,2)="JS",1,0)))</f>
        <v/>
      </c>
      <c r="AG819" t="str">
        <f t="shared" si="48"/>
        <v/>
      </c>
      <c r="AH819" t="str">
        <f t="shared" si="49"/>
        <v/>
      </c>
      <c r="AI819" t="str">
        <f>IF(AH819="","",MAX($AF$1:$AF819))</f>
        <v/>
      </c>
      <c r="AJ819" t="str">
        <f t="shared" si="50"/>
        <v/>
      </c>
      <c r="AK819" t="str">
        <f>IF(AJ819="","",MAX($AF$1:$AF819))</f>
        <v/>
      </c>
      <c r="AL819" t="str">
        <f t="shared" si="51"/>
        <v/>
      </c>
      <c r="AM819" t="str">
        <f>IF(AL819="","",MAX($AF$1:$AF819))</f>
        <v/>
      </c>
    </row>
    <row r="820" spans="1:39" ht="13.5" customHeight="1" x14ac:dyDescent="0.3">
      <c r="A820" s="8" t="s">
        <v>19</v>
      </c>
      <c r="B820" s="9"/>
      <c r="C820" s="10">
        <v>7</v>
      </c>
      <c r="D820" s="11"/>
      <c r="E820" s="2"/>
      <c r="AB820" t="str" cm="1">
        <f t="array" ref="AB820:AC820">_xlfn._xlws.FILTER(A820:Z820,A820:Z820&lt;&gt;"","")</f>
        <v>Technology and Living (Food Science and Technology)</v>
      </c>
      <c r="AC820">
        <v>7</v>
      </c>
      <c r="AD820" t="str">
        <v/>
      </c>
      <c r="AE820" t="str">
        <v/>
      </c>
      <c r="AF820" t="str" cm="1">
        <f t="array" ref="AF820">IF(AD820="","",SUMPRODUCT(IF(LEFT($AD$1:AD820,2)="JS",1,0)))</f>
        <v/>
      </c>
      <c r="AG820" t="str">
        <f t="shared" si="48"/>
        <v/>
      </c>
      <c r="AH820" t="str">
        <f t="shared" si="49"/>
        <v/>
      </c>
      <c r="AI820" t="str">
        <f>IF(AH820="","",MAX($AF$1:$AF820))</f>
        <v/>
      </c>
      <c r="AJ820" t="str">
        <f t="shared" si="50"/>
        <v/>
      </c>
      <c r="AK820" t="str">
        <f>IF(AJ820="","",MAX($AF$1:$AF820))</f>
        <v/>
      </c>
      <c r="AL820" t="str">
        <f t="shared" si="51"/>
        <v/>
      </c>
      <c r="AM820" t="str">
        <f>IF(AL820="","",MAX($AF$1:$AF820))</f>
        <v/>
      </c>
    </row>
    <row r="821" spans="1:39" ht="13.5" customHeight="1" x14ac:dyDescent="0.3">
      <c r="A821" s="8" t="s">
        <v>20</v>
      </c>
      <c r="B821" s="9"/>
      <c r="C821" s="10">
        <v>7</v>
      </c>
      <c r="D821" s="11"/>
      <c r="E821" s="2"/>
      <c r="AB821" t="str" cm="1">
        <f t="array" ref="AB821:AC821">_xlfn._xlws.FILTER(A821:Z821,A821:Z821&lt;&gt;"","")</f>
        <v>Tourism and Hospitality Studies</v>
      </c>
      <c r="AC821">
        <v>7</v>
      </c>
      <c r="AD821" t="str">
        <v/>
      </c>
      <c r="AE821" t="str">
        <v/>
      </c>
      <c r="AF821" t="str" cm="1">
        <f t="array" ref="AF821">IF(AD821="","",SUMPRODUCT(IF(LEFT($AD$1:AD821,2)="JS",1,0)))</f>
        <v/>
      </c>
      <c r="AG821" t="str">
        <f t="shared" si="48"/>
        <v/>
      </c>
      <c r="AH821" t="str">
        <f t="shared" si="49"/>
        <v/>
      </c>
      <c r="AI821" t="str">
        <f>IF(AH821="","",MAX($AF$1:$AF821))</f>
        <v/>
      </c>
      <c r="AJ821" t="str">
        <f t="shared" si="50"/>
        <v/>
      </c>
      <c r="AK821" t="str">
        <f>IF(AJ821="","",MAX($AF$1:$AF821))</f>
        <v/>
      </c>
      <c r="AL821" t="str">
        <f t="shared" si="51"/>
        <v/>
      </c>
      <c r="AM821" t="str">
        <f>IF(AL821="","",MAX($AF$1:$AF821))</f>
        <v/>
      </c>
    </row>
    <row r="822" spans="1:39" ht="13.5" customHeight="1" x14ac:dyDescent="0.3">
      <c r="A822" s="8" t="s">
        <v>210</v>
      </c>
      <c r="B822" s="9"/>
      <c r="C822" s="10">
        <v>7</v>
      </c>
      <c r="D822" s="11"/>
      <c r="E822" s="2"/>
      <c r="AB822" t="str" cm="1">
        <f t="array" ref="AB822:AC822">_xlfn._xlws.FILTER(A822:Z822,A822:Z822&lt;&gt;"","")</f>
        <v>VA</v>
      </c>
      <c r="AC822">
        <v>7</v>
      </c>
      <c r="AD822" t="str">
        <v/>
      </c>
      <c r="AE822" t="str">
        <v/>
      </c>
      <c r="AF822" t="str" cm="1">
        <f t="array" ref="AF822">IF(AD822="","",SUMPRODUCT(IF(LEFT($AD$1:AD822,2)="JS",1,0)))</f>
        <v/>
      </c>
      <c r="AG822" t="b">
        <f t="shared" si="48"/>
        <v>1</v>
      </c>
      <c r="AH822" t="str">
        <f t="shared" si="49"/>
        <v/>
      </c>
      <c r="AI822" t="str">
        <f>IF(AH822="","",MAX($AF$1:$AF822))</f>
        <v/>
      </c>
      <c r="AJ822" t="str">
        <f t="shared" si="50"/>
        <v>VA</v>
      </c>
      <c r="AK822">
        <f>IF(AJ822="","",MAX($AF$1:$AF822))</f>
        <v>16</v>
      </c>
      <c r="AL822" t="str">
        <f t="shared" si="51"/>
        <v/>
      </c>
      <c r="AM822" t="str">
        <f>IF(AL822="","",MAX($AF$1:$AF822))</f>
        <v/>
      </c>
    </row>
    <row r="823" spans="1:39" ht="26.25" customHeight="1" x14ac:dyDescent="0.3">
      <c r="A823" s="29" t="s">
        <v>34</v>
      </c>
      <c r="B823" s="29"/>
      <c r="C823" s="29"/>
      <c r="D823" s="29"/>
      <c r="E823" s="1"/>
      <c r="AB823" t="str" cm="1">
        <f t="array" ref="AB823">_xlfn._xlws.FILTER(A823:Z823,A823:Z823&lt;&gt;"","")</f>
        <v>Category C: Other Language Subjects</v>
      </c>
      <c r="AD823" t="str">
        <v/>
      </c>
      <c r="AE823" t="str">
        <v/>
      </c>
      <c r="AF823" t="str" cm="1">
        <f t="array" ref="AF823">IF(AD823="","",SUMPRODUCT(IF(LEFT($AD$1:AD823,2)="JS",1,0)))</f>
        <v/>
      </c>
      <c r="AG823" t="str">
        <f t="shared" si="48"/>
        <v/>
      </c>
      <c r="AH823" t="str">
        <f t="shared" si="49"/>
        <v/>
      </c>
      <c r="AI823" t="str">
        <f>IF(AH823="","",MAX($AF$1:$AF823))</f>
        <v/>
      </c>
      <c r="AJ823" t="str">
        <f t="shared" si="50"/>
        <v/>
      </c>
      <c r="AK823" t="str">
        <f>IF(AJ823="","",MAX($AF$1:$AF823))</f>
        <v/>
      </c>
      <c r="AL823" t="str">
        <f t="shared" si="51"/>
        <v/>
      </c>
      <c r="AM823" t="str">
        <f>IF(AL823="","",MAX($AF$1:$AF823))</f>
        <v/>
      </c>
    </row>
    <row r="824" spans="1:39" ht="13.5" customHeight="1" x14ac:dyDescent="0.3">
      <c r="A824" s="14" t="s">
        <v>3</v>
      </c>
      <c r="B824" s="15"/>
      <c r="C824" s="16" t="s">
        <v>4</v>
      </c>
      <c r="D824" s="17"/>
      <c r="E824" s="2"/>
      <c r="AB824" t="str" cm="1">
        <f t="array" ref="AB824:AC824">_xlfn._xlws.FILTER(A824:Z824,A824:Z824&lt;&gt;"","")</f>
        <v>Subject Name</v>
      </c>
      <c r="AC824" t="str">
        <v>Subject Weighting for 2023/24 Admission Exercise *</v>
      </c>
      <c r="AD824" t="str">
        <v/>
      </c>
      <c r="AE824" t="str">
        <v/>
      </c>
      <c r="AF824" t="str" cm="1">
        <f t="array" ref="AF824">IF(AD824="","",SUMPRODUCT(IF(LEFT($AD$1:AD824,2)="JS",1,0)))</f>
        <v/>
      </c>
      <c r="AG824" t="str">
        <f t="shared" si="48"/>
        <v/>
      </c>
      <c r="AH824" t="str">
        <f t="shared" si="49"/>
        <v/>
      </c>
      <c r="AI824" t="str">
        <f>IF(AH824="","",MAX($AF$1:$AF824))</f>
        <v/>
      </c>
      <c r="AJ824" t="str">
        <f t="shared" si="50"/>
        <v/>
      </c>
      <c r="AK824" t="str">
        <f>IF(AJ824="","",MAX($AF$1:$AF824))</f>
        <v/>
      </c>
      <c r="AL824" t="str">
        <f t="shared" si="51"/>
        <v/>
      </c>
      <c r="AM824" t="str">
        <f>IF(AL824="","",MAX($AF$1:$AF824))</f>
        <v/>
      </c>
    </row>
    <row r="825" spans="1:39" ht="13.5" customHeight="1" x14ac:dyDescent="0.3">
      <c r="A825" s="8" t="s">
        <v>35</v>
      </c>
      <c r="B825" s="9"/>
      <c r="C825" s="10">
        <v>7</v>
      </c>
      <c r="D825" s="11"/>
      <c r="E825" s="2"/>
      <c r="AB825" t="str" cm="1">
        <f t="array" ref="AB825:AC825">_xlfn._xlws.FILTER(A825:Z825,A825:Z825&lt;&gt;"","")</f>
        <v>French</v>
      </c>
      <c r="AC825">
        <v>7</v>
      </c>
      <c r="AD825" t="str">
        <v/>
      </c>
      <c r="AE825" t="str">
        <v/>
      </c>
      <c r="AF825" t="str" cm="1">
        <f t="array" ref="AF825">IF(AD825="","",SUMPRODUCT(IF(LEFT($AD$1:AD825,2)="JS",1,0)))</f>
        <v/>
      </c>
      <c r="AG825" t="str">
        <f t="shared" si="48"/>
        <v/>
      </c>
      <c r="AH825" t="str">
        <f t="shared" si="49"/>
        <v/>
      </c>
      <c r="AI825" t="str">
        <f>IF(AH825="","",MAX($AF$1:$AF825))</f>
        <v/>
      </c>
      <c r="AJ825" t="str">
        <f t="shared" si="50"/>
        <v/>
      </c>
      <c r="AK825" t="str">
        <f>IF(AJ825="","",MAX($AF$1:$AF825))</f>
        <v/>
      </c>
      <c r="AL825" t="str">
        <f t="shared" si="51"/>
        <v/>
      </c>
      <c r="AM825" t="str">
        <f>IF(AL825="","",MAX($AF$1:$AF825))</f>
        <v/>
      </c>
    </row>
    <row r="826" spans="1:39" ht="13.5" customHeight="1" x14ac:dyDescent="0.3">
      <c r="A826" s="8" t="s">
        <v>36</v>
      </c>
      <c r="B826" s="9"/>
      <c r="C826" s="10">
        <v>7</v>
      </c>
      <c r="D826" s="11"/>
      <c r="E826" s="2"/>
      <c r="AB826" t="str" cm="1">
        <f t="array" ref="AB826:AC826">_xlfn._xlws.FILTER(A826:Z826,A826:Z826&lt;&gt;"","")</f>
        <v>German</v>
      </c>
      <c r="AC826">
        <v>7</v>
      </c>
      <c r="AD826" t="str">
        <v/>
      </c>
      <c r="AE826" t="str">
        <v/>
      </c>
      <c r="AF826" t="str" cm="1">
        <f t="array" ref="AF826">IF(AD826="","",SUMPRODUCT(IF(LEFT($AD$1:AD826,2)="JS",1,0)))</f>
        <v/>
      </c>
      <c r="AG826" t="str">
        <f t="shared" si="48"/>
        <v/>
      </c>
      <c r="AH826" t="str">
        <f t="shared" si="49"/>
        <v/>
      </c>
      <c r="AI826" t="str">
        <f>IF(AH826="","",MAX($AF$1:$AF826))</f>
        <v/>
      </c>
      <c r="AJ826" t="str">
        <f t="shared" si="50"/>
        <v/>
      </c>
      <c r="AK826" t="str">
        <f>IF(AJ826="","",MAX($AF$1:$AF826))</f>
        <v/>
      </c>
      <c r="AL826" t="str">
        <f t="shared" si="51"/>
        <v/>
      </c>
      <c r="AM826" t="str">
        <f>IF(AL826="","",MAX($AF$1:$AF826))</f>
        <v/>
      </c>
    </row>
    <row r="827" spans="1:39" ht="13.5" customHeight="1" x14ac:dyDescent="0.3">
      <c r="A827" s="8" t="s">
        <v>37</v>
      </c>
      <c r="B827" s="9"/>
      <c r="C827" s="10">
        <v>7</v>
      </c>
      <c r="D827" s="11"/>
      <c r="E827" s="2"/>
      <c r="AB827" t="str" cm="1">
        <f t="array" ref="AB827:AC827">_xlfn._xlws.FILTER(A827:Z827,A827:Z827&lt;&gt;"","")</f>
        <v>Hindi</v>
      </c>
      <c r="AC827">
        <v>7</v>
      </c>
      <c r="AD827" t="str">
        <v/>
      </c>
      <c r="AE827" t="str">
        <v/>
      </c>
      <c r="AF827" t="str" cm="1">
        <f t="array" ref="AF827">IF(AD827="","",SUMPRODUCT(IF(LEFT($AD$1:AD827,2)="JS",1,0)))</f>
        <v/>
      </c>
      <c r="AG827" t="str">
        <f t="shared" si="48"/>
        <v/>
      </c>
      <c r="AH827" t="str">
        <f t="shared" si="49"/>
        <v/>
      </c>
      <c r="AI827" t="str">
        <f>IF(AH827="","",MAX($AF$1:$AF827))</f>
        <v/>
      </c>
      <c r="AJ827" t="str">
        <f t="shared" si="50"/>
        <v/>
      </c>
      <c r="AK827" t="str">
        <f>IF(AJ827="","",MAX($AF$1:$AF827))</f>
        <v/>
      </c>
      <c r="AL827" t="str">
        <f t="shared" si="51"/>
        <v/>
      </c>
      <c r="AM827" t="str">
        <f>IF(AL827="","",MAX($AF$1:$AF827))</f>
        <v/>
      </c>
    </row>
    <row r="828" spans="1:39" ht="13.5" customHeight="1" x14ac:dyDescent="0.3">
      <c r="A828" s="8" t="s">
        <v>38</v>
      </c>
      <c r="B828" s="9"/>
      <c r="C828" s="10">
        <v>7</v>
      </c>
      <c r="D828" s="11"/>
      <c r="E828" s="2"/>
      <c r="AB828" t="str" cm="1">
        <f t="array" ref="AB828:AC828">_xlfn._xlws.FILTER(A828:Z828,A828:Z828&lt;&gt;"","")</f>
        <v>Japanese</v>
      </c>
      <c r="AC828">
        <v>7</v>
      </c>
      <c r="AD828" t="str">
        <v/>
      </c>
      <c r="AE828" t="str">
        <v/>
      </c>
      <c r="AF828" t="str" cm="1">
        <f t="array" ref="AF828">IF(AD828="","",SUMPRODUCT(IF(LEFT($AD$1:AD828,2)="JS",1,0)))</f>
        <v/>
      </c>
      <c r="AG828" t="str">
        <f t="shared" si="48"/>
        <v/>
      </c>
      <c r="AH828" t="str">
        <f t="shared" si="49"/>
        <v/>
      </c>
      <c r="AI828" t="str">
        <f>IF(AH828="","",MAX($AF$1:$AF828))</f>
        <v/>
      </c>
      <c r="AJ828" t="str">
        <f t="shared" si="50"/>
        <v/>
      </c>
      <c r="AK828" t="str">
        <f>IF(AJ828="","",MAX($AF$1:$AF828))</f>
        <v/>
      </c>
      <c r="AL828" t="str">
        <f t="shared" si="51"/>
        <v/>
      </c>
      <c r="AM828" t="str">
        <f>IF(AL828="","",MAX($AF$1:$AF828))</f>
        <v/>
      </c>
    </row>
    <row r="829" spans="1:39" ht="13.5" customHeight="1" x14ac:dyDescent="0.3">
      <c r="A829" s="8" t="s">
        <v>39</v>
      </c>
      <c r="B829" s="9"/>
      <c r="C829" s="10">
        <v>7</v>
      </c>
      <c r="D829" s="11"/>
      <c r="E829" s="2"/>
      <c r="AB829" t="str" cm="1">
        <f t="array" ref="AB829:AC829">_xlfn._xlws.FILTER(A829:Z829,A829:Z829&lt;&gt;"","")</f>
        <v>Spanish</v>
      </c>
      <c r="AC829">
        <v>7</v>
      </c>
      <c r="AD829" t="str">
        <v/>
      </c>
      <c r="AE829" t="str">
        <v/>
      </c>
      <c r="AF829" t="str" cm="1">
        <f t="array" ref="AF829">IF(AD829="","",SUMPRODUCT(IF(LEFT($AD$1:AD829,2)="JS",1,0)))</f>
        <v/>
      </c>
      <c r="AG829" t="str">
        <f t="shared" si="48"/>
        <v/>
      </c>
      <c r="AH829" t="str">
        <f t="shared" si="49"/>
        <v/>
      </c>
      <c r="AI829" t="str">
        <f>IF(AH829="","",MAX($AF$1:$AF829))</f>
        <v/>
      </c>
      <c r="AJ829" t="str">
        <f t="shared" si="50"/>
        <v/>
      </c>
      <c r="AK829" t="str">
        <f>IF(AJ829="","",MAX($AF$1:$AF829))</f>
        <v/>
      </c>
      <c r="AL829" t="str">
        <f t="shared" si="51"/>
        <v/>
      </c>
      <c r="AM829" t="str">
        <f>IF(AL829="","",MAX($AF$1:$AF829))</f>
        <v/>
      </c>
    </row>
    <row r="830" spans="1:39" ht="13.5" customHeight="1" x14ac:dyDescent="0.3">
      <c r="A830" s="8" t="s">
        <v>40</v>
      </c>
      <c r="B830" s="9"/>
      <c r="C830" s="10">
        <v>7</v>
      </c>
      <c r="D830" s="11"/>
      <c r="E830" s="2"/>
      <c r="AB830" t="str" cm="1">
        <f t="array" ref="AB830:AC830">_xlfn._xlws.FILTER(A830:Z830,A830:Z830&lt;&gt;"","")</f>
        <v>Urdu</v>
      </c>
      <c r="AC830">
        <v>7</v>
      </c>
      <c r="AD830" t="str">
        <v/>
      </c>
      <c r="AE830" t="str">
        <v/>
      </c>
      <c r="AF830" t="str" cm="1">
        <f t="array" ref="AF830">IF(AD830="","",SUMPRODUCT(IF(LEFT($AD$1:AD830,2)="JS",1,0)))</f>
        <v/>
      </c>
      <c r="AG830" t="str">
        <f t="shared" si="48"/>
        <v/>
      </c>
      <c r="AH830" t="str">
        <f t="shared" si="49"/>
        <v/>
      </c>
      <c r="AI830" t="str">
        <f>IF(AH830="","",MAX($AF$1:$AF830))</f>
        <v/>
      </c>
      <c r="AJ830" t="str">
        <f t="shared" si="50"/>
        <v/>
      </c>
      <c r="AK830" t="str">
        <f>IF(AJ830="","",MAX($AF$1:$AF830))</f>
        <v/>
      </c>
      <c r="AL830" t="str">
        <f t="shared" si="51"/>
        <v/>
      </c>
      <c r="AM830" t="str">
        <f>IF(AL830="","",MAX($AF$1:$AF830))</f>
        <v/>
      </c>
    </row>
    <row r="831" spans="1:39" ht="26.25" customHeight="1" x14ac:dyDescent="0.3">
      <c r="A831" s="26" t="s">
        <v>41</v>
      </c>
      <c r="B831" s="26"/>
      <c r="C831" s="26"/>
      <c r="D831" s="26"/>
      <c r="E831" s="26"/>
      <c r="AB831" t="str" cm="1">
        <f t="array" ref="AB831">_xlfn._xlws.FILTER(A831:Z831,A831:Z831&lt;&gt;"","")</f>
        <v>* Subject Weighting may be adjusted in the next admissions exercise</v>
      </c>
      <c r="AD831" t="str">
        <v/>
      </c>
      <c r="AE831" t="str">
        <v/>
      </c>
      <c r="AF831" t="str" cm="1">
        <f t="array" ref="AF831">IF(AD831="","",SUMPRODUCT(IF(LEFT($AD$1:AD831,2)="JS",1,0)))</f>
        <v/>
      </c>
      <c r="AG831" t="str">
        <f t="shared" si="48"/>
        <v/>
      </c>
      <c r="AH831" t="str">
        <f t="shared" si="49"/>
        <v/>
      </c>
      <c r="AI831" t="str">
        <f>IF(AH831="","",MAX($AF$1:$AF831))</f>
        <v/>
      </c>
      <c r="AJ831" t="str">
        <f t="shared" si="50"/>
        <v/>
      </c>
      <c r="AK831" t="str">
        <f>IF(AJ831="","",MAX($AF$1:$AF831))</f>
        <v/>
      </c>
      <c r="AL831" t="str">
        <f t="shared" si="51"/>
        <v/>
      </c>
      <c r="AM831" t="str">
        <f>IF(AL831="","",MAX($AF$1:$AF831))</f>
        <v/>
      </c>
    </row>
    <row r="832" spans="1:39" ht="15" customHeight="1" x14ac:dyDescent="0.3">
      <c r="A832" s="18" t="s">
        <v>160</v>
      </c>
      <c r="B832" s="18"/>
      <c r="C832" s="18"/>
      <c r="D832" s="1"/>
      <c r="E832" s="1"/>
      <c r="AB832" t="str" cm="1">
        <f t="array" ref="AB832">_xlfn._xlws.FILTER(A832:Z832,A832:Z832&lt;&gt;"","")</f>
        <v>JUPAS Code: JS3290</v>
      </c>
      <c r="AD832" t="str">
        <v>JS3290</v>
      </c>
      <c r="AE832" t="str">
        <v/>
      </c>
      <c r="AF832" cm="1">
        <f t="array" ref="AF832">IF(AD832="","",SUMPRODUCT(IF(LEFT($AD$1:AD832,2)="JS",1,0)))</f>
        <v>17</v>
      </c>
      <c r="AG832" t="str">
        <f t="shared" si="48"/>
        <v/>
      </c>
      <c r="AH832" t="str">
        <f t="shared" si="49"/>
        <v/>
      </c>
      <c r="AI832" t="str">
        <f>IF(AH832="","",MAX($AF$1:$AF832))</f>
        <v/>
      </c>
      <c r="AJ832" t="str">
        <f t="shared" si="50"/>
        <v/>
      </c>
      <c r="AK832" t="str">
        <f>IF(AJ832="","",MAX($AF$1:$AF832))</f>
        <v/>
      </c>
      <c r="AL832" t="str">
        <f t="shared" si="51"/>
        <v/>
      </c>
      <c r="AM832" t="str">
        <f>IF(AL832="","",MAX($AF$1:$AF832))</f>
        <v/>
      </c>
    </row>
    <row r="833" spans="1:39" ht="24" customHeight="1" x14ac:dyDescent="0.3">
      <c r="A833" s="18" t="s">
        <v>161</v>
      </c>
      <c r="B833" s="18"/>
      <c r="C833" s="18"/>
      <c r="D833" s="1"/>
      <c r="E833" s="1"/>
      <c r="AB833" t="str" cm="1">
        <f t="array" ref="AB833">_xlfn._xlws.FILTER(A833:Z833,A833:Z833&lt;&gt;"","")</f>
        <v>Programme Title: BSc (Hons) Scheme in Optometry</v>
      </c>
      <c r="AD833" t="str">
        <v/>
      </c>
      <c r="AE833" t="str">
        <v>BSc (Hons) Scheme in Optometry</v>
      </c>
      <c r="AF833" t="str" cm="1">
        <f t="array" ref="AF833">IF(AD833="","",SUMPRODUCT(IF(LEFT($AD$1:AD833,2)="JS",1,0)))</f>
        <v/>
      </c>
      <c r="AG833" t="str">
        <f t="shared" ref="AG833:AG896" si="52">IF(ISNUMBER(MATCH(AB833,$AV$3:$AV$18,0)),TRUE,"")</f>
        <v/>
      </c>
      <c r="AH833" t="str">
        <f t="shared" si="49"/>
        <v/>
      </c>
      <c r="AI833" t="str">
        <f>IF(AH833="","",MAX($AF$1:$AF833))</f>
        <v/>
      </c>
      <c r="AJ833" t="str">
        <f t="shared" si="50"/>
        <v/>
      </c>
      <c r="AK833" t="str">
        <f>IF(AJ833="","",MAX($AF$1:$AF833))</f>
        <v/>
      </c>
      <c r="AL833" t="str">
        <f t="shared" si="51"/>
        <v/>
      </c>
      <c r="AM833" t="str">
        <f>IF(AL833="","",MAX($AF$1:$AF833))</f>
        <v/>
      </c>
    </row>
    <row r="834" spans="1:39" ht="13.5" customHeight="1" x14ac:dyDescent="0.3">
      <c r="A834" s="13" t="s">
        <v>2</v>
      </c>
      <c r="B834" s="13"/>
      <c r="C834" s="13"/>
      <c r="D834" s="13"/>
      <c r="E834" s="1"/>
      <c r="AB834" t="str" cm="1">
        <f t="array" ref="AB834">_xlfn._xlws.FILTER(A834:Z834,A834:Z834&lt;&gt;"","")</f>
        <v>Category A: Core and Elective Subjects</v>
      </c>
      <c r="AD834" t="str">
        <v/>
      </c>
      <c r="AE834" t="str">
        <v/>
      </c>
      <c r="AF834" t="str" cm="1">
        <f t="array" ref="AF834">IF(AD834="","",SUMPRODUCT(IF(LEFT($AD$1:AD834,2)="JS",1,0)))</f>
        <v/>
      </c>
      <c r="AG834" t="str">
        <f t="shared" si="52"/>
        <v/>
      </c>
      <c r="AH834" t="str">
        <f t="shared" ref="AH834:AH897" si="53">IF(AND(AC834=10,AG834=TRUE),AB834,"")</f>
        <v/>
      </c>
      <c r="AI834" t="str">
        <f>IF(AH834="","",MAX($AF$1:$AF834))</f>
        <v/>
      </c>
      <c r="AJ834" t="str">
        <f t="shared" ref="AJ834:AJ897" si="54">IF(AND(AC834=7,AG834=TRUE),AB834,"")</f>
        <v/>
      </c>
      <c r="AK834" t="str">
        <f>IF(AJ834="","",MAX($AF$1:$AF834))</f>
        <v/>
      </c>
      <c r="AL834" t="str">
        <f t="shared" ref="AL834:AL897" si="55">IF(AND(AC834=5,AG834=TRUE),AB834,"")</f>
        <v/>
      </c>
      <c r="AM834" t="str">
        <f>IF(AL834="","",MAX($AF$1:$AF834))</f>
        <v/>
      </c>
    </row>
    <row r="835" spans="1:39" ht="13.5" customHeight="1" x14ac:dyDescent="0.3">
      <c r="A835" s="14" t="s">
        <v>3</v>
      </c>
      <c r="B835" s="15"/>
      <c r="C835" s="16" t="s">
        <v>4</v>
      </c>
      <c r="D835" s="17"/>
      <c r="E835" s="2"/>
      <c r="AB835" t="str" cm="1">
        <f t="array" ref="AB835:AC835">_xlfn._xlws.FILTER(A835:Z835,A835:Z835&lt;&gt;"","")</f>
        <v>Subject Name</v>
      </c>
      <c r="AC835" t="str">
        <v>Subject Weighting for 2023/24 Admission Exercise *</v>
      </c>
      <c r="AD835" t="str">
        <v/>
      </c>
      <c r="AE835" t="str">
        <v/>
      </c>
      <c r="AF835" t="str" cm="1">
        <f t="array" ref="AF835">IF(AD835="","",SUMPRODUCT(IF(LEFT($AD$1:AD835,2)="JS",1,0)))</f>
        <v/>
      </c>
      <c r="AG835" t="str">
        <f t="shared" si="52"/>
        <v/>
      </c>
      <c r="AH835" t="str">
        <f t="shared" si="53"/>
        <v/>
      </c>
      <c r="AI835" t="str">
        <f>IF(AH835="","",MAX($AF$1:$AF835))</f>
        <v/>
      </c>
      <c r="AJ835" t="str">
        <f t="shared" si="54"/>
        <v/>
      </c>
      <c r="AK835" t="str">
        <f>IF(AJ835="","",MAX($AF$1:$AF835))</f>
        <v/>
      </c>
      <c r="AL835" t="str">
        <f t="shared" si="55"/>
        <v/>
      </c>
      <c r="AM835" t="str">
        <f>IF(AL835="","",MAX($AF$1:$AF835))</f>
        <v/>
      </c>
    </row>
    <row r="836" spans="1:39" ht="13.5" customHeight="1" x14ac:dyDescent="0.3">
      <c r="A836" s="8" t="s">
        <v>211</v>
      </c>
      <c r="B836" s="9"/>
      <c r="C836" s="10">
        <v>10</v>
      </c>
      <c r="D836" s="11"/>
      <c r="E836" s="2"/>
      <c r="AB836" t="str" cm="1">
        <f t="array" ref="AB836:AC836">_xlfn._xlws.FILTER(A836:Z836,A836:Z836&lt;&gt;"","")</f>
        <v>BIO</v>
      </c>
      <c r="AC836">
        <v>10</v>
      </c>
      <c r="AD836" t="str">
        <v/>
      </c>
      <c r="AE836" t="str">
        <v/>
      </c>
      <c r="AF836" t="str" cm="1">
        <f t="array" ref="AF836">IF(AD836="","",SUMPRODUCT(IF(LEFT($AD$1:AD836,2)="JS",1,0)))</f>
        <v/>
      </c>
      <c r="AG836" t="b">
        <f t="shared" si="52"/>
        <v>1</v>
      </c>
      <c r="AH836" t="str">
        <f t="shared" si="53"/>
        <v>BIO</v>
      </c>
      <c r="AI836">
        <f>IF(AH836="","",MAX($AF$1:$AF836))</f>
        <v>17</v>
      </c>
      <c r="AJ836" t="str">
        <f t="shared" si="54"/>
        <v/>
      </c>
      <c r="AK836" t="str">
        <f>IF(AJ836="","",MAX($AF$1:$AF836))</f>
        <v/>
      </c>
      <c r="AL836" t="str">
        <f t="shared" si="55"/>
        <v/>
      </c>
      <c r="AM836" t="str">
        <f>IF(AL836="","",MAX($AF$1:$AF836))</f>
        <v/>
      </c>
    </row>
    <row r="837" spans="1:39" ht="13.5" customHeight="1" x14ac:dyDescent="0.3">
      <c r="A837" s="8" t="s">
        <v>213</v>
      </c>
      <c r="B837" s="9"/>
      <c r="C837" s="10">
        <v>5</v>
      </c>
      <c r="D837" s="11"/>
      <c r="E837" s="2"/>
      <c r="AB837" t="str" cm="1">
        <f t="array" ref="AB837:AC837">_xlfn._xlws.FILTER(A837:Z837,A837:Z837&lt;&gt;"","")</f>
        <v>BAFS</v>
      </c>
      <c r="AC837">
        <v>5</v>
      </c>
      <c r="AD837" t="str">
        <v/>
      </c>
      <c r="AE837" t="str">
        <v/>
      </c>
      <c r="AF837" t="str" cm="1">
        <f t="array" ref="AF837">IF(AD837="","",SUMPRODUCT(IF(LEFT($AD$1:AD837,2)="JS",1,0)))</f>
        <v/>
      </c>
      <c r="AG837" t="b">
        <f t="shared" si="52"/>
        <v>1</v>
      </c>
      <c r="AH837" t="str">
        <f t="shared" si="53"/>
        <v/>
      </c>
      <c r="AI837" t="str">
        <f>IF(AH837="","",MAX($AF$1:$AF837))</f>
        <v/>
      </c>
      <c r="AJ837" t="str">
        <f t="shared" si="54"/>
        <v/>
      </c>
      <c r="AK837" t="str">
        <f>IF(AJ837="","",MAX($AF$1:$AF837))</f>
        <v/>
      </c>
      <c r="AL837" t="str">
        <f t="shared" si="55"/>
        <v>BAFS</v>
      </c>
      <c r="AM837">
        <f>IF(AL837="","",MAX($AF$1:$AF837))</f>
        <v>17</v>
      </c>
    </row>
    <row r="838" spans="1:39" ht="13.5" customHeight="1" x14ac:dyDescent="0.3">
      <c r="A838" s="8" t="s">
        <v>5</v>
      </c>
      <c r="B838" s="9"/>
      <c r="C838" s="10">
        <v>5</v>
      </c>
      <c r="D838" s="11"/>
      <c r="E838" s="2"/>
      <c r="AB838" t="str" cm="1">
        <f t="array" ref="AB838:AC838">_xlfn._xlws.FILTER(A838:Z838,A838:Z838&lt;&gt;"","")</f>
        <v>Business, Accounting and Financial Studies (Accounting)</v>
      </c>
      <c r="AC838">
        <v>5</v>
      </c>
      <c r="AD838" t="str">
        <v/>
      </c>
      <c r="AE838" t="str">
        <v/>
      </c>
      <c r="AF838" t="str" cm="1">
        <f t="array" ref="AF838">IF(AD838="","",SUMPRODUCT(IF(LEFT($AD$1:AD838,2)="JS",1,0)))</f>
        <v/>
      </c>
      <c r="AG838" t="str">
        <f t="shared" si="52"/>
        <v/>
      </c>
      <c r="AH838" t="str">
        <f t="shared" si="53"/>
        <v/>
      </c>
      <c r="AI838" t="str">
        <f>IF(AH838="","",MAX($AF$1:$AF838))</f>
        <v/>
      </c>
      <c r="AJ838" t="str">
        <f t="shared" si="54"/>
        <v/>
      </c>
      <c r="AK838" t="str">
        <f>IF(AJ838="","",MAX($AF$1:$AF838))</f>
        <v/>
      </c>
      <c r="AL838" t="str">
        <f t="shared" si="55"/>
        <v/>
      </c>
      <c r="AM838" t="str">
        <f>IF(AL838="","",MAX($AF$1:$AF838))</f>
        <v/>
      </c>
    </row>
    <row r="839" spans="1:39" ht="13.5" customHeight="1" x14ac:dyDescent="0.3">
      <c r="A839" s="8" t="s">
        <v>6</v>
      </c>
      <c r="B839" s="9"/>
      <c r="C839" s="10">
        <v>5</v>
      </c>
      <c r="D839" s="11"/>
      <c r="E839" s="2"/>
      <c r="AB839" t="str" cm="1">
        <f t="array" ref="AB839:AC839">_xlfn._xlws.FILTER(A839:Z839,A839:Z839&lt;&gt;"","")</f>
        <v>Business, Accounting and Financial Studies (Business Management)</v>
      </c>
      <c r="AC839">
        <v>5</v>
      </c>
      <c r="AD839" t="str">
        <v/>
      </c>
      <c r="AE839" t="str">
        <v/>
      </c>
      <c r="AF839" t="str" cm="1">
        <f t="array" ref="AF839">IF(AD839="","",SUMPRODUCT(IF(LEFT($AD$1:AD839,2)="JS",1,0)))</f>
        <v/>
      </c>
      <c r="AG839" t="str">
        <f t="shared" si="52"/>
        <v/>
      </c>
      <c r="AH839" t="str">
        <f t="shared" si="53"/>
        <v/>
      </c>
      <c r="AI839" t="str">
        <f>IF(AH839="","",MAX($AF$1:$AF839))</f>
        <v/>
      </c>
      <c r="AJ839" t="str">
        <f t="shared" si="54"/>
        <v/>
      </c>
      <c r="AK839" t="str">
        <f>IF(AJ839="","",MAX($AF$1:$AF839))</f>
        <v/>
      </c>
      <c r="AL839" t="str">
        <f t="shared" si="55"/>
        <v/>
      </c>
      <c r="AM839" t="str">
        <f>IF(AL839="","",MAX($AF$1:$AF839))</f>
        <v/>
      </c>
    </row>
    <row r="840" spans="1:39" ht="13.5" customHeight="1" x14ac:dyDescent="0.3">
      <c r="A840" s="8" t="s">
        <v>212</v>
      </c>
      <c r="B840" s="9"/>
      <c r="C840" s="10">
        <v>10</v>
      </c>
      <c r="D840" s="11"/>
      <c r="E840" s="2"/>
      <c r="AB840" t="str" cm="1">
        <f t="array" ref="AB840:AC840">_xlfn._xlws.FILTER(A840:Z840,A840:Z840&lt;&gt;"","")</f>
        <v>CHEM</v>
      </c>
      <c r="AC840">
        <v>10</v>
      </c>
      <c r="AD840" t="str">
        <v/>
      </c>
      <c r="AE840" t="str">
        <v/>
      </c>
      <c r="AF840" t="str" cm="1">
        <f t="array" ref="AF840">IF(AD840="","",SUMPRODUCT(IF(LEFT($AD$1:AD840,2)="JS",1,0)))</f>
        <v/>
      </c>
      <c r="AG840" t="b">
        <f t="shared" si="52"/>
        <v>1</v>
      </c>
      <c r="AH840" t="str">
        <f t="shared" si="53"/>
        <v>CHEM</v>
      </c>
      <c r="AI840">
        <f>IF(AH840="","",MAX($AF$1:$AF840))</f>
        <v>17</v>
      </c>
      <c r="AJ840" t="str">
        <f t="shared" si="54"/>
        <v/>
      </c>
      <c r="AK840" t="str">
        <f>IF(AJ840="","",MAX($AF$1:$AF840))</f>
        <v/>
      </c>
      <c r="AL840" t="str">
        <f t="shared" si="55"/>
        <v/>
      </c>
      <c r="AM840" t="str">
        <f>IF(AL840="","",MAX($AF$1:$AF840))</f>
        <v/>
      </c>
    </row>
    <row r="841" spans="1:39" ht="13.5" customHeight="1" x14ac:dyDescent="0.3">
      <c r="A841" s="8" t="s">
        <v>214</v>
      </c>
      <c r="B841" s="9"/>
      <c r="C841" s="10">
        <v>5</v>
      </c>
      <c r="D841" s="11"/>
      <c r="E841" s="2"/>
      <c r="AB841" t="str" cm="1">
        <f t="array" ref="AB841:AC841">_xlfn._xlws.FILTER(A841:Z841,A841:Z841&lt;&gt;"","")</f>
        <v>中史</v>
      </c>
      <c r="AC841">
        <v>5</v>
      </c>
      <c r="AD841" t="str">
        <v/>
      </c>
      <c r="AE841" t="str">
        <v/>
      </c>
      <c r="AF841" t="str" cm="1">
        <f t="array" ref="AF841">IF(AD841="","",SUMPRODUCT(IF(LEFT($AD$1:AD841,2)="JS",1,0)))</f>
        <v/>
      </c>
      <c r="AG841" t="b">
        <f t="shared" si="52"/>
        <v>1</v>
      </c>
      <c r="AH841" t="str">
        <f t="shared" si="53"/>
        <v/>
      </c>
      <c r="AI841" t="str">
        <f>IF(AH841="","",MAX($AF$1:$AF841))</f>
        <v/>
      </c>
      <c r="AJ841" t="str">
        <f t="shared" si="54"/>
        <v/>
      </c>
      <c r="AK841" t="str">
        <f>IF(AJ841="","",MAX($AF$1:$AF841))</f>
        <v/>
      </c>
      <c r="AL841" t="str">
        <f t="shared" si="55"/>
        <v>中史</v>
      </c>
      <c r="AM841">
        <f>IF(AL841="","",MAX($AF$1:$AF841))</f>
        <v>17</v>
      </c>
    </row>
    <row r="842" spans="1:39" ht="13.5" customHeight="1" x14ac:dyDescent="0.3">
      <c r="A842" s="8" t="s">
        <v>216</v>
      </c>
      <c r="B842" s="9"/>
      <c r="C842" s="10">
        <v>7</v>
      </c>
      <c r="D842" s="11"/>
      <c r="E842" s="2"/>
      <c r="AB842" t="str" cm="1">
        <f t="array" ref="AB842:AC842">_xlfn._xlws.FILTER(A842:Z842,A842:Z842&lt;&gt;"","")</f>
        <v>中文</v>
      </c>
      <c r="AC842">
        <v>7</v>
      </c>
      <c r="AD842" t="str">
        <v/>
      </c>
      <c r="AE842" t="str">
        <v/>
      </c>
      <c r="AF842" t="str" cm="1">
        <f t="array" ref="AF842">IF(AD842="","",SUMPRODUCT(IF(LEFT($AD$1:AD842,2)="JS",1,0)))</f>
        <v/>
      </c>
      <c r="AG842" t="b">
        <f t="shared" si="52"/>
        <v>1</v>
      </c>
      <c r="AH842" t="str">
        <f t="shared" si="53"/>
        <v/>
      </c>
      <c r="AI842" t="str">
        <f>IF(AH842="","",MAX($AF$1:$AF842))</f>
        <v/>
      </c>
      <c r="AJ842" t="str">
        <f t="shared" si="54"/>
        <v>中文</v>
      </c>
      <c r="AK842">
        <f>IF(AJ842="","",MAX($AF$1:$AF842))</f>
        <v>17</v>
      </c>
      <c r="AL842" t="str">
        <f t="shared" si="55"/>
        <v/>
      </c>
      <c r="AM842" t="str">
        <f>IF(AL842="","",MAX($AF$1:$AF842))</f>
        <v/>
      </c>
    </row>
    <row r="843" spans="1:39" ht="13.5" customHeight="1" x14ac:dyDescent="0.3">
      <c r="A843" s="8" t="s">
        <v>7</v>
      </c>
      <c r="B843" s="9"/>
      <c r="C843" s="10">
        <v>5</v>
      </c>
      <c r="D843" s="11"/>
      <c r="E843" s="2"/>
      <c r="AB843" t="str" cm="1">
        <f t="array" ref="AB843:AC843">_xlfn._xlws.FILTER(A843:Z843,A843:Z843&lt;&gt;"","")</f>
        <v>Chinese Literature</v>
      </c>
      <c r="AC843">
        <v>5</v>
      </c>
      <c r="AD843" t="str">
        <v/>
      </c>
      <c r="AE843" t="str">
        <v/>
      </c>
      <c r="AF843" t="str" cm="1">
        <f t="array" ref="AF843">IF(AD843="","",SUMPRODUCT(IF(LEFT($AD$1:AD843,2)="JS",1,0)))</f>
        <v/>
      </c>
      <c r="AG843" t="str">
        <f t="shared" si="52"/>
        <v/>
      </c>
      <c r="AH843" t="str">
        <f t="shared" si="53"/>
        <v/>
      </c>
      <c r="AI843" t="str">
        <f>IF(AH843="","",MAX($AF$1:$AF843))</f>
        <v/>
      </c>
      <c r="AJ843" t="str">
        <f t="shared" si="54"/>
        <v/>
      </c>
      <c r="AK843" t="str">
        <f>IF(AJ843="","",MAX($AF$1:$AF843))</f>
        <v/>
      </c>
      <c r="AL843" t="str">
        <f t="shared" si="55"/>
        <v/>
      </c>
      <c r="AM843" t="str">
        <f>IF(AL843="","",MAX($AF$1:$AF843))</f>
        <v/>
      </c>
    </row>
    <row r="844" spans="1:39" ht="13.5" customHeight="1" x14ac:dyDescent="0.3">
      <c r="A844" s="8" t="s">
        <v>8</v>
      </c>
      <c r="B844" s="9"/>
      <c r="C844" s="10">
        <v>10</v>
      </c>
      <c r="D844" s="11"/>
      <c r="E844" s="2"/>
      <c r="AB844" t="str" cm="1">
        <f t="array" ref="AB844:AC844">_xlfn._xlws.FILTER(A844:Z844,A844:Z844&lt;&gt;"","")</f>
        <v>Combined Science: Biology + Chemistry</v>
      </c>
      <c r="AC844">
        <v>10</v>
      </c>
      <c r="AD844" t="str">
        <v/>
      </c>
      <c r="AE844" t="str">
        <v/>
      </c>
      <c r="AF844" t="str" cm="1">
        <f t="array" ref="AF844">IF(AD844="","",SUMPRODUCT(IF(LEFT($AD$1:AD844,2)="JS",1,0)))</f>
        <v/>
      </c>
      <c r="AG844" t="str">
        <f t="shared" si="52"/>
        <v/>
      </c>
      <c r="AH844" t="str">
        <f t="shared" si="53"/>
        <v/>
      </c>
      <c r="AI844" t="str">
        <f>IF(AH844="","",MAX($AF$1:$AF844))</f>
        <v/>
      </c>
      <c r="AJ844" t="str">
        <f t="shared" si="54"/>
        <v/>
      </c>
      <c r="AK844" t="str">
        <f>IF(AJ844="","",MAX($AF$1:$AF844))</f>
        <v/>
      </c>
      <c r="AL844" t="str">
        <f t="shared" si="55"/>
        <v/>
      </c>
      <c r="AM844" t="str">
        <f>IF(AL844="","",MAX($AF$1:$AF844))</f>
        <v/>
      </c>
    </row>
    <row r="845" spans="1:39" ht="13.5" customHeight="1" x14ac:dyDescent="0.3">
      <c r="A845" s="8" t="s">
        <v>9</v>
      </c>
      <c r="B845" s="9"/>
      <c r="C845" s="10">
        <v>10</v>
      </c>
      <c r="D845" s="11"/>
      <c r="E845" s="2"/>
      <c r="AB845" t="str" cm="1">
        <f t="array" ref="AB845:AC845">_xlfn._xlws.FILTER(A845:Z845,A845:Z845&lt;&gt;"","")</f>
        <v>Combined Science: Biology + Physics</v>
      </c>
      <c r="AC845">
        <v>10</v>
      </c>
      <c r="AD845" t="str">
        <v/>
      </c>
      <c r="AE845" t="str">
        <v/>
      </c>
      <c r="AF845" t="str" cm="1">
        <f t="array" ref="AF845">IF(AD845="","",SUMPRODUCT(IF(LEFT($AD$1:AD845,2)="JS",1,0)))</f>
        <v/>
      </c>
      <c r="AG845" t="str">
        <f t="shared" si="52"/>
        <v/>
      </c>
      <c r="AH845" t="str">
        <f t="shared" si="53"/>
        <v/>
      </c>
      <c r="AI845" t="str">
        <f>IF(AH845="","",MAX($AF$1:$AF845))</f>
        <v/>
      </c>
      <c r="AJ845" t="str">
        <f t="shared" si="54"/>
        <v/>
      </c>
      <c r="AK845" t="str">
        <f>IF(AJ845="","",MAX($AF$1:$AF845))</f>
        <v/>
      </c>
      <c r="AL845" t="str">
        <f t="shared" si="55"/>
        <v/>
      </c>
      <c r="AM845" t="str">
        <f>IF(AL845="","",MAX($AF$1:$AF845))</f>
        <v/>
      </c>
    </row>
    <row r="846" spans="1:39" ht="13.5" customHeight="1" x14ac:dyDescent="0.3">
      <c r="A846" s="8" t="s">
        <v>10</v>
      </c>
      <c r="B846" s="9"/>
      <c r="C846" s="10">
        <v>10</v>
      </c>
      <c r="D846" s="11"/>
      <c r="E846" s="2"/>
      <c r="AB846" t="str" cm="1">
        <f t="array" ref="AB846:AC846">_xlfn._xlws.FILTER(A846:Z846,A846:Z846&lt;&gt;"","")</f>
        <v>Combined Science: Physics + Chemistry</v>
      </c>
      <c r="AC846">
        <v>10</v>
      </c>
      <c r="AD846" t="str">
        <v/>
      </c>
      <c r="AE846" t="str">
        <v/>
      </c>
      <c r="AF846" t="str" cm="1">
        <f t="array" ref="AF846">IF(AD846="","",SUMPRODUCT(IF(LEFT($AD$1:AD846,2)="JS",1,0)))</f>
        <v/>
      </c>
      <c r="AG846" t="str">
        <f t="shared" si="52"/>
        <v/>
      </c>
      <c r="AH846" t="str">
        <f t="shared" si="53"/>
        <v/>
      </c>
      <c r="AI846" t="str">
        <f>IF(AH846="","",MAX($AF$1:$AF846))</f>
        <v/>
      </c>
      <c r="AJ846" t="str">
        <f t="shared" si="54"/>
        <v/>
      </c>
      <c r="AK846" t="str">
        <f>IF(AJ846="","",MAX($AF$1:$AF846))</f>
        <v/>
      </c>
      <c r="AL846" t="str">
        <f t="shared" si="55"/>
        <v/>
      </c>
      <c r="AM846" t="str">
        <f>IF(AL846="","",MAX($AF$1:$AF846))</f>
        <v/>
      </c>
    </row>
    <row r="847" spans="1:39" ht="13.5" customHeight="1" x14ac:dyDescent="0.3">
      <c r="A847" s="8" t="s">
        <v>11</v>
      </c>
      <c r="B847" s="9"/>
      <c r="C847" s="10">
        <v>5</v>
      </c>
      <c r="D847" s="11"/>
      <c r="E847" s="2"/>
      <c r="AB847" t="str" cm="1">
        <f t="array" ref="AB847:AC847">_xlfn._xlws.FILTER(A847:Z847,A847:Z847&lt;&gt;"","")</f>
        <v>Design and Applied Technology</v>
      </c>
      <c r="AC847">
        <v>5</v>
      </c>
      <c r="AD847" t="str">
        <v/>
      </c>
      <c r="AE847" t="str">
        <v/>
      </c>
      <c r="AF847" t="str" cm="1">
        <f t="array" ref="AF847">IF(AD847="","",SUMPRODUCT(IF(LEFT($AD$1:AD847,2)="JS",1,0)))</f>
        <v/>
      </c>
      <c r="AG847" t="str">
        <f t="shared" si="52"/>
        <v/>
      </c>
      <c r="AH847" t="str">
        <f t="shared" si="53"/>
        <v/>
      </c>
      <c r="AI847" t="str">
        <f>IF(AH847="","",MAX($AF$1:$AF847))</f>
        <v/>
      </c>
      <c r="AJ847" t="str">
        <f t="shared" si="54"/>
        <v/>
      </c>
      <c r="AK847" t="str">
        <f>IF(AJ847="","",MAX($AF$1:$AF847))</f>
        <v/>
      </c>
      <c r="AL847" t="str">
        <f t="shared" si="55"/>
        <v/>
      </c>
      <c r="AM847" t="str">
        <f>IF(AL847="","",MAX($AF$1:$AF847))</f>
        <v/>
      </c>
    </row>
    <row r="848" spans="1:39" ht="13.5" customHeight="1" x14ac:dyDescent="0.3">
      <c r="A848" s="8" t="s">
        <v>217</v>
      </c>
      <c r="B848" s="9"/>
      <c r="C848" s="10">
        <v>5</v>
      </c>
      <c r="D848" s="11"/>
      <c r="E848" s="2"/>
      <c r="AB848" t="str" cm="1">
        <f t="array" ref="AB848:AC848">_xlfn._xlws.FILTER(A848:Z848,A848:Z848&lt;&gt;"","")</f>
        <v>ECON</v>
      </c>
      <c r="AC848">
        <v>5</v>
      </c>
      <c r="AD848" t="str">
        <v/>
      </c>
      <c r="AE848" t="str">
        <v/>
      </c>
      <c r="AF848" t="str" cm="1">
        <f t="array" ref="AF848">IF(AD848="","",SUMPRODUCT(IF(LEFT($AD$1:AD848,2)="JS",1,0)))</f>
        <v/>
      </c>
      <c r="AG848" t="b">
        <f t="shared" si="52"/>
        <v>1</v>
      </c>
      <c r="AH848" t="str">
        <f t="shared" si="53"/>
        <v/>
      </c>
      <c r="AI848" t="str">
        <f>IF(AH848="","",MAX($AF$1:$AF848))</f>
        <v/>
      </c>
      <c r="AJ848" t="str">
        <f t="shared" si="54"/>
        <v/>
      </c>
      <c r="AK848" t="str">
        <f>IF(AJ848="","",MAX($AF$1:$AF848))</f>
        <v/>
      </c>
      <c r="AL848" t="str">
        <f t="shared" si="55"/>
        <v>ECON</v>
      </c>
      <c r="AM848">
        <f>IF(AL848="","",MAX($AF$1:$AF848))</f>
        <v>17</v>
      </c>
    </row>
    <row r="849" spans="1:39" ht="13.5" customHeight="1" x14ac:dyDescent="0.3">
      <c r="A849" s="8" t="s">
        <v>218</v>
      </c>
      <c r="B849" s="9"/>
      <c r="C849" s="10">
        <v>10</v>
      </c>
      <c r="D849" s="11"/>
      <c r="E849" s="2"/>
      <c r="AB849" t="str" cm="1">
        <f t="array" ref="AB849:AC849">_xlfn._xlws.FILTER(A849:Z849,A849:Z849&lt;&gt;"","")</f>
        <v>ENG</v>
      </c>
      <c r="AC849">
        <v>10</v>
      </c>
      <c r="AD849" t="str">
        <v/>
      </c>
      <c r="AE849" t="str">
        <v/>
      </c>
      <c r="AF849" t="str" cm="1">
        <f t="array" ref="AF849">IF(AD849="","",SUMPRODUCT(IF(LEFT($AD$1:AD849,2)="JS",1,0)))</f>
        <v/>
      </c>
      <c r="AG849" t="b">
        <f t="shared" si="52"/>
        <v>1</v>
      </c>
      <c r="AH849" t="str">
        <f t="shared" si="53"/>
        <v>ENG</v>
      </c>
      <c r="AI849">
        <f>IF(AH849="","",MAX($AF$1:$AF849))</f>
        <v>17</v>
      </c>
      <c r="AJ849" t="str">
        <f t="shared" si="54"/>
        <v/>
      </c>
      <c r="AK849" t="str">
        <f>IF(AJ849="","",MAX($AF$1:$AF849))</f>
        <v/>
      </c>
      <c r="AL849" t="str">
        <f t="shared" si="55"/>
        <v/>
      </c>
      <c r="AM849" t="str">
        <f>IF(AL849="","",MAX($AF$1:$AF849))</f>
        <v/>
      </c>
    </row>
    <row r="850" spans="1:39" ht="13.5" customHeight="1" x14ac:dyDescent="0.3">
      <c r="A850" s="8" t="s">
        <v>12</v>
      </c>
      <c r="B850" s="9"/>
      <c r="C850" s="10">
        <v>5</v>
      </c>
      <c r="D850" s="11"/>
      <c r="E850" s="2"/>
      <c r="AB850" t="str" cm="1">
        <f t="array" ref="AB850:AC850">_xlfn._xlws.FILTER(A850:Z850,A850:Z850&lt;&gt;"","")</f>
        <v>Ethics and Religious Studies</v>
      </c>
      <c r="AC850">
        <v>5</v>
      </c>
      <c r="AD850" t="str">
        <v/>
      </c>
      <c r="AE850" t="str">
        <v/>
      </c>
      <c r="AF850" t="str" cm="1">
        <f t="array" ref="AF850">IF(AD850="","",SUMPRODUCT(IF(LEFT($AD$1:AD850,2)="JS",1,0)))</f>
        <v/>
      </c>
      <c r="AG850" t="str">
        <f t="shared" si="52"/>
        <v/>
      </c>
      <c r="AH850" t="str">
        <f t="shared" si="53"/>
        <v/>
      </c>
      <c r="AI850" t="str">
        <f>IF(AH850="","",MAX($AF$1:$AF850))</f>
        <v/>
      </c>
      <c r="AJ850" t="str">
        <f t="shared" si="54"/>
        <v/>
      </c>
      <c r="AK850" t="str">
        <f>IF(AJ850="","",MAX($AF$1:$AF850))</f>
        <v/>
      </c>
      <c r="AL850" t="str">
        <f t="shared" si="55"/>
        <v/>
      </c>
      <c r="AM850" t="str">
        <f>IF(AL850="","",MAX($AF$1:$AF850))</f>
        <v/>
      </c>
    </row>
    <row r="851" spans="1:39" ht="13.5" customHeight="1" x14ac:dyDescent="0.3">
      <c r="A851" s="8" t="s">
        <v>219</v>
      </c>
      <c r="B851" s="9"/>
      <c r="C851" s="10">
        <v>5</v>
      </c>
      <c r="D851" s="11"/>
      <c r="E851" s="2"/>
      <c r="AB851" t="str" cm="1">
        <f t="array" ref="AB851:AC851">_xlfn._xlws.FILTER(A851:Z851,A851:Z851&lt;&gt;"","")</f>
        <v>GEOG</v>
      </c>
      <c r="AC851">
        <v>5</v>
      </c>
      <c r="AD851" t="str">
        <v/>
      </c>
      <c r="AE851" t="str">
        <v/>
      </c>
      <c r="AF851" t="str" cm="1">
        <f t="array" ref="AF851">IF(AD851="","",SUMPRODUCT(IF(LEFT($AD$1:AD851,2)="JS",1,0)))</f>
        <v/>
      </c>
      <c r="AG851" t="b">
        <f t="shared" si="52"/>
        <v>1</v>
      </c>
      <c r="AH851" t="str">
        <f t="shared" si="53"/>
        <v/>
      </c>
      <c r="AI851" t="str">
        <f>IF(AH851="","",MAX($AF$1:$AF851))</f>
        <v/>
      </c>
      <c r="AJ851" t="str">
        <f t="shared" si="54"/>
        <v/>
      </c>
      <c r="AK851" t="str">
        <f>IF(AJ851="","",MAX($AF$1:$AF851))</f>
        <v/>
      </c>
      <c r="AL851" t="str">
        <f t="shared" si="55"/>
        <v>GEOG</v>
      </c>
      <c r="AM851">
        <f>IF(AL851="","",MAX($AF$1:$AF851))</f>
        <v>17</v>
      </c>
    </row>
    <row r="852" spans="1:39" ht="13.5" customHeight="1" x14ac:dyDescent="0.3">
      <c r="A852" s="8" t="s">
        <v>220</v>
      </c>
      <c r="B852" s="9"/>
      <c r="C852" s="10">
        <v>5</v>
      </c>
      <c r="D852" s="11"/>
      <c r="E852" s="2"/>
      <c r="AB852" t="str" cm="1">
        <f t="array" ref="AB852:AC852">_xlfn._xlws.FILTER(A852:Z852,A852:Z852&lt;&gt;"","")</f>
        <v>HMSC</v>
      </c>
      <c r="AC852">
        <v>5</v>
      </c>
      <c r="AD852" t="str">
        <v/>
      </c>
      <c r="AE852" t="str">
        <v/>
      </c>
      <c r="AF852" t="str" cm="1">
        <f t="array" ref="AF852">IF(AD852="","",SUMPRODUCT(IF(LEFT($AD$1:AD852,2)="JS",1,0)))</f>
        <v/>
      </c>
      <c r="AG852" t="b">
        <f t="shared" si="52"/>
        <v>1</v>
      </c>
      <c r="AH852" t="str">
        <f t="shared" si="53"/>
        <v/>
      </c>
      <c r="AI852" t="str">
        <f>IF(AH852="","",MAX($AF$1:$AF852))</f>
        <v/>
      </c>
      <c r="AJ852" t="str">
        <f t="shared" si="54"/>
        <v/>
      </c>
      <c r="AK852" t="str">
        <f>IF(AJ852="","",MAX($AF$1:$AF852))</f>
        <v/>
      </c>
      <c r="AL852" t="str">
        <f t="shared" si="55"/>
        <v>HMSC</v>
      </c>
      <c r="AM852">
        <f>IF(AL852="","",MAX($AF$1:$AF852))</f>
        <v>17</v>
      </c>
    </row>
    <row r="853" spans="1:39" ht="13.5" customHeight="1" x14ac:dyDescent="0.3">
      <c r="A853" s="8" t="s">
        <v>221</v>
      </c>
      <c r="B853" s="9"/>
      <c r="C853" s="10">
        <v>5</v>
      </c>
      <c r="D853" s="11"/>
      <c r="E853" s="2"/>
      <c r="AB853" t="str" cm="1">
        <f t="array" ref="AB853:AC853">_xlfn._xlws.FILTER(A853:Z853,A853:Z853&lt;&gt;"","")</f>
        <v>HIST</v>
      </c>
      <c r="AC853">
        <v>5</v>
      </c>
      <c r="AD853" t="str">
        <v/>
      </c>
      <c r="AE853" t="str">
        <v/>
      </c>
      <c r="AF853" t="str" cm="1">
        <f t="array" ref="AF853">IF(AD853="","",SUMPRODUCT(IF(LEFT($AD$1:AD853,2)="JS",1,0)))</f>
        <v/>
      </c>
      <c r="AG853" t="b">
        <f t="shared" si="52"/>
        <v>1</v>
      </c>
      <c r="AH853" t="str">
        <f t="shared" si="53"/>
        <v/>
      </c>
      <c r="AI853" t="str">
        <f>IF(AH853="","",MAX($AF$1:$AF853))</f>
        <v/>
      </c>
      <c r="AJ853" t="str">
        <f t="shared" si="54"/>
        <v/>
      </c>
      <c r="AK853" t="str">
        <f>IF(AJ853="","",MAX($AF$1:$AF853))</f>
        <v/>
      </c>
      <c r="AL853" t="str">
        <f t="shared" si="55"/>
        <v>HIST</v>
      </c>
      <c r="AM853">
        <f>IF(AL853="","",MAX($AF$1:$AF853))</f>
        <v>17</v>
      </c>
    </row>
    <row r="854" spans="1:39" ht="13.5" customHeight="1" x14ac:dyDescent="0.3">
      <c r="A854" s="8" t="s">
        <v>222</v>
      </c>
      <c r="B854" s="9"/>
      <c r="C854" s="10">
        <v>5</v>
      </c>
      <c r="D854" s="11"/>
      <c r="E854" s="2"/>
      <c r="AB854" t="str" cm="1">
        <f t="array" ref="AB854:AC854">_xlfn._xlws.FILTER(A854:Z854,A854:Z854&lt;&gt;"","")</f>
        <v>ICT</v>
      </c>
      <c r="AC854">
        <v>5</v>
      </c>
      <c r="AD854" t="str">
        <v/>
      </c>
      <c r="AE854" t="str">
        <v/>
      </c>
      <c r="AF854" t="str" cm="1">
        <f t="array" ref="AF854">IF(AD854="","",SUMPRODUCT(IF(LEFT($AD$1:AD854,2)="JS",1,0)))</f>
        <v/>
      </c>
      <c r="AG854" t="b">
        <f t="shared" si="52"/>
        <v>1</v>
      </c>
      <c r="AH854" t="str">
        <f t="shared" si="53"/>
        <v/>
      </c>
      <c r="AI854" t="str">
        <f>IF(AH854="","",MAX($AF$1:$AF854))</f>
        <v/>
      </c>
      <c r="AJ854" t="str">
        <f t="shared" si="54"/>
        <v/>
      </c>
      <c r="AK854" t="str">
        <f>IF(AJ854="","",MAX($AF$1:$AF854))</f>
        <v/>
      </c>
      <c r="AL854" t="str">
        <f t="shared" si="55"/>
        <v>ICT</v>
      </c>
      <c r="AM854">
        <f>IF(AL854="","",MAX($AF$1:$AF854))</f>
        <v>17</v>
      </c>
    </row>
    <row r="855" spans="1:39" ht="13.5" customHeight="1" x14ac:dyDescent="0.3">
      <c r="A855" s="8" t="s">
        <v>13</v>
      </c>
      <c r="B855" s="9"/>
      <c r="C855" s="10">
        <v>5</v>
      </c>
      <c r="D855" s="11"/>
      <c r="E855" s="2"/>
      <c r="AB855" t="str" cm="1">
        <f t="array" ref="AB855:AC855">_xlfn._xlws.FILTER(A855:Z855,A855:Z855&lt;&gt;"","")</f>
        <v>Integrated Science</v>
      </c>
      <c r="AC855">
        <v>5</v>
      </c>
      <c r="AD855" t="str">
        <v/>
      </c>
      <c r="AE855" t="str">
        <v/>
      </c>
      <c r="AF855" t="str" cm="1">
        <f t="array" ref="AF855">IF(AD855="","",SUMPRODUCT(IF(LEFT($AD$1:AD855,2)="JS",1,0)))</f>
        <v/>
      </c>
      <c r="AG855" t="str">
        <f t="shared" si="52"/>
        <v/>
      </c>
      <c r="AH855" t="str">
        <f t="shared" si="53"/>
        <v/>
      </c>
      <c r="AI855" t="str">
        <f>IF(AH855="","",MAX($AF$1:$AF855))</f>
        <v/>
      </c>
      <c r="AJ855" t="str">
        <f t="shared" si="54"/>
        <v/>
      </c>
      <c r="AK855" t="str">
        <f>IF(AJ855="","",MAX($AF$1:$AF855))</f>
        <v/>
      </c>
      <c r="AL855" t="str">
        <f t="shared" si="55"/>
        <v/>
      </c>
      <c r="AM855" t="str">
        <f>IF(AL855="","",MAX($AF$1:$AF855))</f>
        <v/>
      </c>
    </row>
    <row r="856" spans="1:39" ht="13.5" customHeight="1" x14ac:dyDescent="0.3">
      <c r="A856" s="8" t="s">
        <v>223</v>
      </c>
      <c r="B856" s="9"/>
      <c r="C856" s="10">
        <v>7</v>
      </c>
      <c r="D856" s="11"/>
      <c r="E856" s="2"/>
      <c r="AB856" t="str" cm="1">
        <f t="array" ref="AB856:AC856">_xlfn._xlws.FILTER(A856:Z856,A856:Z856&lt;&gt;"","")</f>
        <v>通</v>
      </c>
      <c r="AC856">
        <v>7</v>
      </c>
      <c r="AD856" t="str">
        <v/>
      </c>
      <c r="AE856" t="str">
        <v/>
      </c>
      <c r="AF856" t="str" cm="1">
        <f t="array" ref="AF856">IF(AD856="","",SUMPRODUCT(IF(LEFT($AD$1:AD856,2)="JS",1,0)))</f>
        <v/>
      </c>
      <c r="AG856" t="b">
        <f t="shared" si="52"/>
        <v>1</v>
      </c>
      <c r="AH856" t="str">
        <f t="shared" si="53"/>
        <v/>
      </c>
      <c r="AI856" t="str">
        <f>IF(AH856="","",MAX($AF$1:$AF856))</f>
        <v/>
      </c>
      <c r="AJ856" t="str">
        <f t="shared" si="54"/>
        <v>通</v>
      </c>
      <c r="AK856">
        <f>IF(AJ856="","",MAX($AF$1:$AF856))</f>
        <v>17</v>
      </c>
      <c r="AL856" t="str">
        <f t="shared" si="55"/>
        <v/>
      </c>
      <c r="AM856" t="str">
        <f>IF(AL856="","",MAX($AF$1:$AF856))</f>
        <v/>
      </c>
    </row>
    <row r="857" spans="1:39" ht="13.5" customHeight="1" x14ac:dyDescent="0.3">
      <c r="A857" s="8" t="s">
        <v>14</v>
      </c>
      <c r="B857" s="9"/>
      <c r="C857" s="10">
        <v>5</v>
      </c>
      <c r="D857" s="11"/>
      <c r="E857" s="2"/>
      <c r="AB857" t="str" cm="1">
        <f t="array" ref="AB857:AC857">_xlfn._xlws.FILTER(A857:Z857,A857:Z857&lt;&gt;"","")</f>
        <v>Literature in English</v>
      </c>
      <c r="AC857">
        <v>5</v>
      </c>
      <c r="AD857" t="str">
        <v/>
      </c>
      <c r="AE857" t="str">
        <v/>
      </c>
      <c r="AF857" t="str" cm="1">
        <f t="array" ref="AF857">IF(AD857="","",SUMPRODUCT(IF(LEFT($AD$1:AD857,2)="JS",1,0)))</f>
        <v/>
      </c>
      <c r="AG857" t="str">
        <f t="shared" si="52"/>
        <v/>
      </c>
      <c r="AH857" t="str">
        <f t="shared" si="53"/>
        <v/>
      </c>
      <c r="AI857" t="str">
        <f>IF(AH857="","",MAX($AF$1:$AF857))</f>
        <v/>
      </c>
      <c r="AJ857" t="str">
        <f t="shared" si="54"/>
        <v/>
      </c>
      <c r="AK857" t="str">
        <f>IF(AJ857="","",MAX($AF$1:$AF857))</f>
        <v/>
      </c>
      <c r="AL857" t="str">
        <f t="shared" si="55"/>
        <v/>
      </c>
      <c r="AM857" t="str">
        <f>IF(AL857="","",MAX($AF$1:$AF857))</f>
        <v/>
      </c>
    </row>
    <row r="858" spans="1:39" ht="13.5" customHeight="1" x14ac:dyDescent="0.3">
      <c r="A858" s="8" t="s">
        <v>224</v>
      </c>
      <c r="B858" s="9"/>
      <c r="C858" s="10">
        <v>10</v>
      </c>
      <c r="D858" s="11"/>
      <c r="E858" s="2"/>
      <c r="AB858" t="str" cm="1">
        <f t="array" ref="AB858:AC858">_xlfn._xlws.FILTER(A858:Z858,A858:Z858&lt;&gt;"","")</f>
        <v>MATH</v>
      </c>
      <c r="AC858">
        <v>10</v>
      </c>
      <c r="AD858" t="str">
        <v/>
      </c>
      <c r="AE858" t="str">
        <v/>
      </c>
      <c r="AF858" t="str" cm="1">
        <f t="array" ref="AF858">IF(AD858="","",SUMPRODUCT(IF(LEFT($AD$1:AD858,2)="JS",1,0)))</f>
        <v/>
      </c>
      <c r="AG858" t="b">
        <f t="shared" si="52"/>
        <v>1</v>
      </c>
      <c r="AH858" t="str">
        <f t="shared" si="53"/>
        <v>MATH</v>
      </c>
      <c r="AI858">
        <f>IF(AH858="","",MAX($AF$1:$AF858))</f>
        <v>17</v>
      </c>
      <c r="AJ858" t="str">
        <f t="shared" si="54"/>
        <v/>
      </c>
      <c r="AK858" t="str">
        <f>IF(AJ858="","",MAX($AF$1:$AF858))</f>
        <v/>
      </c>
      <c r="AL858" t="str">
        <f t="shared" si="55"/>
        <v/>
      </c>
      <c r="AM858" t="str">
        <f>IF(AL858="","",MAX($AF$1:$AF858))</f>
        <v/>
      </c>
    </row>
    <row r="859" spans="1:39" ht="13.5" customHeight="1" x14ac:dyDescent="0.3">
      <c r="A859" s="8" t="s">
        <v>225</v>
      </c>
      <c r="B859" s="9"/>
      <c r="C859" s="10">
        <v>10</v>
      </c>
      <c r="D859" s="11"/>
      <c r="E859" s="2"/>
      <c r="AB859" t="str" cm="1">
        <f t="array" ref="AB859:AC859">_xlfn._xlws.FILTER(A859:Z859,A859:Z859&lt;&gt;"","")</f>
        <v>M2</v>
      </c>
      <c r="AC859">
        <v>10</v>
      </c>
      <c r="AD859" t="str">
        <v/>
      </c>
      <c r="AE859" t="str">
        <v/>
      </c>
      <c r="AF859" t="str" cm="1">
        <f t="array" ref="AF859">IF(AD859="","",SUMPRODUCT(IF(LEFT($AD$1:AD859,2)="JS",1,0)))</f>
        <v/>
      </c>
      <c r="AG859" t="b">
        <f t="shared" si="52"/>
        <v>1</v>
      </c>
      <c r="AH859" t="str">
        <f t="shared" si="53"/>
        <v>M2</v>
      </c>
      <c r="AI859">
        <f>IF(AH859="","",MAX($AF$1:$AF859))</f>
        <v>17</v>
      </c>
      <c r="AJ859" t="str">
        <f t="shared" si="54"/>
        <v/>
      </c>
      <c r="AK859" t="str">
        <f>IF(AJ859="","",MAX($AF$1:$AF859))</f>
        <v/>
      </c>
      <c r="AL859" t="str">
        <f t="shared" si="55"/>
        <v/>
      </c>
      <c r="AM859" t="str">
        <f>IF(AL859="","",MAX($AF$1:$AF859))</f>
        <v/>
      </c>
    </row>
    <row r="860" spans="1:39" ht="13.5" customHeight="1" x14ac:dyDescent="0.3">
      <c r="A860" s="8" t="s">
        <v>15</v>
      </c>
      <c r="B860" s="9"/>
      <c r="C860" s="10">
        <v>10</v>
      </c>
      <c r="D860" s="11"/>
      <c r="E860" s="2"/>
      <c r="AB860" t="str" cm="1">
        <f t="array" ref="AB860:AC860">_xlfn._xlws.FILTER(A860:Z860,A860:Z860&lt;&gt;"","")</f>
        <v>Mathematics (Extended part - Calculus and Statistics)</v>
      </c>
      <c r="AC860">
        <v>10</v>
      </c>
      <c r="AD860" t="str">
        <v/>
      </c>
      <c r="AE860" t="str">
        <v/>
      </c>
      <c r="AF860" t="str" cm="1">
        <f t="array" ref="AF860">IF(AD860="","",SUMPRODUCT(IF(LEFT($AD$1:AD860,2)="JS",1,0)))</f>
        <v/>
      </c>
      <c r="AG860" t="str">
        <f t="shared" si="52"/>
        <v/>
      </c>
      <c r="AH860" t="str">
        <f t="shared" si="53"/>
        <v/>
      </c>
      <c r="AI860" t="str">
        <f>IF(AH860="","",MAX($AF$1:$AF860))</f>
        <v/>
      </c>
      <c r="AJ860" t="str">
        <f t="shared" si="54"/>
        <v/>
      </c>
      <c r="AK860" t="str">
        <f>IF(AJ860="","",MAX($AF$1:$AF860))</f>
        <v/>
      </c>
      <c r="AL860" t="str">
        <f t="shared" si="55"/>
        <v/>
      </c>
      <c r="AM860" t="str">
        <f>IF(AL860="","",MAX($AF$1:$AF860))</f>
        <v/>
      </c>
    </row>
    <row r="861" spans="1:39" ht="13.5" customHeight="1" x14ac:dyDescent="0.3">
      <c r="A861" s="8" t="s">
        <v>16</v>
      </c>
      <c r="B861" s="9"/>
      <c r="C861" s="10">
        <v>5</v>
      </c>
      <c r="D861" s="11"/>
      <c r="E861" s="2"/>
      <c r="AB861" t="str" cm="1">
        <f t="array" ref="AB861:AC861">_xlfn._xlws.FILTER(A861:Z861,A861:Z861&lt;&gt;"","")</f>
        <v>Music</v>
      </c>
      <c r="AC861">
        <v>5</v>
      </c>
      <c r="AD861" t="str">
        <v/>
      </c>
      <c r="AE861" t="str">
        <v/>
      </c>
      <c r="AF861" t="str" cm="1">
        <f t="array" ref="AF861">IF(AD861="","",SUMPRODUCT(IF(LEFT($AD$1:AD861,2)="JS",1,0)))</f>
        <v/>
      </c>
      <c r="AG861" t="str">
        <f t="shared" si="52"/>
        <v/>
      </c>
      <c r="AH861" t="str">
        <f t="shared" si="53"/>
        <v/>
      </c>
      <c r="AI861" t="str">
        <f>IF(AH861="","",MAX($AF$1:$AF861))</f>
        <v/>
      </c>
      <c r="AJ861" t="str">
        <f t="shared" si="54"/>
        <v/>
      </c>
      <c r="AK861" t="str">
        <f>IF(AJ861="","",MAX($AF$1:$AF861))</f>
        <v/>
      </c>
      <c r="AL861" t="str">
        <f t="shared" si="55"/>
        <v/>
      </c>
      <c r="AM861" t="str">
        <f>IF(AL861="","",MAX($AF$1:$AF861))</f>
        <v/>
      </c>
    </row>
    <row r="862" spans="1:39" ht="13.5" customHeight="1" x14ac:dyDescent="0.3">
      <c r="A862" s="8" t="s">
        <v>17</v>
      </c>
      <c r="B862" s="9"/>
      <c r="C862" s="10">
        <v>5</v>
      </c>
      <c r="D862" s="11"/>
      <c r="E862" s="2"/>
      <c r="AB862" t="str" cm="1">
        <f t="array" ref="AB862:AC862">_xlfn._xlws.FILTER(A862:Z862,A862:Z862&lt;&gt;"","")</f>
        <v>Physical Education</v>
      </c>
      <c r="AC862">
        <v>5</v>
      </c>
      <c r="AD862" t="str">
        <v/>
      </c>
      <c r="AE862" t="str">
        <v/>
      </c>
      <c r="AF862" t="str" cm="1">
        <f t="array" ref="AF862">IF(AD862="","",SUMPRODUCT(IF(LEFT($AD$1:AD862,2)="JS",1,0)))</f>
        <v/>
      </c>
      <c r="AG862" t="str">
        <f t="shared" si="52"/>
        <v/>
      </c>
      <c r="AH862" t="str">
        <f t="shared" si="53"/>
        <v/>
      </c>
      <c r="AI862" t="str">
        <f>IF(AH862="","",MAX($AF$1:$AF862))</f>
        <v/>
      </c>
      <c r="AJ862" t="str">
        <f t="shared" si="54"/>
        <v/>
      </c>
      <c r="AK862" t="str">
        <f>IF(AJ862="","",MAX($AF$1:$AF862))</f>
        <v/>
      </c>
      <c r="AL862" t="str">
        <f t="shared" si="55"/>
        <v/>
      </c>
      <c r="AM862" t="str">
        <f>IF(AL862="","",MAX($AF$1:$AF862))</f>
        <v/>
      </c>
    </row>
    <row r="863" spans="1:39" ht="13.5" customHeight="1" x14ac:dyDescent="0.3">
      <c r="A863" s="8" t="s">
        <v>226</v>
      </c>
      <c r="B863" s="9"/>
      <c r="C863" s="10">
        <v>10</v>
      </c>
      <c r="D863" s="11"/>
      <c r="E863" s="2"/>
      <c r="AB863" t="str" cm="1">
        <f t="array" ref="AB863:AC863">_xlfn._xlws.FILTER(A863:Z863,A863:Z863&lt;&gt;"","")</f>
        <v>PHY</v>
      </c>
      <c r="AC863">
        <v>10</v>
      </c>
      <c r="AD863" t="str">
        <v/>
      </c>
      <c r="AE863" t="str">
        <v/>
      </c>
      <c r="AF863" t="str" cm="1">
        <f t="array" ref="AF863">IF(AD863="","",SUMPRODUCT(IF(LEFT($AD$1:AD863,2)="JS",1,0)))</f>
        <v/>
      </c>
      <c r="AG863" t="b">
        <f t="shared" si="52"/>
        <v>1</v>
      </c>
      <c r="AH863" t="str">
        <f t="shared" si="53"/>
        <v>PHY</v>
      </c>
      <c r="AI863">
        <f>IF(AH863="","",MAX($AF$1:$AF863))</f>
        <v>17</v>
      </c>
      <c r="AJ863" t="str">
        <f t="shared" si="54"/>
        <v/>
      </c>
      <c r="AK863" t="str">
        <f>IF(AJ863="","",MAX($AF$1:$AF863))</f>
        <v/>
      </c>
      <c r="AL863" t="str">
        <f t="shared" si="55"/>
        <v/>
      </c>
      <c r="AM863" t="str">
        <f>IF(AL863="","",MAX($AF$1:$AF863))</f>
        <v/>
      </c>
    </row>
    <row r="864" spans="1:39" ht="13.5" customHeight="1" x14ac:dyDescent="0.3">
      <c r="A864" s="8" t="s">
        <v>18</v>
      </c>
      <c r="B864" s="9"/>
      <c r="C864" s="10">
        <v>5</v>
      </c>
      <c r="D864" s="11"/>
      <c r="E864" s="2"/>
      <c r="AB864" t="str" cm="1">
        <f t="array" ref="AB864:AC864">_xlfn._xlws.FILTER(A864:Z864,A864:Z864&lt;&gt;"","")</f>
        <v>Technology and Living (Fashion, Clothing and Textiles)</v>
      </c>
      <c r="AC864">
        <v>5</v>
      </c>
      <c r="AD864" t="str">
        <v/>
      </c>
      <c r="AE864" t="str">
        <v/>
      </c>
      <c r="AF864" t="str" cm="1">
        <f t="array" ref="AF864">IF(AD864="","",SUMPRODUCT(IF(LEFT($AD$1:AD864,2)="JS",1,0)))</f>
        <v/>
      </c>
      <c r="AG864" t="str">
        <f t="shared" si="52"/>
        <v/>
      </c>
      <c r="AH864" t="str">
        <f t="shared" si="53"/>
        <v/>
      </c>
      <c r="AI864" t="str">
        <f>IF(AH864="","",MAX($AF$1:$AF864))</f>
        <v/>
      </c>
      <c r="AJ864" t="str">
        <f t="shared" si="54"/>
        <v/>
      </c>
      <c r="AK864" t="str">
        <f>IF(AJ864="","",MAX($AF$1:$AF864))</f>
        <v/>
      </c>
      <c r="AL864" t="str">
        <f t="shared" si="55"/>
        <v/>
      </c>
      <c r="AM864" t="str">
        <f>IF(AL864="","",MAX($AF$1:$AF864))</f>
        <v/>
      </c>
    </row>
    <row r="865" spans="1:39" ht="13.5" customHeight="1" x14ac:dyDescent="0.3">
      <c r="A865" s="8" t="s">
        <v>19</v>
      </c>
      <c r="B865" s="9"/>
      <c r="C865" s="10">
        <v>5</v>
      </c>
      <c r="D865" s="11"/>
      <c r="E865" s="2"/>
      <c r="AB865" t="str" cm="1">
        <f t="array" ref="AB865:AC865">_xlfn._xlws.FILTER(A865:Z865,A865:Z865&lt;&gt;"","")</f>
        <v>Technology and Living (Food Science and Technology)</v>
      </c>
      <c r="AC865">
        <v>5</v>
      </c>
      <c r="AD865" t="str">
        <v/>
      </c>
      <c r="AE865" t="str">
        <v/>
      </c>
      <c r="AF865" t="str" cm="1">
        <f t="array" ref="AF865">IF(AD865="","",SUMPRODUCT(IF(LEFT($AD$1:AD865,2)="JS",1,0)))</f>
        <v/>
      </c>
      <c r="AG865" t="str">
        <f t="shared" si="52"/>
        <v/>
      </c>
      <c r="AH865" t="str">
        <f t="shared" si="53"/>
        <v/>
      </c>
      <c r="AI865" t="str">
        <f>IF(AH865="","",MAX($AF$1:$AF865))</f>
        <v/>
      </c>
      <c r="AJ865" t="str">
        <f t="shared" si="54"/>
        <v/>
      </c>
      <c r="AK865" t="str">
        <f>IF(AJ865="","",MAX($AF$1:$AF865))</f>
        <v/>
      </c>
      <c r="AL865" t="str">
        <f t="shared" si="55"/>
        <v/>
      </c>
      <c r="AM865" t="str">
        <f>IF(AL865="","",MAX($AF$1:$AF865))</f>
        <v/>
      </c>
    </row>
    <row r="866" spans="1:39" ht="13.5" customHeight="1" x14ac:dyDescent="0.3">
      <c r="A866" s="8" t="s">
        <v>20</v>
      </c>
      <c r="B866" s="9"/>
      <c r="C866" s="10">
        <v>5</v>
      </c>
      <c r="D866" s="11"/>
      <c r="E866" s="2"/>
      <c r="AB866" t="str" cm="1">
        <f t="array" ref="AB866:AC866">_xlfn._xlws.FILTER(A866:Z866,A866:Z866&lt;&gt;"","")</f>
        <v>Tourism and Hospitality Studies</v>
      </c>
      <c r="AC866">
        <v>5</v>
      </c>
      <c r="AD866" t="str">
        <v/>
      </c>
      <c r="AE866" t="str">
        <v/>
      </c>
      <c r="AF866" t="str" cm="1">
        <f t="array" ref="AF866">IF(AD866="","",SUMPRODUCT(IF(LEFT($AD$1:AD866,2)="JS",1,0)))</f>
        <v/>
      </c>
      <c r="AG866" t="str">
        <f t="shared" si="52"/>
        <v/>
      </c>
      <c r="AH866" t="str">
        <f t="shared" si="53"/>
        <v/>
      </c>
      <c r="AI866" t="str">
        <f>IF(AH866="","",MAX($AF$1:$AF866))</f>
        <v/>
      </c>
      <c r="AJ866" t="str">
        <f t="shared" si="54"/>
        <v/>
      </c>
      <c r="AK866" t="str">
        <f>IF(AJ866="","",MAX($AF$1:$AF866))</f>
        <v/>
      </c>
      <c r="AL866" t="str">
        <f t="shared" si="55"/>
        <v/>
      </c>
      <c r="AM866" t="str">
        <f>IF(AL866="","",MAX($AF$1:$AF866))</f>
        <v/>
      </c>
    </row>
    <row r="867" spans="1:39" ht="13.5" customHeight="1" x14ac:dyDescent="0.3">
      <c r="A867" s="8" t="s">
        <v>210</v>
      </c>
      <c r="B867" s="9"/>
      <c r="C867" s="10">
        <v>5</v>
      </c>
      <c r="D867" s="11"/>
      <c r="E867" s="2"/>
      <c r="AB867" t="str" cm="1">
        <f t="array" ref="AB867:AC867">_xlfn._xlws.FILTER(A867:Z867,A867:Z867&lt;&gt;"","")</f>
        <v>VA</v>
      </c>
      <c r="AC867">
        <v>5</v>
      </c>
      <c r="AD867" t="str">
        <v/>
      </c>
      <c r="AE867" t="str">
        <v/>
      </c>
      <c r="AF867" t="str" cm="1">
        <f t="array" ref="AF867">IF(AD867="","",SUMPRODUCT(IF(LEFT($AD$1:AD867,2)="JS",1,0)))</f>
        <v/>
      </c>
      <c r="AG867" t="b">
        <f t="shared" si="52"/>
        <v>1</v>
      </c>
      <c r="AH867" t="str">
        <f t="shared" si="53"/>
        <v/>
      </c>
      <c r="AI867" t="str">
        <f>IF(AH867="","",MAX($AF$1:$AF867))</f>
        <v/>
      </c>
      <c r="AJ867" t="str">
        <f t="shared" si="54"/>
        <v/>
      </c>
      <c r="AK867" t="str">
        <f>IF(AJ867="","",MAX($AF$1:$AF867))</f>
        <v/>
      </c>
      <c r="AL867" t="str">
        <f t="shared" si="55"/>
        <v>VA</v>
      </c>
      <c r="AM867">
        <f>IF(AL867="","",MAX($AF$1:$AF867))</f>
        <v>17</v>
      </c>
    </row>
    <row r="868" spans="1:39" ht="26.25" customHeight="1" x14ac:dyDescent="0.3">
      <c r="A868" s="29" t="s">
        <v>21</v>
      </c>
      <c r="B868" s="29"/>
      <c r="C868" s="29"/>
      <c r="D868" s="29"/>
      <c r="E868" s="1"/>
      <c r="AB868" t="str" cm="1">
        <f t="array" ref="AB868">_xlfn._xlws.FILTER(A868:Z868,A868:Z868&lt;&gt;"","")</f>
        <v>Category B: Applied Learning Subjects</v>
      </c>
      <c r="AD868" t="str">
        <v/>
      </c>
      <c r="AE868" t="str">
        <v/>
      </c>
      <c r="AF868" t="str" cm="1">
        <f t="array" ref="AF868">IF(AD868="","",SUMPRODUCT(IF(LEFT($AD$1:AD868,2)="JS",1,0)))</f>
        <v/>
      </c>
      <c r="AG868" t="str">
        <f t="shared" si="52"/>
        <v/>
      </c>
      <c r="AH868" t="str">
        <f t="shared" si="53"/>
        <v/>
      </c>
      <c r="AI868" t="str">
        <f>IF(AH868="","",MAX($AF$1:$AF868))</f>
        <v/>
      </c>
      <c r="AJ868" t="str">
        <f t="shared" si="54"/>
        <v/>
      </c>
      <c r="AK868" t="str">
        <f>IF(AJ868="","",MAX($AF$1:$AF868))</f>
        <v/>
      </c>
      <c r="AL868" t="str">
        <f t="shared" si="55"/>
        <v/>
      </c>
      <c r="AM868" t="str">
        <f>IF(AL868="","",MAX($AF$1:$AF868))</f>
        <v/>
      </c>
    </row>
    <row r="869" spans="1:39" ht="13.5" customHeight="1" x14ac:dyDescent="0.3">
      <c r="A869" s="14" t="s">
        <v>3</v>
      </c>
      <c r="B869" s="15"/>
      <c r="C869" s="16" t="s">
        <v>4</v>
      </c>
      <c r="D869" s="17"/>
      <c r="E869" s="2"/>
      <c r="AB869" t="str" cm="1">
        <f t="array" ref="AB869:AC869">_xlfn._xlws.FILTER(A869:Z869,A869:Z869&lt;&gt;"","")</f>
        <v>Subject Name</v>
      </c>
      <c r="AC869" t="str">
        <v>Subject Weighting for 2023/24 Admission Exercise *</v>
      </c>
      <c r="AD869" t="str">
        <v/>
      </c>
      <c r="AE869" t="str">
        <v/>
      </c>
      <c r="AF869" t="str" cm="1">
        <f t="array" ref="AF869">IF(AD869="","",SUMPRODUCT(IF(LEFT($AD$1:AD869,2)="JS",1,0)))</f>
        <v/>
      </c>
      <c r="AG869" t="str">
        <f t="shared" si="52"/>
        <v/>
      </c>
      <c r="AH869" t="str">
        <f t="shared" si="53"/>
        <v/>
      </c>
      <c r="AI869" t="str">
        <f>IF(AH869="","",MAX($AF$1:$AF869))</f>
        <v/>
      </c>
      <c r="AJ869" t="str">
        <f t="shared" si="54"/>
        <v/>
      </c>
      <c r="AK869" t="str">
        <f>IF(AJ869="","",MAX($AF$1:$AF869))</f>
        <v/>
      </c>
      <c r="AL869" t="str">
        <f t="shared" si="55"/>
        <v/>
      </c>
      <c r="AM869" t="str">
        <f>IF(AL869="","",MAX($AF$1:$AF869))</f>
        <v/>
      </c>
    </row>
    <row r="870" spans="1:39" ht="13.5" customHeight="1" x14ac:dyDescent="0.3">
      <c r="A870" s="8" t="s">
        <v>29</v>
      </c>
      <c r="B870" s="9"/>
      <c r="C870" s="10">
        <v>5</v>
      </c>
      <c r="D870" s="11"/>
      <c r="E870" s="2"/>
      <c r="AB870" t="str" cm="1">
        <f t="array" ref="AB870:AC870">_xlfn._xlws.FILTER(A870:Z870,A870:Z870&lt;&gt;"","")</f>
        <v>Fundamental Health Care</v>
      </c>
      <c r="AC870">
        <v>5</v>
      </c>
      <c r="AD870" t="str">
        <v/>
      </c>
      <c r="AE870" t="str">
        <v/>
      </c>
      <c r="AF870" t="str" cm="1">
        <f t="array" ref="AF870">IF(AD870="","",SUMPRODUCT(IF(LEFT($AD$1:AD870,2)="JS",1,0)))</f>
        <v/>
      </c>
      <c r="AG870" t="str">
        <f t="shared" si="52"/>
        <v/>
      </c>
      <c r="AH870" t="str">
        <f t="shared" si="53"/>
        <v/>
      </c>
      <c r="AI870" t="str">
        <f>IF(AH870="","",MAX($AF$1:$AF870))</f>
        <v/>
      </c>
      <c r="AJ870" t="str">
        <f t="shared" si="54"/>
        <v/>
      </c>
      <c r="AK870" t="str">
        <f>IF(AJ870="","",MAX($AF$1:$AF870))</f>
        <v/>
      </c>
      <c r="AL870" t="str">
        <f t="shared" si="55"/>
        <v/>
      </c>
      <c r="AM870" t="str">
        <f>IF(AL870="","",MAX($AF$1:$AF870))</f>
        <v/>
      </c>
    </row>
    <row r="871" spans="1:39" ht="13.5" customHeight="1" x14ac:dyDescent="0.3">
      <c r="A871" s="8" t="s">
        <v>31</v>
      </c>
      <c r="B871" s="9"/>
      <c r="C871" s="10">
        <v>5</v>
      </c>
      <c r="D871" s="11"/>
      <c r="E871" s="2"/>
      <c r="AB871" t="str" cm="1">
        <f t="array" ref="AB871:AC871">_xlfn._xlws.FILTER(A871:Z871,A871:Z871&lt;&gt;"","")</f>
        <v>Health Care Practice</v>
      </c>
      <c r="AC871">
        <v>5</v>
      </c>
      <c r="AD871" t="str">
        <v/>
      </c>
      <c r="AE871" t="str">
        <v/>
      </c>
      <c r="AF871" t="str" cm="1">
        <f t="array" ref="AF871">IF(AD871="","",SUMPRODUCT(IF(LEFT($AD$1:AD871,2)="JS",1,0)))</f>
        <v/>
      </c>
      <c r="AG871" t="str">
        <f t="shared" si="52"/>
        <v/>
      </c>
      <c r="AH871" t="str">
        <f t="shared" si="53"/>
        <v/>
      </c>
      <c r="AI871" t="str">
        <f>IF(AH871="","",MAX($AF$1:$AF871))</f>
        <v/>
      </c>
      <c r="AJ871" t="str">
        <f t="shared" si="54"/>
        <v/>
      </c>
      <c r="AK871" t="str">
        <f>IF(AJ871="","",MAX($AF$1:$AF871))</f>
        <v/>
      </c>
      <c r="AL871" t="str">
        <f t="shared" si="55"/>
        <v/>
      </c>
      <c r="AM871" t="str">
        <f>IF(AL871="","",MAX($AF$1:$AF871))</f>
        <v/>
      </c>
    </row>
    <row r="872" spans="1:39" ht="26.25" customHeight="1" x14ac:dyDescent="0.3">
      <c r="A872" s="29" t="s">
        <v>34</v>
      </c>
      <c r="B872" s="29"/>
      <c r="C872" s="29"/>
      <c r="D872" s="29"/>
      <c r="E872" s="1"/>
      <c r="AB872" t="str" cm="1">
        <f t="array" ref="AB872">_xlfn._xlws.FILTER(A872:Z872,A872:Z872&lt;&gt;"","")</f>
        <v>Category C: Other Language Subjects</v>
      </c>
      <c r="AD872" t="str">
        <v/>
      </c>
      <c r="AE872" t="str">
        <v/>
      </c>
      <c r="AF872" t="str" cm="1">
        <f t="array" ref="AF872">IF(AD872="","",SUMPRODUCT(IF(LEFT($AD$1:AD872,2)="JS",1,0)))</f>
        <v/>
      </c>
      <c r="AG872" t="str">
        <f t="shared" si="52"/>
        <v/>
      </c>
      <c r="AH872" t="str">
        <f t="shared" si="53"/>
        <v/>
      </c>
      <c r="AI872" t="str">
        <f>IF(AH872="","",MAX($AF$1:$AF872))</f>
        <v/>
      </c>
      <c r="AJ872" t="str">
        <f t="shared" si="54"/>
        <v/>
      </c>
      <c r="AK872" t="str">
        <f>IF(AJ872="","",MAX($AF$1:$AF872))</f>
        <v/>
      </c>
      <c r="AL872" t="str">
        <f t="shared" si="55"/>
        <v/>
      </c>
      <c r="AM872" t="str">
        <f>IF(AL872="","",MAX($AF$1:$AF872))</f>
        <v/>
      </c>
    </row>
    <row r="873" spans="1:39" ht="13.5" customHeight="1" x14ac:dyDescent="0.3">
      <c r="A873" s="14" t="s">
        <v>3</v>
      </c>
      <c r="B873" s="15"/>
      <c r="C873" s="16" t="s">
        <v>4</v>
      </c>
      <c r="D873" s="17"/>
      <c r="E873" s="2"/>
      <c r="AB873" t="str" cm="1">
        <f t="array" ref="AB873:AC873">_xlfn._xlws.FILTER(A873:Z873,A873:Z873&lt;&gt;"","")</f>
        <v>Subject Name</v>
      </c>
      <c r="AC873" t="str">
        <v>Subject Weighting for 2023/24 Admission Exercise *</v>
      </c>
      <c r="AD873" t="str">
        <v/>
      </c>
      <c r="AE873" t="str">
        <v/>
      </c>
      <c r="AF873" t="str" cm="1">
        <f t="array" ref="AF873">IF(AD873="","",SUMPRODUCT(IF(LEFT($AD$1:AD873,2)="JS",1,0)))</f>
        <v/>
      </c>
      <c r="AG873" t="str">
        <f t="shared" si="52"/>
        <v/>
      </c>
      <c r="AH873" t="str">
        <f t="shared" si="53"/>
        <v/>
      </c>
      <c r="AI873" t="str">
        <f>IF(AH873="","",MAX($AF$1:$AF873))</f>
        <v/>
      </c>
      <c r="AJ873" t="str">
        <f t="shared" si="54"/>
        <v/>
      </c>
      <c r="AK873" t="str">
        <f>IF(AJ873="","",MAX($AF$1:$AF873))</f>
        <v/>
      </c>
      <c r="AL873" t="str">
        <f t="shared" si="55"/>
        <v/>
      </c>
      <c r="AM873" t="str">
        <f>IF(AL873="","",MAX($AF$1:$AF873))</f>
        <v/>
      </c>
    </row>
    <row r="874" spans="1:39" ht="13.5" customHeight="1" x14ac:dyDescent="0.3">
      <c r="A874" s="8" t="s">
        <v>35</v>
      </c>
      <c r="B874" s="9"/>
      <c r="C874" s="10">
        <v>5</v>
      </c>
      <c r="D874" s="11"/>
      <c r="E874" s="2"/>
      <c r="AB874" t="str" cm="1">
        <f t="array" ref="AB874:AC874">_xlfn._xlws.FILTER(A874:Z874,A874:Z874&lt;&gt;"","")</f>
        <v>French</v>
      </c>
      <c r="AC874">
        <v>5</v>
      </c>
      <c r="AD874" t="str">
        <v/>
      </c>
      <c r="AE874" t="str">
        <v/>
      </c>
      <c r="AF874" t="str" cm="1">
        <f t="array" ref="AF874">IF(AD874="","",SUMPRODUCT(IF(LEFT($AD$1:AD874,2)="JS",1,0)))</f>
        <v/>
      </c>
      <c r="AG874" t="str">
        <f t="shared" si="52"/>
        <v/>
      </c>
      <c r="AH874" t="str">
        <f t="shared" si="53"/>
        <v/>
      </c>
      <c r="AI874" t="str">
        <f>IF(AH874="","",MAX($AF$1:$AF874))</f>
        <v/>
      </c>
      <c r="AJ874" t="str">
        <f t="shared" si="54"/>
        <v/>
      </c>
      <c r="AK874" t="str">
        <f>IF(AJ874="","",MAX($AF$1:$AF874))</f>
        <v/>
      </c>
      <c r="AL874" t="str">
        <f t="shared" si="55"/>
        <v/>
      </c>
      <c r="AM874" t="str">
        <f>IF(AL874="","",MAX($AF$1:$AF874))</f>
        <v/>
      </c>
    </row>
    <row r="875" spans="1:39" ht="13.5" customHeight="1" x14ac:dyDescent="0.3">
      <c r="A875" s="8" t="s">
        <v>36</v>
      </c>
      <c r="B875" s="9"/>
      <c r="C875" s="10">
        <v>5</v>
      </c>
      <c r="D875" s="11"/>
      <c r="E875" s="2"/>
      <c r="AB875" t="str" cm="1">
        <f t="array" ref="AB875:AC875">_xlfn._xlws.FILTER(A875:Z875,A875:Z875&lt;&gt;"","")</f>
        <v>German</v>
      </c>
      <c r="AC875">
        <v>5</v>
      </c>
      <c r="AD875" t="str">
        <v/>
      </c>
      <c r="AE875" t="str">
        <v/>
      </c>
      <c r="AF875" t="str" cm="1">
        <f t="array" ref="AF875">IF(AD875="","",SUMPRODUCT(IF(LEFT($AD$1:AD875,2)="JS",1,0)))</f>
        <v/>
      </c>
      <c r="AG875" t="str">
        <f t="shared" si="52"/>
        <v/>
      </c>
      <c r="AH875" t="str">
        <f t="shared" si="53"/>
        <v/>
      </c>
      <c r="AI875" t="str">
        <f>IF(AH875="","",MAX($AF$1:$AF875))</f>
        <v/>
      </c>
      <c r="AJ875" t="str">
        <f t="shared" si="54"/>
        <v/>
      </c>
      <c r="AK875" t="str">
        <f>IF(AJ875="","",MAX($AF$1:$AF875))</f>
        <v/>
      </c>
      <c r="AL875" t="str">
        <f t="shared" si="55"/>
        <v/>
      </c>
      <c r="AM875" t="str">
        <f>IF(AL875="","",MAX($AF$1:$AF875))</f>
        <v/>
      </c>
    </row>
    <row r="876" spans="1:39" ht="13.5" customHeight="1" x14ac:dyDescent="0.3">
      <c r="A876" s="8" t="s">
        <v>37</v>
      </c>
      <c r="B876" s="9"/>
      <c r="C876" s="10">
        <v>5</v>
      </c>
      <c r="D876" s="11"/>
      <c r="E876" s="2"/>
      <c r="AB876" t="str" cm="1">
        <f t="array" ref="AB876:AC876">_xlfn._xlws.FILTER(A876:Z876,A876:Z876&lt;&gt;"","")</f>
        <v>Hindi</v>
      </c>
      <c r="AC876">
        <v>5</v>
      </c>
      <c r="AD876" t="str">
        <v/>
      </c>
      <c r="AE876" t="str">
        <v/>
      </c>
      <c r="AF876" t="str" cm="1">
        <f t="array" ref="AF876">IF(AD876="","",SUMPRODUCT(IF(LEFT($AD$1:AD876,2)="JS",1,0)))</f>
        <v/>
      </c>
      <c r="AG876" t="str">
        <f t="shared" si="52"/>
        <v/>
      </c>
      <c r="AH876" t="str">
        <f t="shared" si="53"/>
        <v/>
      </c>
      <c r="AI876" t="str">
        <f>IF(AH876="","",MAX($AF$1:$AF876))</f>
        <v/>
      </c>
      <c r="AJ876" t="str">
        <f t="shared" si="54"/>
        <v/>
      </c>
      <c r="AK876" t="str">
        <f>IF(AJ876="","",MAX($AF$1:$AF876))</f>
        <v/>
      </c>
      <c r="AL876" t="str">
        <f t="shared" si="55"/>
        <v/>
      </c>
      <c r="AM876" t="str">
        <f>IF(AL876="","",MAX($AF$1:$AF876))</f>
        <v/>
      </c>
    </row>
    <row r="877" spans="1:39" ht="13.5" customHeight="1" x14ac:dyDescent="0.3">
      <c r="A877" s="8" t="s">
        <v>38</v>
      </c>
      <c r="B877" s="9"/>
      <c r="C877" s="10">
        <v>5</v>
      </c>
      <c r="D877" s="11"/>
      <c r="E877" s="2"/>
      <c r="AB877" t="str" cm="1">
        <f t="array" ref="AB877:AC877">_xlfn._xlws.FILTER(A877:Z877,A877:Z877&lt;&gt;"","")</f>
        <v>Japanese</v>
      </c>
      <c r="AC877">
        <v>5</v>
      </c>
      <c r="AD877" t="str">
        <v/>
      </c>
      <c r="AE877" t="str">
        <v/>
      </c>
      <c r="AF877" t="str" cm="1">
        <f t="array" ref="AF877">IF(AD877="","",SUMPRODUCT(IF(LEFT($AD$1:AD877,2)="JS",1,0)))</f>
        <v/>
      </c>
      <c r="AG877" t="str">
        <f t="shared" si="52"/>
        <v/>
      </c>
      <c r="AH877" t="str">
        <f t="shared" si="53"/>
        <v/>
      </c>
      <c r="AI877" t="str">
        <f>IF(AH877="","",MAX($AF$1:$AF877))</f>
        <v/>
      </c>
      <c r="AJ877" t="str">
        <f t="shared" si="54"/>
        <v/>
      </c>
      <c r="AK877" t="str">
        <f>IF(AJ877="","",MAX($AF$1:$AF877))</f>
        <v/>
      </c>
      <c r="AL877" t="str">
        <f t="shared" si="55"/>
        <v/>
      </c>
      <c r="AM877" t="str">
        <f>IF(AL877="","",MAX($AF$1:$AF877))</f>
        <v/>
      </c>
    </row>
    <row r="878" spans="1:39" ht="13.5" customHeight="1" x14ac:dyDescent="0.3">
      <c r="A878" s="8" t="s">
        <v>39</v>
      </c>
      <c r="B878" s="9"/>
      <c r="C878" s="10">
        <v>5</v>
      </c>
      <c r="D878" s="11"/>
      <c r="E878" s="2"/>
      <c r="AB878" t="str" cm="1">
        <f t="array" ref="AB878:AC878">_xlfn._xlws.FILTER(A878:Z878,A878:Z878&lt;&gt;"","")</f>
        <v>Spanish</v>
      </c>
      <c r="AC878">
        <v>5</v>
      </c>
      <c r="AD878" t="str">
        <v/>
      </c>
      <c r="AE878" t="str">
        <v/>
      </c>
      <c r="AF878" t="str" cm="1">
        <f t="array" ref="AF878">IF(AD878="","",SUMPRODUCT(IF(LEFT($AD$1:AD878,2)="JS",1,0)))</f>
        <v/>
      </c>
      <c r="AG878" t="str">
        <f t="shared" si="52"/>
        <v/>
      </c>
      <c r="AH878" t="str">
        <f t="shared" si="53"/>
        <v/>
      </c>
      <c r="AI878" t="str">
        <f>IF(AH878="","",MAX($AF$1:$AF878))</f>
        <v/>
      </c>
      <c r="AJ878" t="str">
        <f t="shared" si="54"/>
        <v/>
      </c>
      <c r="AK878" t="str">
        <f>IF(AJ878="","",MAX($AF$1:$AF878))</f>
        <v/>
      </c>
      <c r="AL878" t="str">
        <f t="shared" si="55"/>
        <v/>
      </c>
      <c r="AM878" t="str">
        <f>IF(AL878="","",MAX($AF$1:$AF878))</f>
        <v/>
      </c>
    </row>
    <row r="879" spans="1:39" ht="13.5" customHeight="1" x14ac:dyDescent="0.3">
      <c r="A879" s="8" t="s">
        <v>40</v>
      </c>
      <c r="B879" s="9"/>
      <c r="C879" s="10">
        <v>5</v>
      </c>
      <c r="D879" s="11"/>
      <c r="E879" s="2"/>
      <c r="AB879" t="str" cm="1">
        <f t="array" ref="AB879:AC879">_xlfn._xlws.FILTER(A879:Z879,A879:Z879&lt;&gt;"","")</f>
        <v>Urdu</v>
      </c>
      <c r="AC879">
        <v>5</v>
      </c>
      <c r="AD879" t="str">
        <v/>
      </c>
      <c r="AE879" t="str">
        <v/>
      </c>
      <c r="AF879" t="str" cm="1">
        <f t="array" ref="AF879">IF(AD879="","",SUMPRODUCT(IF(LEFT($AD$1:AD879,2)="JS",1,0)))</f>
        <v/>
      </c>
      <c r="AG879" t="str">
        <f t="shared" si="52"/>
        <v/>
      </c>
      <c r="AH879" t="str">
        <f t="shared" si="53"/>
        <v/>
      </c>
      <c r="AI879" t="str">
        <f>IF(AH879="","",MAX($AF$1:$AF879))</f>
        <v/>
      </c>
      <c r="AJ879" t="str">
        <f t="shared" si="54"/>
        <v/>
      </c>
      <c r="AK879" t="str">
        <f>IF(AJ879="","",MAX($AF$1:$AF879))</f>
        <v/>
      </c>
      <c r="AL879" t="str">
        <f t="shared" si="55"/>
        <v/>
      </c>
      <c r="AM879" t="str">
        <f>IF(AL879="","",MAX($AF$1:$AF879))</f>
        <v/>
      </c>
    </row>
    <row r="880" spans="1:39" ht="26.25" customHeight="1" x14ac:dyDescent="0.3">
      <c r="A880" s="26" t="s">
        <v>41</v>
      </c>
      <c r="B880" s="26"/>
      <c r="C880" s="26"/>
      <c r="D880" s="26"/>
      <c r="E880" s="26"/>
      <c r="AB880" t="str" cm="1">
        <f t="array" ref="AB880">_xlfn._xlws.FILTER(A880:Z880,A880:Z880&lt;&gt;"","")</f>
        <v>* Subject Weighting may be adjusted in the next admissions exercise</v>
      </c>
      <c r="AD880" t="str">
        <v/>
      </c>
      <c r="AE880" t="str">
        <v/>
      </c>
      <c r="AF880" t="str" cm="1">
        <f t="array" ref="AF880">IF(AD880="","",SUMPRODUCT(IF(LEFT($AD$1:AD880,2)="JS",1,0)))</f>
        <v/>
      </c>
      <c r="AG880" t="str">
        <f t="shared" si="52"/>
        <v/>
      </c>
      <c r="AH880" t="str">
        <f t="shared" si="53"/>
        <v/>
      </c>
      <c r="AI880" t="str">
        <f>IF(AH880="","",MAX($AF$1:$AF880))</f>
        <v/>
      </c>
      <c r="AJ880" t="str">
        <f t="shared" si="54"/>
        <v/>
      </c>
      <c r="AK880" t="str">
        <f>IF(AJ880="","",MAX($AF$1:$AF880))</f>
        <v/>
      </c>
      <c r="AL880" t="str">
        <f t="shared" si="55"/>
        <v/>
      </c>
      <c r="AM880" t="str">
        <f>IF(AL880="","",MAX($AF$1:$AF880))</f>
        <v/>
      </c>
    </row>
    <row r="881" spans="1:39" ht="15" customHeight="1" x14ac:dyDescent="0.3">
      <c r="A881" s="18" t="s">
        <v>162</v>
      </c>
      <c r="B881" s="18"/>
      <c r="C881" s="18"/>
      <c r="D881" s="1"/>
      <c r="AB881" t="str" cm="1">
        <f t="array" ref="AB881">_xlfn._xlws.FILTER(A881:Z881,A881:Z881&lt;&gt;"","")</f>
        <v>JUPAS Code: JS3310</v>
      </c>
      <c r="AD881" t="str">
        <v>JS3310</v>
      </c>
      <c r="AE881" t="str">
        <v/>
      </c>
      <c r="AF881" cm="1">
        <f t="array" ref="AF881">IF(AD881="","",SUMPRODUCT(IF(LEFT($AD$1:AD881,2)="JS",1,0)))</f>
        <v>18</v>
      </c>
      <c r="AG881" t="str">
        <f t="shared" si="52"/>
        <v/>
      </c>
      <c r="AH881" t="str">
        <f t="shared" si="53"/>
        <v/>
      </c>
      <c r="AI881" t="str">
        <f>IF(AH881="","",MAX($AF$1:$AF881))</f>
        <v/>
      </c>
      <c r="AJ881" t="str">
        <f t="shared" si="54"/>
        <v/>
      </c>
      <c r="AK881" t="str">
        <f>IF(AJ881="","",MAX($AF$1:$AF881))</f>
        <v/>
      </c>
      <c r="AL881" t="str">
        <f t="shared" si="55"/>
        <v/>
      </c>
      <c r="AM881" t="str">
        <f>IF(AL881="","",MAX($AF$1:$AF881))</f>
        <v/>
      </c>
    </row>
    <row r="882" spans="1:39" ht="13.5" customHeight="1" x14ac:dyDescent="0.3">
      <c r="A882" s="18" t="s">
        <v>163</v>
      </c>
      <c r="B882" s="18"/>
      <c r="C882" s="18"/>
      <c r="D882" s="1"/>
      <c r="AB882" t="str" cm="1">
        <f t="array" ref="AB882">_xlfn._xlws.FILTER(A882:Z882,A882:Z882&lt;&gt;"","")</f>
        <v>Programme Title: BSc (Hons) Scheme in Hotel and Tourism Management</v>
      </c>
      <c r="AD882" t="str">
        <v/>
      </c>
      <c r="AE882" t="str">
        <v>BSc (Hons) Scheme in Hotel and Tourism Management</v>
      </c>
      <c r="AF882" t="str" cm="1">
        <f t="array" ref="AF882">IF(AD882="","",SUMPRODUCT(IF(LEFT($AD$1:AD882,2)="JS",1,0)))</f>
        <v/>
      </c>
      <c r="AG882" t="str">
        <f t="shared" si="52"/>
        <v/>
      </c>
      <c r="AH882" t="str">
        <f t="shared" si="53"/>
        <v/>
      </c>
      <c r="AI882" t="str">
        <f>IF(AH882="","",MAX($AF$1:$AF882))</f>
        <v/>
      </c>
      <c r="AJ882" t="str">
        <f t="shared" si="54"/>
        <v/>
      </c>
      <c r="AK882" t="str">
        <f>IF(AJ882="","",MAX($AF$1:$AF882))</f>
        <v/>
      </c>
      <c r="AL882" t="str">
        <f t="shared" si="55"/>
        <v/>
      </c>
      <c r="AM882" t="str">
        <f>IF(AL882="","",MAX($AF$1:$AF882))</f>
        <v/>
      </c>
    </row>
    <row r="883" spans="1:39" ht="14.5" customHeight="1" x14ac:dyDescent="0.3">
      <c r="A883" s="12"/>
      <c r="B883" s="12"/>
      <c r="C883" s="2"/>
      <c r="D883" s="2"/>
      <c r="AB883" t="str" cm="1">
        <f t="array" ref="AB883">_xlfn._xlws.FILTER(A883:Z883,A883:Z883&lt;&gt;"","")</f>
        <v/>
      </c>
      <c r="AD883" t="str">
        <v/>
      </c>
      <c r="AE883" t="str">
        <v/>
      </c>
      <c r="AF883" t="str" cm="1">
        <f t="array" ref="AF883">IF(AD883="","",SUMPRODUCT(IF(LEFT($AD$1:AD883,2)="JS",1,0)))</f>
        <v/>
      </c>
      <c r="AG883" t="str">
        <f t="shared" si="52"/>
        <v/>
      </c>
      <c r="AH883" t="str">
        <f t="shared" si="53"/>
        <v/>
      </c>
      <c r="AI883" t="str">
        <f>IF(AH883="","",MAX($AF$1:$AF883))</f>
        <v/>
      </c>
      <c r="AJ883" t="str">
        <f t="shared" si="54"/>
        <v/>
      </c>
      <c r="AK883" t="str">
        <f>IF(AJ883="","",MAX($AF$1:$AF883))</f>
        <v/>
      </c>
      <c r="AL883" t="str">
        <f t="shared" si="55"/>
        <v/>
      </c>
      <c r="AM883" t="str">
        <f>IF(AL883="","",MAX($AF$1:$AF883))</f>
        <v/>
      </c>
    </row>
    <row r="884" spans="1:39" ht="13.5" customHeight="1" x14ac:dyDescent="0.3">
      <c r="A884" s="13" t="s">
        <v>2</v>
      </c>
      <c r="B884" s="13"/>
      <c r="C884" s="13"/>
      <c r="D884" s="13"/>
      <c r="AB884" t="str" cm="1">
        <f t="array" ref="AB884">_xlfn._xlws.FILTER(A884:Z884,A884:Z884&lt;&gt;"","")</f>
        <v>Category A: Core and Elective Subjects</v>
      </c>
      <c r="AD884" t="str">
        <v/>
      </c>
      <c r="AE884" t="str">
        <v/>
      </c>
      <c r="AF884" t="str" cm="1">
        <f t="array" ref="AF884">IF(AD884="","",SUMPRODUCT(IF(LEFT($AD$1:AD884,2)="JS",1,0)))</f>
        <v/>
      </c>
      <c r="AG884" t="str">
        <f t="shared" si="52"/>
        <v/>
      </c>
      <c r="AH884" t="str">
        <f t="shared" si="53"/>
        <v/>
      </c>
      <c r="AI884" t="str">
        <f>IF(AH884="","",MAX($AF$1:$AF884))</f>
        <v/>
      </c>
      <c r="AJ884" t="str">
        <f t="shared" si="54"/>
        <v/>
      </c>
      <c r="AK884" t="str">
        <f>IF(AJ884="","",MAX($AF$1:$AF884))</f>
        <v/>
      </c>
      <c r="AL884" t="str">
        <f t="shared" si="55"/>
        <v/>
      </c>
      <c r="AM884" t="str">
        <f>IF(AL884="","",MAX($AF$1:$AF884))</f>
        <v/>
      </c>
    </row>
    <row r="885" spans="1:39" ht="13.5" customHeight="1" x14ac:dyDescent="0.3">
      <c r="A885" s="14" t="s">
        <v>3</v>
      </c>
      <c r="B885" s="15"/>
      <c r="C885" s="16" t="s">
        <v>4</v>
      </c>
      <c r="D885" s="17"/>
      <c r="AB885" t="str" cm="1">
        <f t="array" ref="AB885:AC885">_xlfn._xlws.FILTER(A885:Z885,A885:Z885&lt;&gt;"","")</f>
        <v>Subject Name</v>
      </c>
      <c r="AC885" t="str">
        <v>Subject Weighting for 2023/24 Admission Exercise *</v>
      </c>
      <c r="AD885" t="str">
        <v/>
      </c>
      <c r="AE885" t="str">
        <v/>
      </c>
      <c r="AF885" t="str" cm="1">
        <f t="array" ref="AF885">IF(AD885="","",SUMPRODUCT(IF(LEFT($AD$1:AD885,2)="JS",1,0)))</f>
        <v/>
      </c>
      <c r="AG885" t="str">
        <f t="shared" si="52"/>
        <v/>
      </c>
      <c r="AH885" t="str">
        <f t="shared" si="53"/>
        <v/>
      </c>
      <c r="AI885" t="str">
        <f>IF(AH885="","",MAX($AF$1:$AF885))</f>
        <v/>
      </c>
      <c r="AJ885" t="str">
        <f t="shared" si="54"/>
        <v/>
      </c>
      <c r="AK885" t="str">
        <f>IF(AJ885="","",MAX($AF$1:$AF885))</f>
        <v/>
      </c>
      <c r="AL885" t="str">
        <f t="shared" si="55"/>
        <v/>
      </c>
      <c r="AM885" t="str">
        <f>IF(AL885="","",MAX($AF$1:$AF885))</f>
        <v/>
      </c>
    </row>
    <row r="886" spans="1:39" ht="13.5" customHeight="1" x14ac:dyDescent="0.3">
      <c r="A886" s="8" t="s">
        <v>211</v>
      </c>
      <c r="B886" s="9"/>
      <c r="C886" s="10">
        <v>7</v>
      </c>
      <c r="D886" s="11"/>
      <c r="AB886" t="str" cm="1">
        <f t="array" ref="AB886:AC886">_xlfn._xlws.FILTER(A886:Z886,A886:Z886&lt;&gt;"","")</f>
        <v>BIO</v>
      </c>
      <c r="AC886">
        <v>7</v>
      </c>
      <c r="AD886" t="str">
        <v/>
      </c>
      <c r="AE886" t="str">
        <v/>
      </c>
      <c r="AF886" t="str" cm="1">
        <f t="array" ref="AF886">IF(AD886="","",SUMPRODUCT(IF(LEFT($AD$1:AD886,2)="JS",1,0)))</f>
        <v/>
      </c>
      <c r="AG886" t="b">
        <f t="shared" si="52"/>
        <v>1</v>
      </c>
      <c r="AH886" t="str">
        <f t="shared" si="53"/>
        <v/>
      </c>
      <c r="AI886" t="str">
        <f>IF(AH886="","",MAX($AF$1:$AF886))</f>
        <v/>
      </c>
      <c r="AJ886" t="str">
        <f t="shared" si="54"/>
        <v>BIO</v>
      </c>
      <c r="AK886">
        <f>IF(AJ886="","",MAX($AF$1:$AF886))</f>
        <v>18</v>
      </c>
      <c r="AL886" t="str">
        <f t="shared" si="55"/>
        <v/>
      </c>
      <c r="AM886" t="str">
        <f>IF(AL886="","",MAX($AF$1:$AF886))</f>
        <v/>
      </c>
    </row>
    <row r="887" spans="1:39" ht="13.5" customHeight="1" x14ac:dyDescent="0.3">
      <c r="A887" s="8" t="s">
        <v>213</v>
      </c>
      <c r="B887" s="9"/>
      <c r="C887" s="10">
        <v>7</v>
      </c>
      <c r="D887" s="11"/>
      <c r="AB887" t="str" cm="1">
        <f t="array" ref="AB887:AC887">_xlfn._xlws.FILTER(A887:Z887,A887:Z887&lt;&gt;"","")</f>
        <v>BAFS</v>
      </c>
      <c r="AC887">
        <v>7</v>
      </c>
      <c r="AD887" t="str">
        <v/>
      </c>
      <c r="AE887" t="str">
        <v/>
      </c>
      <c r="AF887" t="str" cm="1">
        <f t="array" ref="AF887">IF(AD887="","",SUMPRODUCT(IF(LEFT($AD$1:AD887,2)="JS",1,0)))</f>
        <v/>
      </c>
      <c r="AG887" t="b">
        <f t="shared" si="52"/>
        <v>1</v>
      </c>
      <c r="AH887" t="str">
        <f t="shared" si="53"/>
        <v/>
      </c>
      <c r="AI887" t="str">
        <f>IF(AH887="","",MAX($AF$1:$AF887))</f>
        <v/>
      </c>
      <c r="AJ887" t="str">
        <f t="shared" si="54"/>
        <v>BAFS</v>
      </c>
      <c r="AK887">
        <f>IF(AJ887="","",MAX($AF$1:$AF887))</f>
        <v>18</v>
      </c>
      <c r="AL887" t="str">
        <f t="shared" si="55"/>
        <v/>
      </c>
      <c r="AM887" t="str">
        <f>IF(AL887="","",MAX($AF$1:$AF887))</f>
        <v/>
      </c>
    </row>
    <row r="888" spans="1:39" ht="13.5" customHeight="1" x14ac:dyDescent="0.3">
      <c r="A888" s="8" t="s">
        <v>5</v>
      </c>
      <c r="B888" s="9"/>
      <c r="C888" s="10">
        <v>7</v>
      </c>
      <c r="D888" s="11"/>
      <c r="AB888" t="str" cm="1">
        <f t="array" ref="AB888:AC888">_xlfn._xlws.FILTER(A888:Z888,A888:Z888&lt;&gt;"","")</f>
        <v>Business, Accounting and Financial Studies (Accounting)</v>
      </c>
      <c r="AC888">
        <v>7</v>
      </c>
      <c r="AD888" t="str">
        <v/>
      </c>
      <c r="AE888" t="str">
        <v/>
      </c>
      <c r="AF888" t="str" cm="1">
        <f t="array" ref="AF888">IF(AD888="","",SUMPRODUCT(IF(LEFT($AD$1:AD888,2)="JS",1,0)))</f>
        <v/>
      </c>
      <c r="AG888" t="str">
        <f t="shared" si="52"/>
        <v/>
      </c>
      <c r="AH888" t="str">
        <f t="shared" si="53"/>
        <v/>
      </c>
      <c r="AI888" t="str">
        <f>IF(AH888="","",MAX($AF$1:$AF888))</f>
        <v/>
      </c>
      <c r="AJ888" t="str">
        <f t="shared" si="54"/>
        <v/>
      </c>
      <c r="AK888" t="str">
        <f>IF(AJ888="","",MAX($AF$1:$AF888))</f>
        <v/>
      </c>
      <c r="AL888" t="str">
        <f t="shared" si="55"/>
        <v/>
      </c>
      <c r="AM888" t="str">
        <f>IF(AL888="","",MAX($AF$1:$AF888))</f>
        <v/>
      </c>
    </row>
    <row r="889" spans="1:39" ht="13.5" customHeight="1" x14ac:dyDescent="0.3">
      <c r="A889" s="8" t="s">
        <v>6</v>
      </c>
      <c r="B889" s="9"/>
      <c r="C889" s="10">
        <v>7</v>
      </c>
      <c r="D889" s="11"/>
      <c r="AB889" t="str" cm="1">
        <f t="array" ref="AB889:AC889">_xlfn._xlws.FILTER(A889:Z889,A889:Z889&lt;&gt;"","")</f>
        <v>Business, Accounting and Financial Studies (Business Management)</v>
      </c>
      <c r="AC889">
        <v>7</v>
      </c>
      <c r="AD889" t="str">
        <v/>
      </c>
      <c r="AE889" t="str">
        <v/>
      </c>
      <c r="AF889" t="str" cm="1">
        <f t="array" ref="AF889">IF(AD889="","",SUMPRODUCT(IF(LEFT($AD$1:AD889,2)="JS",1,0)))</f>
        <v/>
      </c>
      <c r="AG889" t="str">
        <f t="shared" si="52"/>
        <v/>
      </c>
      <c r="AH889" t="str">
        <f t="shared" si="53"/>
        <v/>
      </c>
      <c r="AI889" t="str">
        <f>IF(AH889="","",MAX($AF$1:$AF889))</f>
        <v/>
      </c>
      <c r="AJ889" t="str">
        <f t="shared" si="54"/>
        <v/>
      </c>
      <c r="AK889" t="str">
        <f>IF(AJ889="","",MAX($AF$1:$AF889))</f>
        <v/>
      </c>
      <c r="AL889" t="str">
        <f t="shared" si="55"/>
        <v/>
      </c>
      <c r="AM889" t="str">
        <f>IF(AL889="","",MAX($AF$1:$AF889))</f>
        <v/>
      </c>
    </row>
    <row r="890" spans="1:39" ht="13.5" customHeight="1" x14ac:dyDescent="0.3">
      <c r="A890" s="8" t="s">
        <v>212</v>
      </c>
      <c r="B890" s="9"/>
      <c r="C890" s="10">
        <v>7</v>
      </c>
      <c r="D890" s="11"/>
      <c r="AB890" t="str" cm="1">
        <f t="array" ref="AB890:AC890">_xlfn._xlws.FILTER(A890:Z890,A890:Z890&lt;&gt;"","")</f>
        <v>CHEM</v>
      </c>
      <c r="AC890">
        <v>7</v>
      </c>
      <c r="AD890" t="str">
        <v/>
      </c>
      <c r="AE890" t="str">
        <v/>
      </c>
      <c r="AF890" t="str" cm="1">
        <f t="array" ref="AF890">IF(AD890="","",SUMPRODUCT(IF(LEFT($AD$1:AD890,2)="JS",1,0)))</f>
        <v/>
      </c>
      <c r="AG890" t="b">
        <f t="shared" si="52"/>
        <v>1</v>
      </c>
      <c r="AH890" t="str">
        <f t="shared" si="53"/>
        <v/>
      </c>
      <c r="AI890" t="str">
        <f>IF(AH890="","",MAX($AF$1:$AF890))</f>
        <v/>
      </c>
      <c r="AJ890" t="str">
        <f t="shared" si="54"/>
        <v>CHEM</v>
      </c>
      <c r="AK890">
        <f>IF(AJ890="","",MAX($AF$1:$AF890))</f>
        <v>18</v>
      </c>
      <c r="AL890" t="str">
        <f t="shared" si="55"/>
        <v/>
      </c>
      <c r="AM890" t="str">
        <f>IF(AL890="","",MAX($AF$1:$AF890))</f>
        <v/>
      </c>
    </row>
    <row r="891" spans="1:39" ht="13.5" customHeight="1" x14ac:dyDescent="0.3">
      <c r="A891" s="8" t="s">
        <v>214</v>
      </c>
      <c r="B891" s="9"/>
      <c r="C891" s="10">
        <v>7</v>
      </c>
      <c r="D891" s="11"/>
      <c r="AB891" t="str" cm="1">
        <f t="array" ref="AB891:AC891">_xlfn._xlws.FILTER(A891:Z891,A891:Z891&lt;&gt;"","")</f>
        <v>中史</v>
      </c>
      <c r="AC891">
        <v>7</v>
      </c>
      <c r="AD891" t="str">
        <v/>
      </c>
      <c r="AE891" t="str">
        <v/>
      </c>
      <c r="AF891" t="str" cm="1">
        <f t="array" ref="AF891">IF(AD891="","",SUMPRODUCT(IF(LEFT($AD$1:AD891,2)="JS",1,0)))</f>
        <v/>
      </c>
      <c r="AG891" t="b">
        <f t="shared" si="52"/>
        <v>1</v>
      </c>
      <c r="AH891" t="str">
        <f t="shared" si="53"/>
        <v/>
      </c>
      <c r="AI891" t="str">
        <f>IF(AH891="","",MAX($AF$1:$AF891))</f>
        <v/>
      </c>
      <c r="AJ891" t="str">
        <f t="shared" si="54"/>
        <v>中史</v>
      </c>
      <c r="AK891">
        <f>IF(AJ891="","",MAX($AF$1:$AF891))</f>
        <v>18</v>
      </c>
      <c r="AL891" t="str">
        <f t="shared" si="55"/>
        <v/>
      </c>
      <c r="AM891" t="str">
        <f>IF(AL891="","",MAX($AF$1:$AF891))</f>
        <v/>
      </c>
    </row>
    <row r="892" spans="1:39" ht="13.5" customHeight="1" x14ac:dyDescent="0.3">
      <c r="A892" s="8" t="s">
        <v>216</v>
      </c>
      <c r="B892" s="9"/>
      <c r="C892" s="10">
        <v>7</v>
      </c>
      <c r="D892" s="11"/>
      <c r="AB892" t="str" cm="1">
        <f t="array" ref="AB892:AC892">_xlfn._xlws.FILTER(A892:Z892,A892:Z892&lt;&gt;"","")</f>
        <v>中文</v>
      </c>
      <c r="AC892">
        <v>7</v>
      </c>
      <c r="AD892" t="str">
        <v/>
      </c>
      <c r="AE892" t="str">
        <v/>
      </c>
      <c r="AF892" t="str" cm="1">
        <f t="array" ref="AF892">IF(AD892="","",SUMPRODUCT(IF(LEFT($AD$1:AD892,2)="JS",1,0)))</f>
        <v/>
      </c>
      <c r="AG892" t="b">
        <f t="shared" si="52"/>
        <v>1</v>
      </c>
      <c r="AH892" t="str">
        <f t="shared" si="53"/>
        <v/>
      </c>
      <c r="AI892" t="str">
        <f>IF(AH892="","",MAX($AF$1:$AF892))</f>
        <v/>
      </c>
      <c r="AJ892" t="str">
        <f t="shared" si="54"/>
        <v>中文</v>
      </c>
      <c r="AK892">
        <f>IF(AJ892="","",MAX($AF$1:$AF892))</f>
        <v>18</v>
      </c>
      <c r="AL892" t="str">
        <f t="shared" si="55"/>
        <v/>
      </c>
      <c r="AM892" t="str">
        <f>IF(AL892="","",MAX($AF$1:$AF892))</f>
        <v/>
      </c>
    </row>
    <row r="893" spans="1:39" ht="13.5" customHeight="1" x14ac:dyDescent="0.3">
      <c r="A893" s="8" t="s">
        <v>7</v>
      </c>
      <c r="B893" s="9"/>
      <c r="C893" s="10">
        <v>7</v>
      </c>
      <c r="D893" s="11"/>
      <c r="AB893" t="str" cm="1">
        <f t="array" ref="AB893:AC893">_xlfn._xlws.FILTER(A893:Z893,A893:Z893&lt;&gt;"","")</f>
        <v>Chinese Literature</v>
      </c>
      <c r="AC893">
        <v>7</v>
      </c>
      <c r="AD893" t="str">
        <v/>
      </c>
      <c r="AE893" t="str">
        <v/>
      </c>
      <c r="AF893" t="str" cm="1">
        <f t="array" ref="AF893">IF(AD893="","",SUMPRODUCT(IF(LEFT($AD$1:AD893,2)="JS",1,0)))</f>
        <v/>
      </c>
      <c r="AG893" t="str">
        <f t="shared" si="52"/>
        <v/>
      </c>
      <c r="AH893" t="str">
        <f t="shared" si="53"/>
        <v/>
      </c>
      <c r="AI893" t="str">
        <f>IF(AH893="","",MAX($AF$1:$AF893))</f>
        <v/>
      </c>
      <c r="AJ893" t="str">
        <f t="shared" si="54"/>
        <v/>
      </c>
      <c r="AK893" t="str">
        <f>IF(AJ893="","",MAX($AF$1:$AF893))</f>
        <v/>
      </c>
      <c r="AL893" t="str">
        <f t="shared" si="55"/>
        <v/>
      </c>
      <c r="AM893" t="str">
        <f>IF(AL893="","",MAX($AF$1:$AF893))</f>
        <v/>
      </c>
    </row>
    <row r="894" spans="1:39" ht="13.5" customHeight="1" x14ac:dyDescent="0.3">
      <c r="A894" s="8" t="s">
        <v>8</v>
      </c>
      <c r="B894" s="9"/>
      <c r="C894" s="10">
        <v>7</v>
      </c>
      <c r="D894" s="11"/>
      <c r="AB894" t="str" cm="1">
        <f t="array" ref="AB894:AC894">_xlfn._xlws.FILTER(A894:Z894,A894:Z894&lt;&gt;"","")</f>
        <v>Combined Science: Biology + Chemistry</v>
      </c>
      <c r="AC894">
        <v>7</v>
      </c>
      <c r="AD894" t="str">
        <v/>
      </c>
      <c r="AE894" t="str">
        <v/>
      </c>
      <c r="AF894" t="str" cm="1">
        <f t="array" ref="AF894">IF(AD894="","",SUMPRODUCT(IF(LEFT($AD$1:AD894,2)="JS",1,0)))</f>
        <v/>
      </c>
      <c r="AG894" t="str">
        <f t="shared" si="52"/>
        <v/>
      </c>
      <c r="AH894" t="str">
        <f t="shared" si="53"/>
        <v/>
      </c>
      <c r="AI894" t="str">
        <f>IF(AH894="","",MAX($AF$1:$AF894))</f>
        <v/>
      </c>
      <c r="AJ894" t="str">
        <f t="shared" si="54"/>
        <v/>
      </c>
      <c r="AK894" t="str">
        <f>IF(AJ894="","",MAX($AF$1:$AF894))</f>
        <v/>
      </c>
      <c r="AL894" t="str">
        <f t="shared" si="55"/>
        <v/>
      </c>
      <c r="AM894" t="str">
        <f>IF(AL894="","",MAX($AF$1:$AF894))</f>
        <v/>
      </c>
    </row>
    <row r="895" spans="1:39" ht="13.5" customHeight="1" x14ac:dyDescent="0.3">
      <c r="A895" s="8" t="s">
        <v>9</v>
      </c>
      <c r="B895" s="9"/>
      <c r="C895" s="10">
        <v>7</v>
      </c>
      <c r="D895" s="11"/>
      <c r="AB895" t="str" cm="1">
        <f t="array" ref="AB895:AC895">_xlfn._xlws.FILTER(A895:Z895,A895:Z895&lt;&gt;"","")</f>
        <v>Combined Science: Biology + Physics</v>
      </c>
      <c r="AC895">
        <v>7</v>
      </c>
      <c r="AD895" t="str">
        <v/>
      </c>
      <c r="AE895" t="str">
        <v/>
      </c>
      <c r="AF895" t="str" cm="1">
        <f t="array" ref="AF895">IF(AD895="","",SUMPRODUCT(IF(LEFT($AD$1:AD895,2)="JS",1,0)))</f>
        <v/>
      </c>
      <c r="AG895" t="str">
        <f t="shared" si="52"/>
        <v/>
      </c>
      <c r="AH895" t="str">
        <f t="shared" si="53"/>
        <v/>
      </c>
      <c r="AI895" t="str">
        <f>IF(AH895="","",MAX($AF$1:$AF895))</f>
        <v/>
      </c>
      <c r="AJ895" t="str">
        <f t="shared" si="54"/>
        <v/>
      </c>
      <c r="AK895" t="str">
        <f>IF(AJ895="","",MAX($AF$1:$AF895))</f>
        <v/>
      </c>
      <c r="AL895" t="str">
        <f t="shared" si="55"/>
        <v/>
      </c>
      <c r="AM895" t="str">
        <f>IF(AL895="","",MAX($AF$1:$AF895))</f>
        <v/>
      </c>
    </row>
    <row r="896" spans="1:39" ht="13.5" customHeight="1" x14ac:dyDescent="0.3">
      <c r="A896" s="8" t="s">
        <v>10</v>
      </c>
      <c r="B896" s="9"/>
      <c r="C896" s="10">
        <v>7</v>
      </c>
      <c r="D896" s="11"/>
      <c r="AB896" t="str" cm="1">
        <f t="array" ref="AB896:AC896">_xlfn._xlws.FILTER(A896:Z896,A896:Z896&lt;&gt;"","")</f>
        <v>Combined Science: Physics + Chemistry</v>
      </c>
      <c r="AC896">
        <v>7</v>
      </c>
      <c r="AD896" t="str">
        <v/>
      </c>
      <c r="AE896" t="str">
        <v/>
      </c>
      <c r="AF896" t="str" cm="1">
        <f t="array" ref="AF896">IF(AD896="","",SUMPRODUCT(IF(LEFT($AD$1:AD896,2)="JS",1,0)))</f>
        <v/>
      </c>
      <c r="AG896" t="str">
        <f t="shared" si="52"/>
        <v/>
      </c>
      <c r="AH896" t="str">
        <f t="shared" si="53"/>
        <v/>
      </c>
      <c r="AI896" t="str">
        <f>IF(AH896="","",MAX($AF$1:$AF896))</f>
        <v/>
      </c>
      <c r="AJ896" t="str">
        <f t="shared" si="54"/>
        <v/>
      </c>
      <c r="AK896" t="str">
        <f>IF(AJ896="","",MAX($AF$1:$AF896))</f>
        <v/>
      </c>
      <c r="AL896" t="str">
        <f t="shared" si="55"/>
        <v/>
      </c>
      <c r="AM896" t="str">
        <f>IF(AL896="","",MAX($AF$1:$AF896))</f>
        <v/>
      </c>
    </row>
    <row r="897" spans="1:39" ht="13.5" customHeight="1" x14ac:dyDescent="0.3">
      <c r="A897" s="8" t="s">
        <v>11</v>
      </c>
      <c r="B897" s="9"/>
      <c r="C897" s="10">
        <v>7</v>
      </c>
      <c r="D897" s="11"/>
      <c r="AB897" t="str" cm="1">
        <f t="array" ref="AB897:AC897">_xlfn._xlws.FILTER(A897:Z897,A897:Z897&lt;&gt;"","")</f>
        <v>Design and Applied Technology</v>
      </c>
      <c r="AC897">
        <v>7</v>
      </c>
      <c r="AD897" t="str">
        <v/>
      </c>
      <c r="AE897" t="str">
        <v/>
      </c>
      <c r="AF897" t="str" cm="1">
        <f t="array" ref="AF897">IF(AD897="","",SUMPRODUCT(IF(LEFT($AD$1:AD897,2)="JS",1,0)))</f>
        <v/>
      </c>
      <c r="AG897" t="str">
        <f t="shared" ref="AG897:AG960" si="56">IF(ISNUMBER(MATCH(AB897,$AV$3:$AV$18,0)),TRUE,"")</f>
        <v/>
      </c>
      <c r="AH897" t="str">
        <f t="shared" si="53"/>
        <v/>
      </c>
      <c r="AI897" t="str">
        <f>IF(AH897="","",MAX($AF$1:$AF897))</f>
        <v/>
      </c>
      <c r="AJ897" t="str">
        <f t="shared" si="54"/>
        <v/>
      </c>
      <c r="AK897" t="str">
        <f>IF(AJ897="","",MAX($AF$1:$AF897))</f>
        <v/>
      </c>
      <c r="AL897" t="str">
        <f t="shared" si="55"/>
        <v/>
      </c>
      <c r="AM897" t="str">
        <f>IF(AL897="","",MAX($AF$1:$AF897))</f>
        <v/>
      </c>
    </row>
    <row r="898" spans="1:39" ht="13.5" customHeight="1" x14ac:dyDescent="0.3">
      <c r="A898" s="8" t="s">
        <v>217</v>
      </c>
      <c r="B898" s="9"/>
      <c r="C898" s="10">
        <v>7</v>
      </c>
      <c r="D898" s="11"/>
      <c r="AB898" t="str" cm="1">
        <f t="array" ref="AB898:AC898">_xlfn._xlws.FILTER(A898:Z898,A898:Z898&lt;&gt;"","")</f>
        <v>ECON</v>
      </c>
      <c r="AC898">
        <v>7</v>
      </c>
      <c r="AD898" t="str">
        <v/>
      </c>
      <c r="AE898" t="str">
        <v/>
      </c>
      <c r="AF898" t="str" cm="1">
        <f t="array" ref="AF898">IF(AD898="","",SUMPRODUCT(IF(LEFT($AD$1:AD898,2)="JS",1,0)))</f>
        <v/>
      </c>
      <c r="AG898" t="b">
        <f t="shared" si="56"/>
        <v>1</v>
      </c>
      <c r="AH898" t="str">
        <f t="shared" ref="AH898:AH961" si="57">IF(AND(AC898=10,AG898=TRUE),AB898,"")</f>
        <v/>
      </c>
      <c r="AI898" t="str">
        <f>IF(AH898="","",MAX($AF$1:$AF898))</f>
        <v/>
      </c>
      <c r="AJ898" t="str">
        <f t="shared" ref="AJ898:AJ961" si="58">IF(AND(AC898=7,AG898=TRUE),AB898,"")</f>
        <v>ECON</v>
      </c>
      <c r="AK898">
        <f>IF(AJ898="","",MAX($AF$1:$AF898))</f>
        <v>18</v>
      </c>
      <c r="AL898" t="str">
        <f t="shared" ref="AL898:AL961" si="59">IF(AND(AC898=5,AG898=TRUE),AB898,"")</f>
        <v/>
      </c>
      <c r="AM898" t="str">
        <f>IF(AL898="","",MAX($AF$1:$AF898))</f>
        <v/>
      </c>
    </row>
    <row r="899" spans="1:39" ht="13.5" customHeight="1" x14ac:dyDescent="0.3">
      <c r="A899" s="8" t="s">
        <v>218</v>
      </c>
      <c r="B899" s="9"/>
      <c r="C899" s="10">
        <v>10</v>
      </c>
      <c r="D899" s="11"/>
      <c r="AB899" t="str" cm="1">
        <f t="array" ref="AB899:AC899">_xlfn._xlws.FILTER(A899:Z899,A899:Z899&lt;&gt;"","")</f>
        <v>ENG</v>
      </c>
      <c r="AC899">
        <v>10</v>
      </c>
      <c r="AD899" t="str">
        <v/>
      </c>
      <c r="AE899" t="str">
        <v/>
      </c>
      <c r="AF899" t="str" cm="1">
        <f t="array" ref="AF899">IF(AD899="","",SUMPRODUCT(IF(LEFT($AD$1:AD899,2)="JS",1,0)))</f>
        <v/>
      </c>
      <c r="AG899" t="b">
        <f t="shared" si="56"/>
        <v>1</v>
      </c>
      <c r="AH899" t="str">
        <f t="shared" si="57"/>
        <v>ENG</v>
      </c>
      <c r="AI899">
        <f>IF(AH899="","",MAX($AF$1:$AF899))</f>
        <v>18</v>
      </c>
      <c r="AJ899" t="str">
        <f t="shared" si="58"/>
        <v/>
      </c>
      <c r="AK899" t="str">
        <f>IF(AJ899="","",MAX($AF$1:$AF899))</f>
        <v/>
      </c>
      <c r="AL899" t="str">
        <f t="shared" si="59"/>
        <v/>
      </c>
      <c r="AM899" t="str">
        <f>IF(AL899="","",MAX($AF$1:$AF899))</f>
        <v/>
      </c>
    </row>
    <row r="900" spans="1:39" ht="13.5" customHeight="1" x14ac:dyDescent="0.3">
      <c r="A900" s="8" t="s">
        <v>12</v>
      </c>
      <c r="B900" s="9"/>
      <c r="C900" s="10">
        <v>7</v>
      </c>
      <c r="D900" s="11"/>
      <c r="AB900" t="str" cm="1">
        <f t="array" ref="AB900:AC900">_xlfn._xlws.FILTER(A900:Z900,A900:Z900&lt;&gt;"","")</f>
        <v>Ethics and Religious Studies</v>
      </c>
      <c r="AC900">
        <v>7</v>
      </c>
      <c r="AD900" t="str">
        <v/>
      </c>
      <c r="AE900" t="str">
        <v/>
      </c>
      <c r="AF900" t="str" cm="1">
        <f t="array" ref="AF900">IF(AD900="","",SUMPRODUCT(IF(LEFT($AD$1:AD900,2)="JS",1,0)))</f>
        <v/>
      </c>
      <c r="AG900" t="str">
        <f t="shared" si="56"/>
        <v/>
      </c>
      <c r="AH900" t="str">
        <f t="shared" si="57"/>
        <v/>
      </c>
      <c r="AI900" t="str">
        <f>IF(AH900="","",MAX($AF$1:$AF900))</f>
        <v/>
      </c>
      <c r="AJ900" t="str">
        <f t="shared" si="58"/>
        <v/>
      </c>
      <c r="AK900" t="str">
        <f>IF(AJ900="","",MAX($AF$1:$AF900))</f>
        <v/>
      </c>
      <c r="AL900" t="str">
        <f t="shared" si="59"/>
        <v/>
      </c>
      <c r="AM900" t="str">
        <f>IF(AL900="","",MAX($AF$1:$AF900))</f>
        <v/>
      </c>
    </row>
    <row r="901" spans="1:39" ht="13.5" customHeight="1" x14ac:dyDescent="0.3">
      <c r="A901" s="8" t="s">
        <v>219</v>
      </c>
      <c r="B901" s="9"/>
      <c r="C901" s="10">
        <v>7</v>
      </c>
      <c r="D901" s="11"/>
      <c r="AB901" t="str" cm="1">
        <f t="array" ref="AB901:AC901">_xlfn._xlws.FILTER(A901:Z901,A901:Z901&lt;&gt;"","")</f>
        <v>GEOG</v>
      </c>
      <c r="AC901">
        <v>7</v>
      </c>
      <c r="AD901" t="str">
        <v/>
      </c>
      <c r="AE901" t="str">
        <v/>
      </c>
      <c r="AF901" t="str" cm="1">
        <f t="array" ref="AF901">IF(AD901="","",SUMPRODUCT(IF(LEFT($AD$1:AD901,2)="JS",1,0)))</f>
        <v/>
      </c>
      <c r="AG901" t="b">
        <f t="shared" si="56"/>
        <v>1</v>
      </c>
      <c r="AH901" t="str">
        <f t="shared" si="57"/>
        <v/>
      </c>
      <c r="AI901" t="str">
        <f>IF(AH901="","",MAX($AF$1:$AF901))</f>
        <v/>
      </c>
      <c r="AJ901" t="str">
        <f t="shared" si="58"/>
        <v>GEOG</v>
      </c>
      <c r="AK901">
        <f>IF(AJ901="","",MAX($AF$1:$AF901))</f>
        <v>18</v>
      </c>
      <c r="AL901" t="str">
        <f t="shared" si="59"/>
        <v/>
      </c>
      <c r="AM901" t="str">
        <f>IF(AL901="","",MAX($AF$1:$AF901))</f>
        <v/>
      </c>
    </row>
    <row r="902" spans="1:39" ht="13.5" customHeight="1" x14ac:dyDescent="0.3">
      <c r="A902" s="8" t="s">
        <v>220</v>
      </c>
      <c r="B902" s="9"/>
      <c r="C902" s="10">
        <v>7</v>
      </c>
      <c r="D902" s="11"/>
      <c r="AB902" t="str" cm="1">
        <f t="array" ref="AB902:AC902">_xlfn._xlws.FILTER(A902:Z902,A902:Z902&lt;&gt;"","")</f>
        <v>HMSC</v>
      </c>
      <c r="AC902">
        <v>7</v>
      </c>
      <c r="AD902" t="str">
        <v/>
      </c>
      <c r="AE902" t="str">
        <v/>
      </c>
      <c r="AF902" t="str" cm="1">
        <f t="array" ref="AF902">IF(AD902="","",SUMPRODUCT(IF(LEFT($AD$1:AD902,2)="JS",1,0)))</f>
        <v/>
      </c>
      <c r="AG902" t="b">
        <f t="shared" si="56"/>
        <v>1</v>
      </c>
      <c r="AH902" t="str">
        <f t="shared" si="57"/>
        <v/>
      </c>
      <c r="AI902" t="str">
        <f>IF(AH902="","",MAX($AF$1:$AF902))</f>
        <v/>
      </c>
      <c r="AJ902" t="str">
        <f t="shared" si="58"/>
        <v>HMSC</v>
      </c>
      <c r="AK902">
        <f>IF(AJ902="","",MAX($AF$1:$AF902))</f>
        <v>18</v>
      </c>
      <c r="AL902" t="str">
        <f t="shared" si="59"/>
        <v/>
      </c>
      <c r="AM902" t="str">
        <f>IF(AL902="","",MAX($AF$1:$AF902))</f>
        <v/>
      </c>
    </row>
    <row r="903" spans="1:39" ht="13.5" customHeight="1" x14ac:dyDescent="0.3">
      <c r="A903" s="8" t="s">
        <v>221</v>
      </c>
      <c r="B903" s="9"/>
      <c r="C903" s="10">
        <v>7</v>
      </c>
      <c r="D903" s="11"/>
      <c r="AB903" t="str" cm="1">
        <f t="array" ref="AB903:AC903">_xlfn._xlws.FILTER(A903:Z903,A903:Z903&lt;&gt;"","")</f>
        <v>HIST</v>
      </c>
      <c r="AC903">
        <v>7</v>
      </c>
      <c r="AD903" t="str">
        <v/>
      </c>
      <c r="AE903" t="str">
        <v/>
      </c>
      <c r="AF903" t="str" cm="1">
        <f t="array" ref="AF903">IF(AD903="","",SUMPRODUCT(IF(LEFT($AD$1:AD903,2)="JS",1,0)))</f>
        <v/>
      </c>
      <c r="AG903" t="b">
        <f t="shared" si="56"/>
        <v>1</v>
      </c>
      <c r="AH903" t="str">
        <f t="shared" si="57"/>
        <v/>
      </c>
      <c r="AI903" t="str">
        <f>IF(AH903="","",MAX($AF$1:$AF903))</f>
        <v/>
      </c>
      <c r="AJ903" t="str">
        <f t="shared" si="58"/>
        <v>HIST</v>
      </c>
      <c r="AK903">
        <f>IF(AJ903="","",MAX($AF$1:$AF903))</f>
        <v>18</v>
      </c>
      <c r="AL903" t="str">
        <f t="shared" si="59"/>
        <v/>
      </c>
      <c r="AM903" t="str">
        <f>IF(AL903="","",MAX($AF$1:$AF903))</f>
        <v/>
      </c>
    </row>
    <row r="904" spans="1:39" ht="13.5" customHeight="1" x14ac:dyDescent="0.3">
      <c r="A904" s="8" t="s">
        <v>222</v>
      </c>
      <c r="B904" s="9"/>
      <c r="C904" s="10">
        <v>7</v>
      </c>
      <c r="D904" s="11"/>
      <c r="AB904" t="str" cm="1">
        <f t="array" ref="AB904:AC904">_xlfn._xlws.FILTER(A904:Z904,A904:Z904&lt;&gt;"","")</f>
        <v>ICT</v>
      </c>
      <c r="AC904">
        <v>7</v>
      </c>
      <c r="AD904" t="str">
        <v/>
      </c>
      <c r="AE904" t="str">
        <v/>
      </c>
      <c r="AF904" t="str" cm="1">
        <f t="array" ref="AF904">IF(AD904="","",SUMPRODUCT(IF(LEFT($AD$1:AD904,2)="JS",1,0)))</f>
        <v/>
      </c>
      <c r="AG904" t="b">
        <f t="shared" si="56"/>
        <v>1</v>
      </c>
      <c r="AH904" t="str">
        <f t="shared" si="57"/>
        <v/>
      </c>
      <c r="AI904" t="str">
        <f>IF(AH904="","",MAX($AF$1:$AF904))</f>
        <v/>
      </c>
      <c r="AJ904" t="str">
        <f t="shared" si="58"/>
        <v>ICT</v>
      </c>
      <c r="AK904">
        <f>IF(AJ904="","",MAX($AF$1:$AF904))</f>
        <v>18</v>
      </c>
      <c r="AL904" t="str">
        <f t="shared" si="59"/>
        <v/>
      </c>
      <c r="AM904" t="str">
        <f>IF(AL904="","",MAX($AF$1:$AF904))</f>
        <v/>
      </c>
    </row>
    <row r="905" spans="1:39" ht="13.5" customHeight="1" x14ac:dyDescent="0.3">
      <c r="A905" s="8" t="s">
        <v>13</v>
      </c>
      <c r="B905" s="9"/>
      <c r="C905" s="10">
        <v>7</v>
      </c>
      <c r="D905" s="11"/>
      <c r="AB905" t="str" cm="1">
        <f t="array" ref="AB905:AC905">_xlfn._xlws.FILTER(A905:Z905,A905:Z905&lt;&gt;"","")</f>
        <v>Integrated Science</v>
      </c>
      <c r="AC905">
        <v>7</v>
      </c>
      <c r="AD905" t="str">
        <v/>
      </c>
      <c r="AE905" t="str">
        <v/>
      </c>
      <c r="AF905" t="str" cm="1">
        <f t="array" ref="AF905">IF(AD905="","",SUMPRODUCT(IF(LEFT($AD$1:AD905,2)="JS",1,0)))</f>
        <v/>
      </c>
      <c r="AG905" t="str">
        <f t="shared" si="56"/>
        <v/>
      </c>
      <c r="AH905" t="str">
        <f t="shared" si="57"/>
        <v/>
      </c>
      <c r="AI905" t="str">
        <f>IF(AH905="","",MAX($AF$1:$AF905))</f>
        <v/>
      </c>
      <c r="AJ905" t="str">
        <f t="shared" si="58"/>
        <v/>
      </c>
      <c r="AK905" t="str">
        <f>IF(AJ905="","",MAX($AF$1:$AF905))</f>
        <v/>
      </c>
      <c r="AL905" t="str">
        <f t="shared" si="59"/>
        <v/>
      </c>
      <c r="AM905" t="str">
        <f>IF(AL905="","",MAX($AF$1:$AF905))</f>
        <v/>
      </c>
    </row>
    <row r="906" spans="1:39" ht="13.5" customHeight="1" x14ac:dyDescent="0.3">
      <c r="A906" s="8" t="s">
        <v>223</v>
      </c>
      <c r="B906" s="9"/>
      <c r="C906" s="10">
        <v>7</v>
      </c>
      <c r="D906" s="11"/>
      <c r="AB906" t="str" cm="1">
        <f t="array" ref="AB906:AC906">_xlfn._xlws.FILTER(A906:Z906,A906:Z906&lt;&gt;"","")</f>
        <v>通</v>
      </c>
      <c r="AC906">
        <v>7</v>
      </c>
      <c r="AD906" t="str">
        <v/>
      </c>
      <c r="AE906" t="str">
        <v/>
      </c>
      <c r="AF906" t="str" cm="1">
        <f t="array" ref="AF906">IF(AD906="","",SUMPRODUCT(IF(LEFT($AD$1:AD906,2)="JS",1,0)))</f>
        <v/>
      </c>
      <c r="AG906" t="b">
        <f t="shared" si="56"/>
        <v>1</v>
      </c>
      <c r="AH906" t="str">
        <f t="shared" si="57"/>
        <v/>
      </c>
      <c r="AI906" t="str">
        <f>IF(AH906="","",MAX($AF$1:$AF906))</f>
        <v/>
      </c>
      <c r="AJ906" t="str">
        <f t="shared" si="58"/>
        <v>通</v>
      </c>
      <c r="AK906">
        <f>IF(AJ906="","",MAX($AF$1:$AF906))</f>
        <v>18</v>
      </c>
      <c r="AL906" t="str">
        <f t="shared" si="59"/>
        <v/>
      </c>
      <c r="AM906" t="str">
        <f>IF(AL906="","",MAX($AF$1:$AF906))</f>
        <v/>
      </c>
    </row>
    <row r="907" spans="1:39" ht="13.5" customHeight="1" x14ac:dyDescent="0.3">
      <c r="A907" s="8" t="s">
        <v>14</v>
      </c>
      <c r="B907" s="9"/>
      <c r="C907" s="10">
        <v>7</v>
      </c>
      <c r="D907" s="11"/>
      <c r="AB907" t="str" cm="1">
        <f t="array" ref="AB907:AC907">_xlfn._xlws.FILTER(A907:Z907,A907:Z907&lt;&gt;"","")</f>
        <v>Literature in English</v>
      </c>
      <c r="AC907">
        <v>7</v>
      </c>
      <c r="AD907" t="str">
        <v/>
      </c>
      <c r="AE907" t="str">
        <v/>
      </c>
      <c r="AF907" t="str" cm="1">
        <f t="array" ref="AF907">IF(AD907="","",SUMPRODUCT(IF(LEFT($AD$1:AD907,2)="JS",1,0)))</f>
        <v/>
      </c>
      <c r="AG907" t="str">
        <f t="shared" si="56"/>
        <v/>
      </c>
      <c r="AH907" t="str">
        <f t="shared" si="57"/>
        <v/>
      </c>
      <c r="AI907" t="str">
        <f>IF(AH907="","",MAX($AF$1:$AF907))</f>
        <v/>
      </c>
      <c r="AJ907" t="str">
        <f t="shared" si="58"/>
        <v/>
      </c>
      <c r="AK907" t="str">
        <f>IF(AJ907="","",MAX($AF$1:$AF907))</f>
        <v/>
      </c>
      <c r="AL907" t="str">
        <f t="shared" si="59"/>
        <v/>
      </c>
      <c r="AM907" t="str">
        <f>IF(AL907="","",MAX($AF$1:$AF907))</f>
        <v/>
      </c>
    </row>
    <row r="908" spans="1:39" ht="13.5" customHeight="1" x14ac:dyDescent="0.3">
      <c r="A908" s="8" t="s">
        <v>224</v>
      </c>
      <c r="B908" s="9"/>
      <c r="C908" s="10">
        <v>7</v>
      </c>
      <c r="D908" s="11"/>
      <c r="AB908" t="str" cm="1">
        <f t="array" ref="AB908:AC908">_xlfn._xlws.FILTER(A908:Z908,A908:Z908&lt;&gt;"","")</f>
        <v>MATH</v>
      </c>
      <c r="AC908">
        <v>7</v>
      </c>
      <c r="AD908" t="str">
        <v/>
      </c>
      <c r="AE908" t="str">
        <v/>
      </c>
      <c r="AF908" t="str" cm="1">
        <f t="array" ref="AF908">IF(AD908="","",SUMPRODUCT(IF(LEFT($AD$1:AD908,2)="JS",1,0)))</f>
        <v/>
      </c>
      <c r="AG908" t="b">
        <f t="shared" si="56"/>
        <v>1</v>
      </c>
      <c r="AH908" t="str">
        <f t="shared" si="57"/>
        <v/>
      </c>
      <c r="AI908" t="str">
        <f>IF(AH908="","",MAX($AF$1:$AF908))</f>
        <v/>
      </c>
      <c r="AJ908" t="str">
        <f t="shared" si="58"/>
        <v>MATH</v>
      </c>
      <c r="AK908">
        <f>IF(AJ908="","",MAX($AF$1:$AF908))</f>
        <v>18</v>
      </c>
      <c r="AL908" t="str">
        <f t="shared" si="59"/>
        <v/>
      </c>
      <c r="AM908" t="str">
        <f>IF(AL908="","",MAX($AF$1:$AF908))</f>
        <v/>
      </c>
    </row>
    <row r="909" spans="1:39" ht="13.5" customHeight="1" x14ac:dyDescent="0.3">
      <c r="A909" s="8" t="s">
        <v>225</v>
      </c>
      <c r="B909" s="9"/>
      <c r="C909" s="10">
        <v>7</v>
      </c>
      <c r="D909" s="11"/>
      <c r="AB909" t="str" cm="1">
        <f t="array" ref="AB909:AC909">_xlfn._xlws.FILTER(A909:Z909,A909:Z909&lt;&gt;"","")</f>
        <v>M2</v>
      </c>
      <c r="AC909">
        <v>7</v>
      </c>
      <c r="AD909" t="str">
        <v/>
      </c>
      <c r="AE909" t="str">
        <v/>
      </c>
      <c r="AF909" t="str" cm="1">
        <f t="array" ref="AF909">IF(AD909="","",SUMPRODUCT(IF(LEFT($AD$1:AD909,2)="JS",1,0)))</f>
        <v/>
      </c>
      <c r="AG909" t="b">
        <f t="shared" si="56"/>
        <v>1</v>
      </c>
      <c r="AH909" t="str">
        <f t="shared" si="57"/>
        <v/>
      </c>
      <c r="AI909" t="str">
        <f>IF(AH909="","",MAX($AF$1:$AF909))</f>
        <v/>
      </c>
      <c r="AJ909" t="str">
        <f t="shared" si="58"/>
        <v>M2</v>
      </c>
      <c r="AK909">
        <f>IF(AJ909="","",MAX($AF$1:$AF909))</f>
        <v>18</v>
      </c>
      <c r="AL909" t="str">
        <f t="shared" si="59"/>
        <v/>
      </c>
      <c r="AM909" t="str">
        <f>IF(AL909="","",MAX($AF$1:$AF909))</f>
        <v/>
      </c>
    </row>
    <row r="910" spans="1:39" ht="13.5" customHeight="1" x14ac:dyDescent="0.3">
      <c r="A910" s="8" t="s">
        <v>15</v>
      </c>
      <c r="B910" s="9"/>
      <c r="C910" s="10">
        <v>7</v>
      </c>
      <c r="D910" s="11"/>
      <c r="AB910" t="str" cm="1">
        <f t="array" ref="AB910:AC910">_xlfn._xlws.FILTER(A910:Z910,A910:Z910&lt;&gt;"","")</f>
        <v>Mathematics (Extended part - Calculus and Statistics)</v>
      </c>
      <c r="AC910">
        <v>7</v>
      </c>
      <c r="AD910" t="str">
        <v/>
      </c>
      <c r="AE910" t="str">
        <v/>
      </c>
      <c r="AF910" t="str" cm="1">
        <f t="array" ref="AF910">IF(AD910="","",SUMPRODUCT(IF(LEFT($AD$1:AD910,2)="JS",1,0)))</f>
        <v/>
      </c>
      <c r="AG910" t="str">
        <f t="shared" si="56"/>
        <v/>
      </c>
      <c r="AH910" t="str">
        <f t="shared" si="57"/>
        <v/>
      </c>
      <c r="AI910" t="str">
        <f>IF(AH910="","",MAX($AF$1:$AF910))</f>
        <v/>
      </c>
      <c r="AJ910" t="str">
        <f t="shared" si="58"/>
        <v/>
      </c>
      <c r="AK910" t="str">
        <f>IF(AJ910="","",MAX($AF$1:$AF910))</f>
        <v/>
      </c>
      <c r="AL910" t="str">
        <f t="shared" si="59"/>
        <v/>
      </c>
      <c r="AM910" t="str">
        <f>IF(AL910="","",MAX($AF$1:$AF910))</f>
        <v/>
      </c>
    </row>
    <row r="911" spans="1:39" ht="13.5" customHeight="1" x14ac:dyDescent="0.3">
      <c r="A911" s="8" t="s">
        <v>16</v>
      </c>
      <c r="B911" s="9"/>
      <c r="C911" s="10">
        <v>7</v>
      </c>
      <c r="D911" s="11"/>
      <c r="AB911" t="str" cm="1">
        <f t="array" ref="AB911:AC911">_xlfn._xlws.FILTER(A911:Z911,A911:Z911&lt;&gt;"","")</f>
        <v>Music</v>
      </c>
      <c r="AC911">
        <v>7</v>
      </c>
      <c r="AD911" t="str">
        <v/>
      </c>
      <c r="AE911" t="str">
        <v/>
      </c>
      <c r="AF911" t="str" cm="1">
        <f t="array" ref="AF911">IF(AD911="","",SUMPRODUCT(IF(LEFT($AD$1:AD911,2)="JS",1,0)))</f>
        <v/>
      </c>
      <c r="AG911" t="str">
        <f t="shared" si="56"/>
        <v/>
      </c>
      <c r="AH911" t="str">
        <f t="shared" si="57"/>
        <v/>
      </c>
      <c r="AI911" t="str">
        <f>IF(AH911="","",MAX($AF$1:$AF911))</f>
        <v/>
      </c>
      <c r="AJ911" t="str">
        <f t="shared" si="58"/>
        <v/>
      </c>
      <c r="AK911" t="str">
        <f>IF(AJ911="","",MAX($AF$1:$AF911))</f>
        <v/>
      </c>
      <c r="AL911" t="str">
        <f t="shared" si="59"/>
        <v/>
      </c>
      <c r="AM911" t="str">
        <f>IF(AL911="","",MAX($AF$1:$AF911))</f>
        <v/>
      </c>
    </row>
    <row r="912" spans="1:39" ht="13.5" customHeight="1" x14ac:dyDescent="0.3">
      <c r="A912" s="8" t="s">
        <v>17</v>
      </c>
      <c r="B912" s="9"/>
      <c r="C912" s="10">
        <v>7</v>
      </c>
      <c r="D912" s="11"/>
      <c r="AB912" t="str" cm="1">
        <f t="array" ref="AB912:AC912">_xlfn._xlws.FILTER(A912:Z912,A912:Z912&lt;&gt;"","")</f>
        <v>Physical Education</v>
      </c>
      <c r="AC912">
        <v>7</v>
      </c>
      <c r="AD912" t="str">
        <v/>
      </c>
      <c r="AE912" t="str">
        <v/>
      </c>
      <c r="AF912" t="str" cm="1">
        <f t="array" ref="AF912">IF(AD912="","",SUMPRODUCT(IF(LEFT($AD$1:AD912,2)="JS",1,0)))</f>
        <v/>
      </c>
      <c r="AG912" t="str">
        <f t="shared" si="56"/>
        <v/>
      </c>
      <c r="AH912" t="str">
        <f t="shared" si="57"/>
        <v/>
      </c>
      <c r="AI912" t="str">
        <f>IF(AH912="","",MAX($AF$1:$AF912))</f>
        <v/>
      </c>
      <c r="AJ912" t="str">
        <f t="shared" si="58"/>
        <v/>
      </c>
      <c r="AK912" t="str">
        <f>IF(AJ912="","",MAX($AF$1:$AF912))</f>
        <v/>
      </c>
      <c r="AL912" t="str">
        <f t="shared" si="59"/>
        <v/>
      </c>
      <c r="AM912" t="str">
        <f>IF(AL912="","",MAX($AF$1:$AF912))</f>
        <v/>
      </c>
    </row>
    <row r="913" spans="1:39" ht="13.5" customHeight="1" x14ac:dyDescent="0.3">
      <c r="A913" s="8" t="s">
        <v>226</v>
      </c>
      <c r="B913" s="9"/>
      <c r="C913" s="10">
        <v>7</v>
      </c>
      <c r="D913" s="11"/>
      <c r="AB913" t="str" cm="1">
        <f t="array" ref="AB913:AC913">_xlfn._xlws.FILTER(A913:Z913,A913:Z913&lt;&gt;"","")</f>
        <v>PHY</v>
      </c>
      <c r="AC913">
        <v>7</v>
      </c>
      <c r="AD913" t="str">
        <v/>
      </c>
      <c r="AE913" t="str">
        <v/>
      </c>
      <c r="AF913" t="str" cm="1">
        <f t="array" ref="AF913">IF(AD913="","",SUMPRODUCT(IF(LEFT($AD$1:AD913,2)="JS",1,0)))</f>
        <v/>
      </c>
      <c r="AG913" t="b">
        <f t="shared" si="56"/>
        <v>1</v>
      </c>
      <c r="AH913" t="str">
        <f t="shared" si="57"/>
        <v/>
      </c>
      <c r="AI913" t="str">
        <f>IF(AH913="","",MAX($AF$1:$AF913))</f>
        <v/>
      </c>
      <c r="AJ913" t="str">
        <f t="shared" si="58"/>
        <v>PHY</v>
      </c>
      <c r="AK913">
        <f>IF(AJ913="","",MAX($AF$1:$AF913))</f>
        <v>18</v>
      </c>
      <c r="AL913" t="str">
        <f t="shared" si="59"/>
        <v/>
      </c>
      <c r="AM913" t="str">
        <f>IF(AL913="","",MAX($AF$1:$AF913))</f>
        <v/>
      </c>
    </row>
    <row r="914" spans="1:39" ht="13.5" customHeight="1" x14ac:dyDescent="0.3">
      <c r="A914" s="8" t="s">
        <v>18</v>
      </c>
      <c r="B914" s="9"/>
      <c r="C914" s="10">
        <v>7</v>
      </c>
      <c r="D914" s="11"/>
      <c r="AB914" t="str" cm="1">
        <f t="array" ref="AB914:AC914">_xlfn._xlws.FILTER(A914:Z914,A914:Z914&lt;&gt;"","")</f>
        <v>Technology and Living (Fashion, Clothing and Textiles)</v>
      </c>
      <c r="AC914">
        <v>7</v>
      </c>
      <c r="AD914" t="str">
        <v/>
      </c>
      <c r="AE914" t="str">
        <v/>
      </c>
      <c r="AF914" t="str" cm="1">
        <f t="array" ref="AF914">IF(AD914="","",SUMPRODUCT(IF(LEFT($AD$1:AD914,2)="JS",1,0)))</f>
        <v/>
      </c>
      <c r="AG914" t="str">
        <f t="shared" si="56"/>
        <v/>
      </c>
      <c r="AH914" t="str">
        <f t="shared" si="57"/>
        <v/>
      </c>
      <c r="AI914" t="str">
        <f>IF(AH914="","",MAX($AF$1:$AF914))</f>
        <v/>
      </c>
      <c r="AJ914" t="str">
        <f t="shared" si="58"/>
        <v/>
      </c>
      <c r="AK914" t="str">
        <f>IF(AJ914="","",MAX($AF$1:$AF914))</f>
        <v/>
      </c>
      <c r="AL914" t="str">
        <f t="shared" si="59"/>
        <v/>
      </c>
      <c r="AM914" t="str">
        <f>IF(AL914="","",MAX($AF$1:$AF914))</f>
        <v/>
      </c>
    </row>
    <row r="915" spans="1:39" ht="13.5" customHeight="1" x14ac:dyDescent="0.3">
      <c r="A915" s="8" t="s">
        <v>19</v>
      </c>
      <c r="B915" s="9"/>
      <c r="C915" s="10">
        <v>7</v>
      </c>
      <c r="D915" s="11"/>
      <c r="AB915" t="str" cm="1">
        <f t="array" ref="AB915:AC915">_xlfn._xlws.FILTER(A915:Z915,A915:Z915&lt;&gt;"","")</f>
        <v>Technology and Living (Food Science and Technology)</v>
      </c>
      <c r="AC915">
        <v>7</v>
      </c>
      <c r="AD915" t="str">
        <v/>
      </c>
      <c r="AE915" t="str">
        <v/>
      </c>
      <c r="AF915" t="str" cm="1">
        <f t="array" ref="AF915">IF(AD915="","",SUMPRODUCT(IF(LEFT($AD$1:AD915,2)="JS",1,0)))</f>
        <v/>
      </c>
      <c r="AG915" t="str">
        <f t="shared" si="56"/>
        <v/>
      </c>
      <c r="AH915" t="str">
        <f t="shared" si="57"/>
        <v/>
      </c>
      <c r="AI915" t="str">
        <f>IF(AH915="","",MAX($AF$1:$AF915))</f>
        <v/>
      </c>
      <c r="AJ915" t="str">
        <f t="shared" si="58"/>
        <v/>
      </c>
      <c r="AK915" t="str">
        <f>IF(AJ915="","",MAX($AF$1:$AF915))</f>
        <v/>
      </c>
      <c r="AL915" t="str">
        <f t="shared" si="59"/>
        <v/>
      </c>
      <c r="AM915" t="str">
        <f>IF(AL915="","",MAX($AF$1:$AF915))</f>
        <v/>
      </c>
    </row>
    <row r="916" spans="1:39" ht="13.5" customHeight="1" x14ac:dyDescent="0.3">
      <c r="A916" s="8" t="s">
        <v>20</v>
      </c>
      <c r="B916" s="9"/>
      <c r="C916" s="10">
        <v>7</v>
      </c>
      <c r="D916" s="11"/>
      <c r="AB916" t="str" cm="1">
        <f t="array" ref="AB916:AC916">_xlfn._xlws.FILTER(A916:Z916,A916:Z916&lt;&gt;"","")</f>
        <v>Tourism and Hospitality Studies</v>
      </c>
      <c r="AC916">
        <v>7</v>
      </c>
      <c r="AD916" t="str">
        <v/>
      </c>
      <c r="AE916" t="str">
        <v/>
      </c>
      <c r="AF916" t="str" cm="1">
        <f t="array" ref="AF916">IF(AD916="","",SUMPRODUCT(IF(LEFT($AD$1:AD916,2)="JS",1,0)))</f>
        <v/>
      </c>
      <c r="AG916" t="str">
        <f t="shared" si="56"/>
        <v/>
      </c>
      <c r="AH916" t="str">
        <f t="shared" si="57"/>
        <v/>
      </c>
      <c r="AI916" t="str">
        <f>IF(AH916="","",MAX($AF$1:$AF916))</f>
        <v/>
      </c>
      <c r="AJ916" t="str">
        <f t="shared" si="58"/>
        <v/>
      </c>
      <c r="AK916" t="str">
        <f>IF(AJ916="","",MAX($AF$1:$AF916))</f>
        <v/>
      </c>
      <c r="AL916" t="str">
        <f t="shared" si="59"/>
        <v/>
      </c>
      <c r="AM916" t="str">
        <f>IF(AL916="","",MAX($AF$1:$AF916))</f>
        <v/>
      </c>
    </row>
    <row r="917" spans="1:39" ht="13.5" customHeight="1" x14ac:dyDescent="0.3">
      <c r="A917" s="8" t="s">
        <v>210</v>
      </c>
      <c r="B917" s="9"/>
      <c r="C917" s="10">
        <v>7</v>
      </c>
      <c r="D917" s="11"/>
      <c r="AB917" t="str" cm="1">
        <f t="array" ref="AB917:AC917">_xlfn._xlws.FILTER(A917:Z917,A917:Z917&lt;&gt;"","")</f>
        <v>VA</v>
      </c>
      <c r="AC917">
        <v>7</v>
      </c>
      <c r="AD917" t="str">
        <v/>
      </c>
      <c r="AE917" t="str">
        <v/>
      </c>
      <c r="AF917" t="str" cm="1">
        <f t="array" ref="AF917">IF(AD917="","",SUMPRODUCT(IF(LEFT($AD$1:AD917,2)="JS",1,0)))</f>
        <v/>
      </c>
      <c r="AG917" t="b">
        <f t="shared" si="56"/>
        <v>1</v>
      </c>
      <c r="AH917" t="str">
        <f t="shared" si="57"/>
        <v/>
      </c>
      <c r="AI917" t="str">
        <f>IF(AH917="","",MAX($AF$1:$AF917))</f>
        <v/>
      </c>
      <c r="AJ917" t="str">
        <f t="shared" si="58"/>
        <v>VA</v>
      </c>
      <c r="AK917">
        <f>IF(AJ917="","",MAX($AF$1:$AF917))</f>
        <v>18</v>
      </c>
      <c r="AL917" t="str">
        <f t="shared" si="59"/>
        <v/>
      </c>
      <c r="AM917" t="str">
        <f>IF(AL917="","",MAX($AF$1:$AF917))</f>
        <v/>
      </c>
    </row>
    <row r="918" spans="1:39" ht="14.5" customHeight="1" x14ac:dyDescent="0.3">
      <c r="A918" s="12"/>
      <c r="B918" s="12"/>
      <c r="C918" s="2"/>
      <c r="D918" s="2"/>
      <c r="AB918" t="str" cm="1">
        <f t="array" ref="AB918">_xlfn._xlws.FILTER(A918:Z918,A918:Z918&lt;&gt;"","")</f>
        <v/>
      </c>
      <c r="AD918" t="str">
        <v/>
      </c>
      <c r="AE918" t="str">
        <v/>
      </c>
      <c r="AF918" t="str" cm="1">
        <f t="array" ref="AF918">IF(AD918="","",SUMPRODUCT(IF(LEFT($AD$1:AD918,2)="JS",1,0)))</f>
        <v/>
      </c>
      <c r="AG918" t="str">
        <f t="shared" si="56"/>
        <v/>
      </c>
      <c r="AH918" t="str">
        <f t="shared" si="57"/>
        <v/>
      </c>
      <c r="AI918" t="str">
        <f>IF(AH918="","",MAX($AF$1:$AF918))</f>
        <v/>
      </c>
      <c r="AJ918" t="str">
        <f t="shared" si="58"/>
        <v/>
      </c>
      <c r="AK918" t="str">
        <f>IF(AJ918="","",MAX($AF$1:$AF918))</f>
        <v/>
      </c>
      <c r="AL918" t="str">
        <f t="shared" si="59"/>
        <v/>
      </c>
      <c r="AM918" t="str">
        <f>IF(AL918="","",MAX($AF$1:$AF918))</f>
        <v/>
      </c>
    </row>
    <row r="919" spans="1:39" ht="13.5" customHeight="1" x14ac:dyDescent="0.3">
      <c r="A919" s="13" t="s">
        <v>34</v>
      </c>
      <c r="B919" s="13"/>
      <c r="C919" s="13"/>
      <c r="D919" s="13"/>
      <c r="AB919" t="str" cm="1">
        <f t="array" ref="AB919">_xlfn._xlws.FILTER(A919:Z919,A919:Z919&lt;&gt;"","")</f>
        <v>Category C: Other Language Subjects</v>
      </c>
      <c r="AD919" t="str">
        <v/>
      </c>
      <c r="AE919" t="str">
        <v/>
      </c>
      <c r="AF919" t="str" cm="1">
        <f t="array" ref="AF919">IF(AD919="","",SUMPRODUCT(IF(LEFT($AD$1:AD919,2)="JS",1,0)))</f>
        <v/>
      </c>
      <c r="AG919" t="str">
        <f t="shared" si="56"/>
        <v/>
      </c>
      <c r="AH919" t="str">
        <f t="shared" si="57"/>
        <v/>
      </c>
      <c r="AI919" t="str">
        <f>IF(AH919="","",MAX($AF$1:$AF919))</f>
        <v/>
      </c>
      <c r="AJ919" t="str">
        <f t="shared" si="58"/>
        <v/>
      </c>
      <c r="AK919" t="str">
        <f>IF(AJ919="","",MAX($AF$1:$AF919))</f>
        <v/>
      </c>
      <c r="AL919" t="str">
        <f t="shared" si="59"/>
        <v/>
      </c>
      <c r="AM919" t="str">
        <f>IF(AL919="","",MAX($AF$1:$AF919))</f>
        <v/>
      </c>
    </row>
    <row r="920" spans="1:39" ht="13.5" customHeight="1" x14ac:dyDescent="0.3">
      <c r="A920" s="14" t="s">
        <v>3</v>
      </c>
      <c r="B920" s="15"/>
      <c r="C920" s="16" t="s">
        <v>4</v>
      </c>
      <c r="D920" s="17"/>
      <c r="AB920" t="str" cm="1">
        <f t="array" ref="AB920:AC920">_xlfn._xlws.FILTER(A920:Z920,A920:Z920&lt;&gt;"","")</f>
        <v>Subject Name</v>
      </c>
      <c r="AC920" t="str">
        <v>Subject Weighting for 2023/24 Admission Exercise *</v>
      </c>
      <c r="AD920" t="str">
        <v/>
      </c>
      <c r="AE920" t="str">
        <v/>
      </c>
      <c r="AF920" t="str" cm="1">
        <f t="array" ref="AF920">IF(AD920="","",SUMPRODUCT(IF(LEFT($AD$1:AD920,2)="JS",1,0)))</f>
        <v/>
      </c>
      <c r="AG920" t="str">
        <f t="shared" si="56"/>
        <v/>
      </c>
      <c r="AH920" t="str">
        <f t="shared" si="57"/>
        <v/>
      </c>
      <c r="AI920" t="str">
        <f>IF(AH920="","",MAX($AF$1:$AF920))</f>
        <v/>
      </c>
      <c r="AJ920" t="str">
        <f t="shared" si="58"/>
        <v/>
      </c>
      <c r="AK920" t="str">
        <f>IF(AJ920="","",MAX($AF$1:$AF920))</f>
        <v/>
      </c>
      <c r="AL920" t="str">
        <f t="shared" si="59"/>
        <v/>
      </c>
      <c r="AM920" t="str">
        <f>IF(AL920="","",MAX($AF$1:$AF920))</f>
        <v/>
      </c>
    </row>
    <row r="921" spans="1:39" ht="13.5" customHeight="1" x14ac:dyDescent="0.3">
      <c r="A921" s="8" t="s">
        <v>35</v>
      </c>
      <c r="B921" s="9"/>
      <c r="C921" s="10">
        <v>7</v>
      </c>
      <c r="D921" s="11"/>
      <c r="AB921" t="str" cm="1">
        <f t="array" ref="AB921:AC921">_xlfn._xlws.FILTER(A921:Z921,A921:Z921&lt;&gt;"","")</f>
        <v>French</v>
      </c>
      <c r="AC921">
        <v>7</v>
      </c>
      <c r="AD921" t="str">
        <v/>
      </c>
      <c r="AE921" t="str">
        <v/>
      </c>
      <c r="AF921" t="str" cm="1">
        <f t="array" ref="AF921">IF(AD921="","",SUMPRODUCT(IF(LEFT($AD$1:AD921,2)="JS",1,0)))</f>
        <v/>
      </c>
      <c r="AG921" t="str">
        <f t="shared" si="56"/>
        <v/>
      </c>
      <c r="AH921" t="str">
        <f t="shared" si="57"/>
        <v/>
      </c>
      <c r="AI921" t="str">
        <f>IF(AH921="","",MAX($AF$1:$AF921))</f>
        <v/>
      </c>
      <c r="AJ921" t="str">
        <f t="shared" si="58"/>
        <v/>
      </c>
      <c r="AK921" t="str">
        <f>IF(AJ921="","",MAX($AF$1:$AF921))</f>
        <v/>
      </c>
      <c r="AL921" t="str">
        <f t="shared" si="59"/>
        <v/>
      </c>
      <c r="AM921" t="str">
        <f>IF(AL921="","",MAX($AF$1:$AF921))</f>
        <v/>
      </c>
    </row>
    <row r="922" spans="1:39" ht="13.5" customHeight="1" x14ac:dyDescent="0.3">
      <c r="A922" s="8" t="s">
        <v>36</v>
      </c>
      <c r="B922" s="9"/>
      <c r="C922" s="10">
        <v>7</v>
      </c>
      <c r="D922" s="11"/>
      <c r="AB922" t="str" cm="1">
        <f t="array" ref="AB922:AC922">_xlfn._xlws.FILTER(A922:Z922,A922:Z922&lt;&gt;"","")</f>
        <v>German</v>
      </c>
      <c r="AC922">
        <v>7</v>
      </c>
      <c r="AD922" t="str">
        <v/>
      </c>
      <c r="AE922" t="str">
        <v/>
      </c>
      <c r="AF922" t="str" cm="1">
        <f t="array" ref="AF922">IF(AD922="","",SUMPRODUCT(IF(LEFT($AD$1:AD922,2)="JS",1,0)))</f>
        <v/>
      </c>
      <c r="AG922" t="str">
        <f t="shared" si="56"/>
        <v/>
      </c>
      <c r="AH922" t="str">
        <f t="shared" si="57"/>
        <v/>
      </c>
      <c r="AI922" t="str">
        <f>IF(AH922="","",MAX($AF$1:$AF922))</f>
        <v/>
      </c>
      <c r="AJ922" t="str">
        <f t="shared" si="58"/>
        <v/>
      </c>
      <c r="AK922" t="str">
        <f>IF(AJ922="","",MAX($AF$1:$AF922))</f>
        <v/>
      </c>
      <c r="AL922" t="str">
        <f t="shared" si="59"/>
        <v/>
      </c>
      <c r="AM922" t="str">
        <f>IF(AL922="","",MAX($AF$1:$AF922))</f>
        <v/>
      </c>
    </row>
    <row r="923" spans="1:39" ht="13.5" customHeight="1" x14ac:dyDescent="0.3">
      <c r="A923" s="8" t="s">
        <v>37</v>
      </c>
      <c r="B923" s="9"/>
      <c r="C923" s="10">
        <v>7</v>
      </c>
      <c r="D923" s="11"/>
      <c r="AB923" t="str" cm="1">
        <f t="array" ref="AB923:AC923">_xlfn._xlws.FILTER(A923:Z923,A923:Z923&lt;&gt;"","")</f>
        <v>Hindi</v>
      </c>
      <c r="AC923">
        <v>7</v>
      </c>
      <c r="AD923" t="str">
        <v/>
      </c>
      <c r="AE923" t="str">
        <v/>
      </c>
      <c r="AF923" t="str" cm="1">
        <f t="array" ref="AF923">IF(AD923="","",SUMPRODUCT(IF(LEFT($AD$1:AD923,2)="JS",1,0)))</f>
        <v/>
      </c>
      <c r="AG923" t="str">
        <f t="shared" si="56"/>
        <v/>
      </c>
      <c r="AH923" t="str">
        <f t="shared" si="57"/>
        <v/>
      </c>
      <c r="AI923" t="str">
        <f>IF(AH923="","",MAX($AF$1:$AF923))</f>
        <v/>
      </c>
      <c r="AJ923" t="str">
        <f t="shared" si="58"/>
        <v/>
      </c>
      <c r="AK923" t="str">
        <f>IF(AJ923="","",MAX($AF$1:$AF923))</f>
        <v/>
      </c>
      <c r="AL923" t="str">
        <f t="shared" si="59"/>
        <v/>
      </c>
      <c r="AM923" t="str">
        <f>IF(AL923="","",MAX($AF$1:$AF923))</f>
        <v/>
      </c>
    </row>
    <row r="924" spans="1:39" ht="13.5" customHeight="1" x14ac:dyDescent="0.3">
      <c r="A924" s="8" t="s">
        <v>38</v>
      </c>
      <c r="B924" s="9"/>
      <c r="C924" s="10">
        <v>7</v>
      </c>
      <c r="D924" s="11"/>
      <c r="AB924" t="str" cm="1">
        <f t="array" ref="AB924:AC924">_xlfn._xlws.FILTER(A924:Z924,A924:Z924&lt;&gt;"","")</f>
        <v>Japanese</v>
      </c>
      <c r="AC924">
        <v>7</v>
      </c>
      <c r="AD924" t="str">
        <v/>
      </c>
      <c r="AE924" t="str">
        <v/>
      </c>
      <c r="AF924" t="str" cm="1">
        <f t="array" ref="AF924">IF(AD924="","",SUMPRODUCT(IF(LEFT($AD$1:AD924,2)="JS",1,0)))</f>
        <v/>
      </c>
      <c r="AG924" t="str">
        <f t="shared" si="56"/>
        <v/>
      </c>
      <c r="AH924" t="str">
        <f t="shared" si="57"/>
        <v/>
      </c>
      <c r="AI924" t="str">
        <f>IF(AH924="","",MAX($AF$1:$AF924))</f>
        <v/>
      </c>
      <c r="AJ924" t="str">
        <f t="shared" si="58"/>
        <v/>
      </c>
      <c r="AK924" t="str">
        <f>IF(AJ924="","",MAX($AF$1:$AF924))</f>
        <v/>
      </c>
      <c r="AL924" t="str">
        <f t="shared" si="59"/>
        <v/>
      </c>
      <c r="AM924" t="str">
        <f>IF(AL924="","",MAX($AF$1:$AF924))</f>
        <v/>
      </c>
    </row>
    <row r="925" spans="1:39" ht="13.5" customHeight="1" x14ac:dyDescent="0.3">
      <c r="A925" s="8" t="s">
        <v>39</v>
      </c>
      <c r="B925" s="9"/>
      <c r="C925" s="10">
        <v>7</v>
      </c>
      <c r="D925" s="11"/>
      <c r="AB925" t="str" cm="1">
        <f t="array" ref="AB925:AC925">_xlfn._xlws.FILTER(A925:Z925,A925:Z925&lt;&gt;"","")</f>
        <v>Spanish</v>
      </c>
      <c r="AC925">
        <v>7</v>
      </c>
      <c r="AD925" t="str">
        <v/>
      </c>
      <c r="AE925" t="str">
        <v/>
      </c>
      <c r="AF925" t="str" cm="1">
        <f t="array" ref="AF925">IF(AD925="","",SUMPRODUCT(IF(LEFT($AD$1:AD925,2)="JS",1,0)))</f>
        <v/>
      </c>
      <c r="AG925" t="str">
        <f t="shared" si="56"/>
        <v/>
      </c>
      <c r="AH925" t="str">
        <f t="shared" si="57"/>
        <v/>
      </c>
      <c r="AI925" t="str">
        <f>IF(AH925="","",MAX($AF$1:$AF925))</f>
        <v/>
      </c>
      <c r="AJ925" t="str">
        <f t="shared" si="58"/>
        <v/>
      </c>
      <c r="AK925" t="str">
        <f>IF(AJ925="","",MAX($AF$1:$AF925))</f>
        <v/>
      </c>
      <c r="AL925" t="str">
        <f t="shared" si="59"/>
        <v/>
      </c>
      <c r="AM925" t="str">
        <f>IF(AL925="","",MAX($AF$1:$AF925))</f>
        <v/>
      </c>
    </row>
    <row r="926" spans="1:39" ht="13.5" customHeight="1" x14ac:dyDescent="0.3">
      <c r="A926" s="8" t="s">
        <v>40</v>
      </c>
      <c r="B926" s="9"/>
      <c r="C926" s="10">
        <v>7</v>
      </c>
      <c r="D926" s="11"/>
      <c r="AB926" t="str" cm="1">
        <f t="array" ref="AB926:AC926">_xlfn._xlws.FILTER(A926:Z926,A926:Z926&lt;&gt;"","")</f>
        <v>Urdu</v>
      </c>
      <c r="AC926">
        <v>7</v>
      </c>
      <c r="AD926" t="str">
        <v/>
      </c>
      <c r="AE926" t="str">
        <v/>
      </c>
      <c r="AF926" t="str" cm="1">
        <f t="array" ref="AF926">IF(AD926="","",SUMPRODUCT(IF(LEFT($AD$1:AD926,2)="JS",1,0)))</f>
        <v/>
      </c>
      <c r="AG926" t="str">
        <f t="shared" si="56"/>
        <v/>
      </c>
      <c r="AH926" t="str">
        <f t="shared" si="57"/>
        <v/>
      </c>
      <c r="AI926" t="str">
        <f>IF(AH926="","",MAX($AF$1:$AF926))</f>
        <v/>
      </c>
      <c r="AJ926" t="str">
        <f t="shared" si="58"/>
        <v/>
      </c>
      <c r="AK926" t="str">
        <f>IF(AJ926="","",MAX($AF$1:$AF926))</f>
        <v/>
      </c>
      <c r="AL926" t="str">
        <f t="shared" si="59"/>
        <v/>
      </c>
      <c r="AM926" t="str">
        <f>IF(AL926="","",MAX($AF$1:$AF926))</f>
        <v/>
      </c>
    </row>
    <row r="927" spans="1:39" ht="15" customHeight="1" x14ac:dyDescent="0.3">
      <c r="A927" s="18" t="s">
        <v>164</v>
      </c>
      <c r="B927" s="18"/>
      <c r="C927" s="18"/>
      <c r="D927" s="1"/>
      <c r="AB927" t="str" cm="1">
        <f t="array" ref="AB927">_xlfn._xlws.FILTER(A927:Z927,A927:Z927&lt;&gt;"","")</f>
        <v>JUPAS Code: JS3320</v>
      </c>
      <c r="AD927" t="str">
        <v>JS3320</v>
      </c>
      <c r="AE927" t="str">
        <v/>
      </c>
      <c r="AF927" cm="1">
        <f t="array" ref="AF927">IF(AD927="","",SUMPRODUCT(IF(LEFT($AD$1:AD927,2)="JS",1,0)))</f>
        <v>19</v>
      </c>
      <c r="AG927" t="str">
        <f t="shared" si="56"/>
        <v/>
      </c>
      <c r="AH927" t="str">
        <f t="shared" si="57"/>
        <v/>
      </c>
      <c r="AI927" t="str">
        <f>IF(AH927="","",MAX($AF$1:$AF927))</f>
        <v/>
      </c>
      <c r="AJ927" t="str">
        <f t="shared" si="58"/>
        <v/>
      </c>
      <c r="AK927" t="str">
        <f>IF(AJ927="","",MAX($AF$1:$AF927))</f>
        <v/>
      </c>
      <c r="AL927" t="str">
        <f t="shared" si="59"/>
        <v/>
      </c>
      <c r="AM927" t="str">
        <f>IF(AL927="","",MAX($AF$1:$AF927))</f>
        <v/>
      </c>
    </row>
    <row r="928" spans="1:39" ht="13.5" customHeight="1" x14ac:dyDescent="0.3">
      <c r="A928" s="18" t="s">
        <v>165</v>
      </c>
      <c r="B928" s="18"/>
      <c r="C928" s="18"/>
      <c r="D928" s="1"/>
      <c r="AB928" t="str" cm="1">
        <f t="array" ref="AB928">_xlfn._xlws.FILTER(A928:Z928,A928:Z928&lt;&gt;"","")</f>
        <v>Programme Title: BA (Hons) Scheme in Chinese History and Culture</v>
      </c>
      <c r="AD928" t="str">
        <v/>
      </c>
      <c r="AE928" t="str">
        <v>BA (Hons) Scheme in Chinese History and Culture</v>
      </c>
      <c r="AF928" t="str" cm="1">
        <f t="array" ref="AF928">IF(AD928="","",SUMPRODUCT(IF(LEFT($AD$1:AD928,2)="JS",1,0)))</f>
        <v/>
      </c>
      <c r="AG928" t="str">
        <f t="shared" si="56"/>
        <v/>
      </c>
      <c r="AH928" t="str">
        <f t="shared" si="57"/>
        <v/>
      </c>
      <c r="AI928" t="str">
        <f>IF(AH928="","",MAX($AF$1:$AF928))</f>
        <v/>
      </c>
      <c r="AJ928" t="str">
        <f t="shared" si="58"/>
        <v/>
      </c>
      <c r="AK928" t="str">
        <f>IF(AJ928="","",MAX($AF$1:$AF928))</f>
        <v/>
      </c>
      <c r="AL928" t="str">
        <f t="shared" si="59"/>
        <v/>
      </c>
      <c r="AM928" t="str">
        <f>IF(AL928="","",MAX($AF$1:$AF928))</f>
        <v/>
      </c>
    </row>
    <row r="929" spans="1:39" ht="14.5" customHeight="1" x14ac:dyDescent="0.3">
      <c r="A929" s="12"/>
      <c r="B929" s="12"/>
      <c r="C929" s="2"/>
      <c r="D929" s="2"/>
      <c r="AB929" t="str" cm="1">
        <f t="array" ref="AB929">_xlfn._xlws.FILTER(A929:Z929,A929:Z929&lt;&gt;"","")</f>
        <v/>
      </c>
      <c r="AD929" t="str">
        <v/>
      </c>
      <c r="AE929" t="str">
        <v/>
      </c>
      <c r="AF929" t="str" cm="1">
        <f t="array" ref="AF929">IF(AD929="","",SUMPRODUCT(IF(LEFT($AD$1:AD929,2)="JS",1,0)))</f>
        <v/>
      </c>
      <c r="AG929" t="str">
        <f t="shared" si="56"/>
        <v/>
      </c>
      <c r="AH929" t="str">
        <f t="shared" si="57"/>
        <v/>
      </c>
      <c r="AI929" t="str">
        <f>IF(AH929="","",MAX($AF$1:$AF929))</f>
        <v/>
      </c>
      <c r="AJ929" t="str">
        <f t="shared" si="58"/>
        <v/>
      </c>
      <c r="AK929" t="str">
        <f>IF(AJ929="","",MAX($AF$1:$AF929))</f>
        <v/>
      </c>
      <c r="AL929" t="str">
        <f t="shared" si="59"/>
        <v/>
      </c>
      <c r="AM929" t="str">
        <f>IF(AL929="","",MAX($AF$1:$AF929))</f>
        <v/>
      </c>
    </row>
    <row r="930" spans="1:39" ht="13.5" customHeight="1" x14ac:dyDescent="0.3">
      <c r="A930" s="13" t="s">
        <v>2</v>
      </c>
      <c r="B930" s="13"/>
      <c r="C930" s="13"/>
      <c r="D930" s="13"/>
      <c r="AB930" t="str" cm="1">
        <f t="array" ref="AB930">_xlfn._xlws.FILTER(A930:Z930,A930:Z930&lt;&gt;"","")</f>
        <v>Category A: Core and Elective Subjects</v>
      </c>
      <c r="AD930" t="str">
        <v/>
      </c>
      <c r="AE930" t="str">
        <v/>
      </c>
      <c r="AF930" t="str" cm="1">
        <f t="array" ref="AF930">IF(AD930="","",SUMPRODUCT(IF(LEFT($AD$1:AD930,2)="JS",1,0)))</f>
        <v/>
      </c>
      <c r="AG930" t="str">
        <f t="shared" si="56"/>
        <v/>
      </c>
      <c r="AH930" t="str">
        <f t="shared" si="57"/>
        <v/>
      </c>
      <c r="AI930" t="str">
        <f>IF(AH930="","",MAX($AF$1:$AF930))</f>
        <v/>
      </c>
      <c r="AJ930" t="str">
        <f t="shared" si="58"/>
        <v/>
      </c>
      <c r="AK930" t="str">
        <f>IF(AJ930="","",MAX($AF$1:$AF930))</f>
        <v/>
      </c>
      <c r="AL930" t="str">
        <f t="shared" si="59"/>
        <v/>
      </c>
      <c r="AM930" t="str">
        <f>IF(AL930="","",MAX($AF$1:$AF930))</f>
        <v/>
      </c>
    </row>
    <row r="931" spans="1:39" ht="13.5" customHeight="1" x14ac:dyDescent="0.3">
      <c r="A931" s="14" t="s">
        <v>3</v>
      </c>
      <c r="B931" s="15"/>
      <c r="C931" s="16" t="s">
        <v>4</v>
      </c>
      <c r="D931" s="17"/>
      <c r="AB931" t="str" cm="1">
        <f t="array" ref="AB931:AC931">_xlfn._xlws.FILTER(A931:Z931,A931:Z931&lt;&gt;"","")</f>
        <v>Subject Name</v>
      </c>
      <c r="AC931" t="str">
        <v>Subject Weighting for 2023/24 Admission Exercise *</v>
      </c>
      <c r="AD931" t="str">
        <v/>
      </c>
      <c r="AE931" t="str">
        <v/>
      </c>
      <c r="AF931" t="str" cm="1">
        <f t="array" ref="AF931">IF(AD931="","",SUMPRODUCT(IF(LEFT($AD$1:AD931,2)="JS",1,0)))</f>
        <v/>
      </c>
      <c r="AG931" t="str">
        <f t="shared" si="56"/>
        <v/>
      </c>
      <c r="AH931" t="str">
        <f t="shared" si="57"/>
        <v/>
      </c>
      <c r="AI931" t="str">
        <f>IF(AH931="","",MAX($AF$1:$AF931))</f>
        <v/>
      </c>
      <c r="AJ931" t="str">
        <f t="shared" si="58"/>
        <v/>
      </c>
      <c r="AK931" t="str">
        <f>IF(AJ931="","",MAX($AF$1:$AF931))</f>
        <v/>
      </c>
      <c r="AL931" t="str">
        <f t="shared" si="59"/>
        <v/>
      </c>
      <c r="AM931" t="str">
        <f>IF(AL931="","",MAX($AF$1:$AF931))</f>
        <v/>
      </c>
    </row>
    <row r="932" spans="1:39" ht="13.5" customHeight="1" x14ac:dyDescent="0.3">
      <c r="A932" s="8" t="s">
        <v>211</v>
      </c>
      <c r="B932" s="9"/>
      <c r="C932" s="10">
        <v>5</v>
      </c>
      <c r="D932" s="11"/>
      <c r="AB932" t="str" cm="1">
        <f t="array" ref="AB932:AC932">_xlfn._xlws.FILTER(A932:Z932,A932:Z932&lt;&gt;"","")</f>
        <v>BIO</v>
      </c>
      <c r="AC932">
        <v>5</v>
      </c>
      <c r="AD932" t="str">
        <v/>
      </c>
      <c r="AE932" t="str">
        <v/>
      </c>
      <c r="AF932" t="str" cm="1">
        <f t="array" ref="AF932">IF(AD932="","",SUMPRODUCT(IF(LEFT($AD$1:AD932,2)="JS",1,0)))</f>
        <v/>
      </c>
      <c r="AG932" t="b">
        <f t="shared" si="56"/>
        <v>1</v>
      </c>
      <c r="AH932" t="str">
        <f t="shared" si="57"/>
        <v/>
      </c>
      <c r="AI932" t="str">
        <f>IF(AH932="","",MAX($AF$1:$AF932))</f>
        <v/>
      </c>
      <c r="AJ932" t="str">
        <f t="shared" si="58"/>
        <v/>
      </c>
      <c r="AK932" t="str">
        <f>IF(AJ932="","",MAX($AF$1:$AF932))</f>
        <v/>
      </c>
      <c r="AL932" t="str">
        <f t="shared" si="59"/>
        <v>BIO</v>
      </c>
      <c r="AM932">
        <f>IF(AL932="","",MAX($AF$1:$AF932))</f>
        <v>19</v>
      </c>
    </row>
    <row r="933" spans="1:39" ht="13.5" customHeight="1" x14ac:dyDescent="0.3">
      <c r="A933" s="8" t="s">
        <v>213</v>
      </c>
      <c r="B933" s="9"/>
      <c r="C933" s="10">
        <v>5</v>
      </c>
      <c r="D933" s="11"/>
      <c r="AB933" t="str" cm="1">
        <f t="array" ref="AB933:AC933">_xlfn._xlws.FILTER(A933:Z933,A933:Z933&lt;&gt;"","")</f>
        <v>BAFS</v>
      </c>
      <c r="AC933">
        <v>5</v>
      </c>
      <c r="AD933" t="str">
        <v/>
      </c>
      <c r="AE933" t="str">
        <v/>
      </c>
      <c r="AF933" t="str" cm="1">
        <f t="array" ref="AF933">IF(AD933="","",SUMPRODUCT(IF(LEFT($AD$1:AD933,2)="JS",1,0)))</f>
        <v/>
      </c>
      <c r="AG933" t="b">
        <f t="shared" si="56"/>
        <v>1</v>
      </c>
      <c r="AH933" t="str">
        <f t="shared" si="57"/>
        <v/>
      </c>
      <c r="AI933" t="str">
        <f>IF(AH933="","",MAX($AF$1:$AF933))</f>
        <v/>
      </c>
      <c r="AJ933" t="str">
        <f t="shared" si="58"/>
        <v/>
      </c>
      <c r="AK933" t="str">
        <f>IF(AJ933="","",MAX($AF$1:$AF933))</f>
        <v/>
      </c>
      <c r="AL933" t="str">
        <f t="shared" si="59"/>
        <v>BAFS</v>
      </c>
      <c r="AM933">
        <f>IF(AL933="","",MAX($AF$1:$AF933))</f>
        <v>19</v>
      </c>
    </row>
    <row r="934" spans="1:39" ht="13.5" customHeight="1" x14ac:dyDescent="0.3">
      <c r="A934" s="8" t="s">
        <v>5</v>
      </c>
      <c r="B934" s="9"/>
      <c r="C934" s="10">
        <v>5</v>
      </c>
      <c r="D934" s="11"/>
      <c r="AB934" t="str" cm="1">
        <f t="array" ref="AB934:AC934">_xlfn._xlws.FILTER(A934:Z934,A934:Z934&lt;&gt;"","")</f>
        <v>Business, Accounting and Financial Studies (Accounting)</v>
      </c>
      <c r="AC934">
        <v>5</v>
      </c>
      <c r="AD934" t="str">
        <v/>
      </c>
      <c r="AE934" t="str">
        <v/>
      </c>
      <c r="AF934" t="str" cm="1">
        <f t="array" ref="AF934">IF(AD934="","",SUMPRODUCT(IF(LEFT($AD$1:AD934,2)="JS",1,0)))</f>
        <v/>
      </c>
      <c r="AG934" t="str">
        <f t="shared" si="56"/>
        <v/>
      </c>
      <c r="AH934" t="str">
        <f t="shared" si="57"/>
        <v/>
      </c>
      <c r="AI934" t="str">
        <f>IF(AH934="","",MAX($AF$1:$AF934))</f>
        <v/>
      </c>
      <c r="AJ934" t="str">
        <f t="shared" si="58"/>
        <v/>
      </c>
      <c r="AK934" t="str">
        <f>IF(AJ934="","",MAX($AF$1:$AF934))</f>
        <v/>
      </c>
      <c r="AL934" t="str">
        <f t="shared" si="59"/>
        <v/>
      </c>
      <c r="AM934" t="str">
        <f>IF(AL934="","",MAX($AF$1:$AF934))</f>
        <v/>
      </c>
    </row>
    <row r="935" spans="1:39" ht="13.5" customHeight="1" x14ac:dyDescent="0.3">
      <c r="A935" s="8" t="s">
        <v>6</v>
      </c>
      <c r="B935" s="9"/>
      <c r="C935" s="10">
        <v>5</v>
      </c>
      <c r="D935" s="11"/>
      <c r="AB935" t="str" cm="1">
        <f t="array" ref="AB935:AC935">_xlfn._xlws.FILTER(A935:Z935,A935:Z935&lt;&gt;"","")</f>
        <v>Business, Accounting and Financial Studies (Business Management)</v>
      </c>
      <c r="AC935">
        <v>5</v>
      </c>
      <c r="AD935" t="str">
        <v/>
      </c>
      <c r="AE935" t="str">
        <v/>
      </c>
      <c r="AF935" t="str" cm="1">
        <f t="array" ref="AF935">IF(AD935="","",SUMPRODUCT(IF(LEFT($AD$1:AD935,2)="JS",1,0)))</f>
        <v/>
      </c>
      <c r="AG935" t="str">
        <f t="shared" si="56"/>
        <v/>
      </c>
      <c r="AH935" t="str">
        <f t="shared" si="57"/>
        <v/>
      </c>
      <c r="AI935" t="str">
        <f>IF(AH935="","",MAX($AF$1:$AF935))</f>
        <v/>
      </c>
      <c r="AJ935" t="str">
        <f t="shared" si="58"/>
        <v/>
      </c>
      <c r="AK935" t="str">
        <f>IF(AJ935="","",MAX($AF$1:$AF935))</f>
        <v/>
      </c>
      <c r="AL935" t="str">
        <f t="shared" si="59"/>
        <v/>
      </c>
      <c r="AM935" t="str">
        <f>IF(AL935="","",MAX($AF$1:$AF935))</f>
        <v/>
      </c>
    </row>
    <row r="936" spans="1:39" ht="13.5" customHeight="1" x14ac:dyDescent="0.3">
      <c r="A936" s="8" t="s">
        <v>212</v>
      </c>
      <c r="B936" s="9"/>
      <c r="C936" s="10">
        <v>5</v>
      </c>
      <c r="D936" s="11"/>
      <c r="AB936" t="str" cm="1">
        <f t="array" ref="AB936:AC936">_xlfn._xlws.FILTER(A936:Z936,A936:Z936&lt;&gt;"","")</f>
        <v>CHEM</v>
      </c>
      <c r="AC936">
        <v>5</v>
      </c>
      <c r="AD936" t="str">
        <v/>
      </c>
      <c r="AE936" t="str">
        <v/>
      </c>
      <c r="AF936" t="str" cm="1">
        <f t="array" ref="AF936">IF(AD936="","",SUMPRODUCT(IF(LEFT($AD$1:AD936,2)="JS",1,0)))</f>
        <v/>
      </c>
      <c r="AG936" t="b">
        <f t="shared" si="56"/>
        <v>1</v>
      </c>
      <c r="AH936" t="str">
        <f t="shared" si="57"/>
        <v/>
      </c>
      <c r="AI936" t="str">
        <f>IF(AH936="","",MAX($AF$1:$AF936))</f>
        <v/>
      </c>
      <c r="AJ936" t="str">
        <f t="shared" si="58"/>
        <v/>
      </c>
      <c r="AK936" t="str">
        <f>IF(AJ936="","",MAX($AF$1:$AF936))</f>
        <v/>
      </c>
      <c r="AL936" t="str">
        <f t="shared" si="59"/>
        <v>CHEM</v>
      </c>
      <c r="AM936">
        <f>IF(AL936="","",MAX($AF$1:$AF936))</f>
        <v>19</v>
      </c>
    </row>
    <row r="937" spans="1:39" ht="13.5" customHeight="1" x14ac:dyDescent="0.3">
      <c r="A937" s="8" t="s">
        <v>214</v>
      </c>
      <c r="B937" s="9"/>
      <c r="C937" s="10">
        <v>10</v>
      </c>
      <c r="D937" s="11"/>
      <c r="AB937" t="str" cm="1">
        <f t="array" ref="AB937:AC937">_xlfn._xlws.FILTER(A937:Z937,A937:Z937&lt;&gt;"","")</f>
        <v>中史</v>
      </c>
      <c r="AC937">
        <v>10</v>
      </c>
      <c r="AD937" t="str">
        <v/>
      </c>
      <c r="AE937" t="str">
        <v/>
      </c>
      <c r="AF937" t="str" cm="1">
        <f t="array" ref="AF937">IF(AD937="","",SUMPRODUCT(IF(LEFT($AD$1:AD937,2)="JS",1,0)))</f>
        <v/>
      </c>
      <c r="AG937" t="b">
        <f t="shared" si="56"/>
        <v>1</v>
      </c>
      <c r="AH937" t="str">
        <f t="shared" si="57"/>
        <v>中史</v>
      </c>
      <c r="AI937">
        <f>IF(AH937="","",MAX($AF$1:$AF937))</f>
        <v>19</v>
      </c>
      <c r="AJ937" t="str">
        <f t="shared" si="58"/>
        <v/>
      </c>
      <c r="AK937" t="str">
        <f>IF(AJ937="","",MAX($AF$1:$AF937))</f>
        <v/>
      </c>
      <c r="AL937" t="str">
        <f t="shared" si="59"/>
        <v/>
      </c>
      <c r="AM937" t="str">
        <f>IF(AL937="","",MAX($AF$1:$AF937))</f>
        <v/>
      </c>
    </row>
    <row r="938" spans="1:39" ht="13.5" customHeight="1" x14ac:dyDescent="0.3">
      <c r="A938" s="8" t="s">
        <v>216</v>
      </c>
      <c r="B938" s="9"/>
      <c r="C938" s="10">
        <v>10</v>
      </c>
      <c r="D938" s="11"/>
      <c r="AB938" t="str" cm="1">
        <f t="array" ref="AB938:AC938">_xlfn._xlws.FILTER(A938:Z938,A938:Z938&lt;&gt;"","")</f>
        <v>中文</v>
      </c>
      <c r="AC938">
        <v>10</v>
      </c>
      <c r="AD938" t="str">
        <v/>
      </c>
      <c r="AE938" t="str">
        <v/>
      </c>
      <c r="AF938" t="str" cm="1">
        <f t="array" ref="AF938">IF(AD938="","",SUMPRODUCT(IF(LEFT($AD$1:AD938,2)="JS",1,0)))</f>
        <v/>
      </c>
      <c r="AG938" t="b">
        <f t="shared" si="56"/>
        <v>1</v>
      </c>
      <c r="AH938" t="str">
        <f t="shared" si="57"/>
        <v>中文</v>
      </c>
      <c r="AI938">
        <f>IF(AH938="","",MAX($AF$1:$AF938))</f>
        <v>19</v>
      </c>
      <c r="AJ938" t="str">
        <f t="shared" si="58"/>
        <v/>
      </c>
      <c r="AK938" t="str">
        <f>IF(AJ938="","",MAX($AF$1:$AF938))</f>
        <v/>
      </c>
      <c r="AL938" t="str">
        <f t="shared" si="59"/>
        <v/>
      </c>
      <c r="AM938" t="str">
        <f>IF(AL938="","",MAX($AF$1:$AF938))</f>
        <v/>
      </c>
    </row>
    <row r="939" spans="1:39" ht="13.5" customHeight="1" x14ac:dyDescent="0.3">
      <c r="A939" s="8" t="s">
        <v>7</v>
      </c>
      <c r="B939" s="9"/>
      <c r="C939" s="10">
        <v>10</v>
      </c>
      <c r="D939" s="11"/>
      <c r="AB939" t="str" cm="1">
        <f t="array" ref="AB939:AC939">_xlfn._xlws.FILTER(A939:Z939,A939:Z939&lt;&gt;"","")</f>
        <v>Chinese Literature</v>
      </c>
      <c r="AC939">
        <v>10</v>
      </c>
      <c r="AD939" t="str">
        <v/>
      </c>
      <c r="AE939" t="str">
        <v/>
      </c>
      <c r="AF939" t="str" cm="1">
        <f t="array" ref="AF939">IF(AD939="","",SUMPRODUCT(IF(LEFT($AD$1:AD939,2)="JS",1,0)))</f>
        <v/>
      </c>
      <c r="AG939" t="str">
        <f t="shared" si="56"/>
        <v/>
      </c>
      <c r="AH939" t="str">
        <f t="shared" si="57"/>
        <v/>
      </c>
      <c r="AI939" t="str">
        <f>IF(AH939="","",MAX($AF$1:$AF939))</f>
        <v/>
      </c>
      <c r="AJ939" t="str">
        <f t="shared" si="58"/>
        <v/>
      </c>
      <c r="AK939" t="str">
        <f>IF(AJ939="","",MAX($AF$1:$AF939))</f>
        <v/>
      </c>
      <c r="AL939" t="str">
        <f t="shared" si="59"/>
        <v/>
      </c>
      <c r="AM939" t="str">
        <f>IF(AL939="","",MAX($AF$1:$AF939))</f>
        <v/>
      </c>
    </row>
    <row r="940" spans="1:39" ht="13.5" customHeight="1" x14ac:dyDescent="0.3">
      <c r="A940" s="8" t="s">
        <v>8</v>
      </c>
      <c r="B940" s="9"/>
      <c r="C940" s="10">
        <v>5</v>
      </c>
      <c r="D940" s="11"/>
      <c r="AB940" t="str" cm="1">
        <f t="array" ref="AB940:AC940">_xlfn._xlws.FILTER(A940:Z940,A940:Z940&lt;&gt;"","")</f>
        <v>Combined Science: Biology + Chemistry</v>
      </c>
      <c r="AC940">
        <v>5</v>
      </c>
      <c r="AD940" t="str">
        <v/>
      </c>
      <c r="AE940" t="str">
        <v/>
      </c>
      <c r="AF940" t="str" cm="1">
        <f t="array" ref="AF940">IF(AD940="","",SUMPRODUCT(IF(LEFT($AD$1:AD940,2)="JS",1,0)))</f>
        <v/>
      </c>
      <c r="AG940" t="str">
        <f t="shared" si="56"/>
        <v/>
      </c>
      <c r="AH940" t="str">
        <f t="shared" si="57"/>
        <v/>
      </c>
      <c r="AI940" t="str">
        <f>IF(AH940="","",MAX($AF$1:$AF940))</f>
        <v/>
      </c>
      <c r="AJ940" t="str">
        <f t="shared" si="58"/>
        <v/>
      </c>
      <c r="AK940" t="str">
        <f>IF(AJ940="","",MAX($AF$1:$AF940))</f>
        <v/>
      </c>
      <c r="AL940" t="str">
        <f t="shared" si="59"/>
        <v/>
      </c>
      <c r="AM940" t="str">
        <f>IF(AL940="","",MAX($AF$1:$AF940))</f>
        <v/>
      </c>
    </row>
    <row r="941" spans="1:39" ht="13.5" customHeight="1" x14ac:dyDescent="0.3">
      <c r="A941" s="8" t="s">
        <v>9</v>
      </c>
      <c r="B941" s="9"/>
      <c r="C941" s="10">
        <v>5</v>
      </c>
      <c r="D941" s="11"/>
      <c r="AB941" t="str" cm="1">
        <f t="array" ref="AB941:AC941">_xlfn._xlws.FILTER(A941:Z941,A941:Z941&lt;&gt;"","")</f>
        <v>Combined Science: Biology + Physics</v>
      </c>
      <c r="AC941">
        <v>5</v>
      </c>
      <c r="AD941" t="str">
        <v/>
      </c>
      <c r="AE941" t="str">
        <v/>
      </c>
      <c r="AF941" t="str" cm="1">
        <f t="array" ref="AF941">IF(AD941="","",SUMPRODUCT(IF(LEFT($AD$1:AD941,2)="JS",1,0)))</f>
        <v/>
      </c>
      <c r="AG941" t="str">
        <f t="shared" si="56"/>
        <v/>
      </c>
      <c r="AH941" t="str">
        <f t="shared" si="57"/>
        <v/>
      </c>
      <c r="AI941" t="str">
        <f>IF(AH941="","",MAX($AF$1:$AF941))</f>
        <v/>
      </c>
      <c r="AJ941" t="str">
        <f t="shared" si="58"/>
        <v/>
      </c>
      <c r="AK941" t="str">
        <f>IF(AJ941="","",MAX($AF$1:$AF941))</f>
        <v/>
      </c>
      <c r="AL941" t="str">
        <f t="shared" si="59"/>
        <v/>
      </c>
      <c r="AM941" t="str">
        <f>IF(AL941="","",MAX($AF$1:$AF941))</f>
        <v/>
      </c>
    </row>
    <row r="942" spans="1:39" ht="13.5" customHeight="1" x14ac:dyDescent="0.3">
      <c r="A942" s="8" t="s">
        <v>10</v>
      </c>
      <c r="B942" s="9"/>
      <c r="C942" s="10">
        <v>5</v>
      </c>
      <c r="D942" s="11"/>
      <c r="AB942" t="str" cm="1">
        <f t="array" ref="AB942:AC942">_xlfn._xlws.FILTER(A942:Z942,A942:Z942&lt;&gt;"","")</f>
        <v>Combined Science: Physics + Chemistry</v>
      </c>
      <c r="AC942">
        <v>5</v>
      </c>
      <c r="AD942" t="str">
        <v/>
      </c>
      <c r="AE942" t="str">
        <v/>
      </c>
      <c r="AF942" t="str" cm="1">
        <f t="array" ref="AF942">IF(AD942="","",SUMPRODUCT(IF(LEFT($AD$1:AD942,2)="JS",1,0)))</f>
        <v/>
      </c>
      <c r="AG942" t="str">
        <f t="shared" si="56"/>
        <v/>
      </c>
      <c r="AH942" t="str">
        <f t="shared" si="57"/>
        <v/>
      </c>
      <c r="AI942" t="str">
        <f>IF(AH942="","",MAX($AF$1:$AF942))</f>
        <v/>
      </c>
      <c r="AJ942" t="str">
        <f t="shared" si="58"/>
        <v/>
      </c>
      <c r="AK942" t="str">
        <f>IF(AJ942="","",MAX($AF$1:$AF942))</f>
        <v/>
      </c>
      <c r="AL942" t="str">
        <f t="shared" si="59"/>
        <v/>
      </c>
      <c r="AM942" t="str">
        <f>IF(AL942="","",MAX($AF$1:$AF942))</f>
        <v/>
      </c>
    </row>
    <row r="943" spans="1:39" ht="13.5" customHeight="1" x14ac:dyDescent="0.3">
      <c r="A943" s="8" t="s">
        <v>11</v>
      </c>
      <c r="B943" s="9"/>
      <c r="C943" s="10">
        <v>5</v>
      </c>
      <c r="D943" s="11"/>
      <c r="AB943" t="str" cm="1">
        <f t="array" ref="AB943:AC943">_xlfn._xlws.FILTER(A943:Z943,A943:Z943&lt;&gt;"","")</f>
        <v>Design and Applied Technology</v>
      </c>
      <c r="AC943">
        <v>5</v>
      </c>
      <c r="AD943" t="str">
        <v/>
      </c>
      <c r="AE943" t="str">
        <v/>
      </c>
      <c r="AF943" t="str" cm="1">
        <f t="array" ref="AF943">IF(AD943="","",SUMPRODUCT(IF(LEFT($AD$1:AD943,2)="JS",1,0)))</f>
        <v/>
      </c>
      <c r="AG943" t="str">
        <f t="shared" si="56"/>
        <v/>
      </c>
      <c r="AH943" t="str">
        <f t="shared" si="57"/>
        <v/>
      </c>
      <c r="AI943" t="str">
        <f>IF(AH943="","",MAX($AF$1:$AF943))</f>
        <v/>
      </c>
      <c r="AJ943" t="str">
        <f t="shared" si="58"/>
        <v/>
      </c>
      <c r="AK943" t="str">
        <f>IF(AJ943="","",MAX($AF$1:$AF943))</f>
        <v/>
      </c>
      <c r="AL943" t="str">
        <f t="shared" si="59"/>
        <v/>
      </c>
      <c r="AM943" t="str">
        <f>IF(AL943="","",MAX($AF$1:$AF943))</f>
        <v/>
      </c>
    </row>
    <row r="944" spans="1:39" ht="13.5" customHeight="1" x14ac:dyDescent="0.3">
      <c r="A944" s="8" t="s">
        <v>217</v>
      </c>
      <c r="B944" s="9"/>
      <c r="C944" s="10">
        <v>5</v>
      </c>
      <c r="D944" s="11"/>
      <c r="AB944" t="str" cm="1">
        <f t="array" ref="AB944:AC944">_xlfn._xlws.FILTER(A944:Z944,A944:Z944&lt;&gt;"","")</f>
        <v>ECON</v>
      </c>
      <c r="AC944">
        <v>5</v>
      </c>
      <c r="AD944" t="str">
        <v/>
      </c>
      <c r="AE944" t="str">
        <v/>
      </c>
      <c r="AF944" t="str" cm="1">
        <f t="array" ref="AF944">IF(AD944="","",SUMPRODUCT(IF(LEFT($AD$1:AD944,2)="JS",1,0)))</f>
        <v/>
      </c>
      <c r="AG944" t="b">
        <f t="shared" si="56"/>
        <v>1</v>
      </c>
      <c r="AH944" t="str">
        <f t="shared" si="57"/>
        <v/>
      </c>
      <c r="AI944" t="str">
        <f>IF(AH944="","",MAX($AF$1:$AF944))</f>
        <v/>
      </c>
      <c r="AJ944" t="str">
        <f t="shared" si="58"/>
        <v/>
      </c>
      <c r="AK944" t="str">
        <f>IF(AJ944="","",MAX($AF$1:$AF944))</f>
        <v/>
      </c>
      <c r="AL944" t="str">
        <f t="shared" si="59"/>
        <v>ECON</v>
      </c>
      <c r="AM944">
        <f>IF(AL944="","",MAX($AF$1:$AF944))</f>
        <v>19</v>
      </c>
    </row>
    <row r="945" spans="1:39" ht="13.5" customHeight="1" x14ac:dyDescent="0.3">
      <c r="A945" s="8" t="s">
        <v>218</v>
      </c>
      <c r="B945" s="9"/>
      <c r="C945" s="10">
        <v>10</v>
      </c>
      <c r="D945" s="11"/>
      <c r="AB945" t="str" cm="1">
        <f t="array" ref="AB945:AC945">_xlfn._xlws.FILTER(A945:Z945,A945:Z945&lt;&gt;"","")</f>
        <v>ENG</v>
      </c>
      <c r="AC945">
        <v>10</v>
      </c>
      <c r="AD945" t="str">
        <v/>
      </c>
      <c r="AE945" t="str">
        <v/>
      </c>
      <c r="AF945" t="str" cm="1">
        <f t="array" ref="AF945">IF(AD945="","",SUMPRODUCT(IF(LEFT($AD$1:AD945,2)="JS",1,0)))</f>
        <v/>
      </c>
      <c r="AG945" t="b">
        <f t="shared" si="56"/>
        <v>1</v>
      </c>
      <c r="AH945" t="str">
        <f t="shared" si="57"/>
        <v>ENG</v>
      </c>
      <c r="AI945">
        <f>IF(AH945="","",MAX($AF$1:$AF945))</f>
        <v>19</v>
      </c>
      <c r="AJ945" t="str">
        <f t="shared" si="58"/>
        <v/>
      </c>
      <c r="AK945" t="str">
        <f>IF(AJ945="","",MAX($AF$1:$AF945))</f>
        <v/>
      </c>
      <c r="AL945" t="str">
        <f t="shared" si="59"/>
        <v/>
      </c>
      <c r="AM945" t="str">
        <f>IF(AL945="","",MAX($AF$1:$AF945))</f>
        <v/>
      </c>
    </row>
    <row r="946" spans="1:39" ht="13.5" customHeight="1" x14ac:dyDescent="0.3">
      <c r="A946" s="8" t="s">
        <v>12</v>
      </c>
      <c r="B946" s="9"/>
      <c r="C946" s="10">
        <v>5</v>
      </c>
      <c r="D946" s="11"/>
      <c r="AB946" t="str" cm="1">
        <f t="array" ref="AB946:AC946">_xlfn._xlws.FILTER(A946:Z946,A946:Z946&lt;&gt;"","")</f>
        <v>Ethics and Religious Studies</v>
      </c>
      <c r="AC946">
        <v>5</v>
      </c>
      <c r="AD946" t="str">
        <v/>
      </c>
      <c r="AE946" t="str">
        <v/>
      </c>
      <c r="AF946" t="str" cm="1">
        <f t="array" ref="AF946">IF(AD946="","",SUMPRODUCT(IF(LEFT($AD$1:AD946,2)="JS",1,0)))</f>
        <v/>
      </c>
      <c r="AG946" t="str">
        <f t="shared" si="56"/>
        <v/>
      </c>
      <c r="AH946" t="str">
        <f t="shared" si="57"/>
        <v/>
      </c>
      <c r="AI946" t="str">
        <f>IF(AH946="","",MAX($AF$1:$AF946))</f>
        <v/>
      </c>
      <c r="AJ946" t="str">
        <f t="shared" si="58"/>
        <v/>
      </c>
      <c r="AK946" t="str">
        <f>IF(AJ946="","",MAX($AF$1:$AF946))</f>
        <v/>
      </c>
      <c r="AL946" t="str">
        <f t="shared" si="59"/>
        <v/>
      </c>
      <c r="AM946" t="str">
        <f>IF(AL946="","",MAX($AF$1:$AF946))</f>
        <v/>
      </c>
    </row>
    <row r="947" spans="1:39" ht="13.5" customHeight="1" x14ac:dyDescent="0.3">
      <c r="A947" s="8" t="s">
        <v>219</v>
      </c>
      <c r="B947" s="9"/>
      <c r="C947" s="10">
        <v>5</v>
      </c>
      <c r="D947" s="11"/>
      <c r="AB947" t="str" cm="1">
        <f t="array" ref="AB947:AC947">_xlfn._xlws.FILTER(A947:Z947,A947:Z947&lt;&gt;"","")</f>
        <v>GEOG</v>
      </c>
      <c r="AC947">
        <v>5</v>
      </c>
      <c r="AD947" t="str">
        <v/>
      </c>
      <c r="AE947" t="str">
        <v/>
      </c>
      <c r="AF947" t="str" cm="1">
        <f t="array" ref="AF947">IF(AD947="","",SUMPRODUCT(IF(LEFT($AD$1:AD947,2)="JS",1,0)))</f>
        <v/>
      </c>
      <c r="AG947" t="b">
        <f t="shared" si="56"/>
        <v>1</v>
      </c>
      <c r="AH947" t="str">
        <f t="shared" si="57"/>
        <v/>
      </c>
      <c r="AI947" t="str">
        <f>IF(AH947="","",MAX($AF$1:$AF947))</f>
        <v/>
      </c>
      <c r="AJ947" t="str">
        <f t="shared" si="58"/>
        <v/>
      </c>
      <c r="AK947" t="str">
        <f>IF(AJ947="","",MAX($AF$1:$AF947))</f>
        <v/>
      </c>
      <c r="AL947" t="str">
        <f t="shared" si="59"/>
        <v>GEOG</v>
      </c>
      <c r="AM947">
        <f>IF(AL947="","",MAX($AF$1:$AF947))</f>
        <v>19</v>
      </c>
    </row>
    <row r="948" spans="1:39" ht="13.5" customHeight="1" x14ac:dyDescent="0.3">
      <c r="A948" s="8" t="s">
        <v>220</v>
      </c>
      <c r="B948" s="9"/>
      <c r="C948" s="10">
        <v>5</v>
      </c>
      <c r="D948" s="11"/>
      <c r="AB948" t="str" cm="1">
        <f t="array" ref="AB948:AC948">_xlfn._xlws.FILTER(A948:Z948,A948:Z948&lt;&gt;"","")</f>
        <v>HMSC</v>
      </c>
      <c r="AC948">
        <v>5</v>
      </c>
      <c r="AD948" t="str">
        <v/>
      </c>
      <c r="AE948" t="str">
        <v/>
      </c>
      <c r="AF948" t="str" cm="1">
        <f t="array" ref="AF948">IF(AD948="","",SUMPRODUCT(IF(LEFT($AD$1:AD948,2)="JS",1,0)))</f>
        <v/>
      </c>
      <c r="AG948" t="b">
        <f t="shared" si="56"/>
        <v>1</v>
      </c>
      <c r="AH948" t="str">
        <f t="shared" si="57"/>
        <v/>
      </c>
      <c r="AI948" t="str">
        <f>IF(AH948="","",MAX($AF$1:$AF948))</f>
        <v/>
      </c>
      <c r="AJ948" t="str">
        <f t="shared" si="58"/>
        <v/>
      </c>
      <c r="AK948" t="str">
        <f>IF(AJ948="","",MAX($AF$1:$AF948))</f>
        <v/>
      </c>
      <c r="AL948" t="str">
        <f t="shared" si="59"/>
        <v>HMSC</v>
      </c>
      <c r="AM948">
        <f>IF(AL948="","",MAX($AF$1:$AF948))</f>
        <v>19</v>
      </c>
    </row>
    <row r="949" spans="1:39" ht="13.5" customHeight="1" x14ac:dyDescent="0.3">
      <c r="A949" s="8" t="s">
        <v>221</v>
      </c>
      <c r="B949" s="9"/>
      <c r="C949" s="10">
        <v>10</v>
      </c>
      <c r="D949" s="11"/>
      <c r="AB949" t="str" cm="1">
        <f t="array" ref="AB949:AC949">_xlfn._xlws.FILTER(A949:Z949,A949:Z949&lt;&gt;"","")</f>
        <v>HIST</v>
      </c>
      <c r="AC949">
        <v>10</v>
      </c>
      <c r="AD949" t="str">
        <v/>
      </c>
      <c r="AE949" t="str">
        <v/>
      </c>
      <c r="AF949" t="str" cm="1">
        <f t="array" ref="AF949">IF(AD949="","",SUMPRODUCT(IF(LEFT($AD$1:AD949,2)="JS",1,0)))</f>
        <v/>
      </c>
      <c r="AG949" t="b">
        <f t="shared" si="56"/>
        <v>1</v>
      </c>
      <c r="AH949" t="str">
        <f t="shared" si="57"/>
        <v>HIST</v>
      </c>
      <c r="AI949">
        <f>IF(AH949="","",MAX($AF$1:$AF949))</f>
        <v>19</v>
      </c>
      <c r="AJ949" t="str">
        <f t="shared" si="58"/>
        <v/>
      </c>
      <c r="AK949" t="str">
        <f>IF(AJ949="","",MAX($AF$1:$AF949))</f>
        <v/>
      </c>
      <c r="AL949" t="str">
        <f t="shared" si="59"/>
        <v/>
      </c>
      <c r="AM949" t="str">
        <f>IF(AL949="","",MAX($AF$1:$AF949))</f>
        <v/>
      </c>
    </row>
    <row r="950" spans="1:39" ht="13.5" customHeight="1" x14ac:dyDescent="0.3">
      <c r="A950" s="8" t="s">
        <v>222</v>
      </c>
      <c r="B950" s="9"/>
      <c r="C950" s="10">
        <v>5</v>
      </c>
      <c r="D950" s="11"/>
      <c r="AB950" t="str" cm="1">
        <f t="array" ref="AB950:AC950">_xlfn._xlws.FILTER(A950:Z950,A950:Z950&lt;&gt;"","")</f>
        <v>ICT</v>
      </c>
      <c r="AC950">
        <v>5</v>
      </c>
      <c r="AD950" t="str">
        <v/>
      </c>
      <c r="AE950" t="str">
        <v/>
      </c>
      <c r="AF950" t="str" cm="1">
        <f t="array" ref="AF950">IF(AD950="","",SUMPRODUCT(IF(LEFT($AD$1:AD950,2)="JS",1,0)))</f>
        <v/>
      </c>
      <c r="AG950" t="b">
        <f t="shared" si="56"/>
        <v>1</v>
      </c>
      <c r="AH950" t="str">
        <f t="shared" si="57"/>
        <v/>
      </c>
      <c r="AI950" t="str">
        <f>IF(AH950="","",MAX($AF$1:$AF950))</f>
        <v/>
      </c>
      <c r="AJ950" t="str">
        <f t="shared" si="58"/>
        <v/>
      </c>
      <c r="AK950" t="str">
        <f>IF(AJ950="","",MAX($AF$1:$AF950))</f>
        <v/>
      </c>
      <c r="AL950" t="str">
        <f t="shared" si="59"/>
        <v>ICT</v>
      </c>
      <c r="AM950">
        <f>IF(AL950="","",MAX($AF$1:$AF950))</f>
        <v>19</v>
      </c>
    </row>
    <row r="951" spans="1:39" ht="13.5" customHeight="1" x14ac:dyDescent="0.3">
      <c r="A951" s="8" t="s">
        <v>13</v>
      </c>
      <c r="B951" s="9"/>
      <c r="C951" s="10">
        <v>5</v>
      </c>
      <c r="D951" s="11"/>
      <c r="AB951" t="str" cm="1">
        <f t="array" ref="AB951:AC951">_xlfn._xlws.FILTER(A951:Z951,A951:Z951&lt;&gt;"","")</f>
        <v>Integrated Science</v>
      </c>
      <c r="AC951">
        <v>5</v>
      </c>
      <c r="AD951" t="str">
        <v/>
      </c>
      <c r="AE951" t="str">
        <v/>
      </c>
      <c r="AF951" t="str" cm="1">
        <f t="array" ref="AF951">IF(AD951="","",SUMPRODUCT(IF(LEFT($AD$1:AD951,2)="JS",1,0)))</f>
        <v/>
      </c>
      <c r="AG951" t="str">
        <f t="shared" si="56"/>
        <v/>
      </c>
      <c r="AH951" t="str">
        <f t="shared" si="57"/>
        <v/>
      </c>
      <c r="AI951" t="str">
        <f>IF(AH951="","",MAX($AF$1:$AF951))</f>
        <v/>
      </c>
      <c r="AJ951" t="str">
        <f t="shared" si="58"/>
        <v/>
      </c>
      <c r="AK951" t="str">
        <f>IF(AJ951="","",MAX($AF$1:$AF951))</f>
        <v/>
      </c>
      <c r="AL951" t="str">
        <f t="shared" si="59"/>
        <v/>
      </c>
      <c r="AM951" t="str">
        <f>IF(AL951="","",MAX($AF$1:$AF951))</f>
        <v/>
      </c>
    </row>
    <row r="952" spans="1:39" ht="13.5" customHeight="1" x14ac:dyDescent="0.3">
      <c r="A952" s="8" t="s">
        <v>223</v>
      </c>
      <c r="B952" s="9"/>
      <c r="C952" s="10">
        <v>7</v>
      </c>
      <c r="D952" s="11"/>
      <c r="AB952" t="str" cm="1">
        <f t="array" ref="AB952:AC952">_xlfn._xlws.FILTER(A952:Z952,A952:Z952&lt;&gt;"","")</f>
        <v>通</v>
      </c>
      <c r="AC952">
        <v>7</v>
      </c>
      <c r="AD952" t="str">
        <v/>
      </c>
      <c r="AE952" t="str">
        <v/>
      </c>
      <c r="AF952" t="str" cm="1">
        <f t="array" ref="AF952">IF(AD952="","",SUMPRODUCT(IF(LEFT($AD$1:AD952,2)="JS",1,0)))</f>
        <v/>
      </c>
      <c r="AG952" t="b">
        <f t="shared" si="56"/>
        <v>1</v>
      </c>
      <c r="AH952" t="str">
        <f t="shared" si="57"/>
        <v/>
      </c>
      <c r="AI952" t="str">
        <f>IF(AH952="","",MAX($AF$1:$AF952))</f>
        <v/>
      </c>
      <c r="AJ952" t="str">
        <f t="shared" si="58"/>
        <v>通</v>
      </c>
      <c r="AK952">
        <f>IF(AJ952="","",MAX($AF$1:$AF952))</f>
        <v>19</v>
      </c>
      <c r="AL952" t="str">
        <f t="shared" si="59"/>
        <v/>
      </c>
      <c r="AM952" t="str">
        <f>IF(AL952="","",MAX($AF$1:$AF952))</f>
        <v/>
      </c>
    </row>
    <row r="953" spans="1:39" ht="13.5" customHeight="1" x14ac:dyDescent="0.3">
      <c r="A953" s="8" t="s">
        <v>14</v>
      </c>
      <c r="B953" s="9"/>
      <c r="C953" s="10">
        <v>5</v>
      </c>
      <c r="D953" s="11"/>
      <c r="AB953" t="str" cm="1">
        <f t="array" ref="AB953:AC953">_xlfn._xlws.FILTER(A953:Z953,A953:Z953&lt;&gt;"","")</f>
        <v>Literature in English</v>
      </c>
      <c r="AC953">
        <v>5</v>
      </c>
      <c r="AD953" t="str">
        <v/>
      </c>
      <c r="AE953" t="str">
        <v/>
      </c>
      <c r="AF953" t="str" cm="1">
        <f t="array" ref="AF953">IF(AD953="","",SUMPRODUCT(IF(LEFT($AD$1:AD953,2)="JS",1,0)))</f>
        <v/>
      </c>
      <c r="AG953" t="str">
        <f t="shared" si="56"/>
        <v/>
      </c>
      <c r="AH953" t="str">
        <f t="shared" si="57"/>
        <v/>
      </c>
      <c r="AI953" t="str">
        <f>IF(AH953="","",MAX($AF$1:$AF953))</f>
        <v/>
      </c>
      <c r="AJ953" t="str">
        <f t="shared" si="58"/>
        <v/>
      </c>
      <c r="AK953" t="str">
        <f>IF(AJ953="","",MAX($AF$1:$AF953))</f>
        <v/>
      </c>
      <c r="AL953" t="str">
        <f t="shared" si="59"/>
        <v/>
      </c>
      <c r="AM953" t="str">
        <f>IF(AL953="","",MAX($AF$1:$AF953))</f>
        <v/>
      </c>
    </row>
    <row r="954" spans="1:39" ht="13.5" customHeight="1" x14ac:dyDescent="0.3">
      <c r="A954" s="8" t="s">
        <v>224</v>
      </c>
      <c r="B954" s="9"/>
      <c r="C954" s="10">
        <v>7</v>
      </c>
      <c r="D954" s="11"/>
      <c r="AB954" t="str" cm="1">
        <f t="array" ref="AB954:AC954">_xlfn._xlws.FILTER(A954:Z954,A954:Z954&lt;&gt;"","")</f>
        <v>MATH</v>
      </c>
      <c r="AC954">
        <v>7</v>
      </c>
      <c r="AD954" t="str">
        <v/>
      </c>
      <c r="AE954" t="str">
        <v/>
      </c>
      <c r="AF954" t="str" cm="1">
        <f t="array" ref="AF954">IF(AD954="","",SUMPRODUCT(IF(LEFT($AD$1:AD954,2)="JS",1,0)))</f>
        <v/>
      </c>
      <c r="AG954" t="b">
        <f t="shared" si="56"/>
        <v>1</v>
      </c>
      <c r="AH954" t="str">
        <f t="shared" si="57"/>
        <v/>
      </c>
      <c r="AI954" t="str">
        <f>IF(AH954="","",MAX($AF$1:$AF954))</f>
        <v/>
      </c>
      <c r="AJ954" t="str">
        <f t="shared" si="58"/>
        <v>MATH</v>
      </c>
      <c r="AK954">
        <f>IF(AJ954="","",MAX($AF$1:$AF954))</f>
        <v>19</v>
      </c>
      <c r="AL954" t="str">
        <f t="shared" si="59"/>
        <v/>
      </c>
      <c r="AM954" t="str">
        <f>IF(AL954="","",MAX($AF$1:$AF954))</f>
        <v/>
      </c>
    </row>
    <row r="955" spans="1:39" ht="13.5" customHeight="1" x14ac:dyDescent="0.3">
      <c r="A955" s="8" t="s">
        <v>225</v>
      </c>
      <c r="B955" s="9"/>
      <c r="C955" s="10">
        <v>5</v>
      </c>
      <c r="D955" s="11"/>
      <c r="AB955" t="str" cm="1">
        <f t="array" ref="AB955:AC955">_xlfn._xlws.FILTER(A955:Z955,A955:Z955&lt;&gt;"","")</f>
        <v>M2</v>
      </c>
      <c r="AC955">
        <v>5</v>
      </c>
      <c r="AD955" t="str">
        <v/>
      </c>
      <c r="AE955" t="str">
        <v/>
      </c>
      <c r="AF955" t="str" cm="1">
        <f t="array" ref="AF955">IF(AD955="","",SUMPRODUCT(IF(LEFT($AD$1:AD955,2)="JS",1,0)))</f>
        <v/>
      </c>
      <c r="AG955" t="b">
        <f t="shared" si="56"/>
        <v>1</v>
      </c>
      <c r="AH955" t="str">
        <f t="shared" si="57"/>
        <v/>
      </c>
      <c r="AI955" t="str">
        <f>IF(AH955="","",MAX($AF$1:$AF955))</f>
        <v/>
      </c>
      <c r="AJ955" t="str">
        <f t="shared" si="58"/>
        <v/>
      </c>
      <c r="AK955" t="str">
        <f>IF(AJ955="","",MAX($AF$1:$AF955))</f>
        <v/>
      </c>
      <c r="AL955" t="str">
        <f t="shared" si="59"/>
        <v>M2</v>
      </c>
      <c r="AM955">
        <f>IF(AL955="","",MAX($AF$1:$AF955))</f>
        <v>19</v>
      </c>
    </row>
    <row r="956" spans="1:39" ht="13.5" customHeight="1" x14ac:dyDescent="0.3">
      <c r="A956" s="8" t="s">
        <v>15</v>
      </c>
      <c r="B956" s="9"/>
      <c r="C956" s="10">
        <v>5</v>
      </c>
      <c r="D956" s="11"/>
      <c r="AB956" t="str" cm="1">
        <f t="array" ref="AB956:AC956">_xlfn._xlws.FILTER(A956:Z956,A956:Z956&lt;&gt;"","")</f>
        <v>Mathematics (Extended part - Calculus and Statistics)</v>
      </c>
      <c r="AC956">
        <v>5</v>
      </c>
      <c r="AD956" t="str">
        <v/>
      </c>
      <c r="AE956" t="str">
        <v/>
      </c>
      <c r="AF956" t="str" cm="1">
        <f t="array" ref="AF956">IF(AD956="","",SUMPRODUCT(IF(LEFT($AD$1:AD956,2)="JS",1,0)))</f>
        <v/>
      </c>
      <c r="AG956" t="str">
        <f t="shared" si="56"/>
        <v/>
      </c>
      <c r="AH956" t="str">
        <f t="shared" si="57"/>
        <v/>
      </c>
      <c r="AI956" t="str">
        <f>IF(AH956="","",MAX($AF$1:$AF956))</f>
        <v/>
      </c>
      <c r="AJ956" t="str">
        <f t="shared" si="58"/>
        <v/>
      </c>
      <c r="AK956" t="str">
        <f>IF(AJ956="","",MAX($AF$1:$AF956))</f>
        <v/>
      </c>
      <c r="AL956" t="str">
        <f t="shared" si="59"/>
        <v/>
      </c>
      <c r="AM956" t="str">
        <f>IF(AL956="","",MAX($AF$1:$AF956))</f>
        <v/>
      </c>
    </row>
    <row r="957" spans="1:39" ht="13.5" customHeight="1" x14ac:dyDescent="0.3">
      <c r="A957" s="8" t="s">
        <v>16</v>
      </c>
      <c r="B957" s="9"/>
      <c r="C957" s="10">
        <v>5</v>
      </c>
      <c r="D957" s="11"/>
      <c r="AB957" t="str" cm="1">
        <f t="array" ref="AB957:AC957">_xlfn._xlws.FILTER(A957:Z957,A957:Z957&lt;&gt;"","")</f>
        <v>Music</v>
      </c>
      <c r="AC957">
        <v>5</v>
      </c>
      <c r="AD957" t="str">
        <v/>
      </c>
      <c r="AE957" t="str">
        <v/>
      </c>
      <c r="AF957" t="str" cm="1">
        <f t="array" ref="AF957">IF(AD957="","",SUMPRODUCT(IF(LEFT($AD$1:AD957,2)="JS",1,0)))</f>
        <v/>
      </c>
      <c r="AG957" t="str">
        <f t="shared" si="56"/>
        <v/>
      </c>
      <c r="AH957" t="str">
        <f t="shared" si="57"/>
        <v/>
      </c>
      <c r="AI957" t="str">
        <f>IF(AH957="","",MAX($AF$1:$AF957))</f>
        <v/>
      </c>
      <c r="AJ957" t="str">
        <f t="shared" si="58"/>
        <v/>
      </c>
      <c r="AK957" t="str">
        <f>IF(AJ957="","",MAX($AF$1:$AF957))</f>
        <v/>
      </c>
      <c r="AL957" t="str">
        <f t="shared" si="59"/>
        <v/>
      </c>
      <c r="AM957" t="str">
        <f>IF(AL957="","",MAX($AF$1:$AF957))</f>
        <v/>
      </c>
    </row>
    <row r="958" spans="1:39" ht="13.5" customHeight="1" x14ac:dyDescent="0.3">
      <c r="A958" s="8" t="s">
        <v>17</v>
      </c>
      <c r="B958" s="9"/>
      <c r="C958" s="10">
        <v>5</v>
      </c>
      <c r="D958" s="11"/>
      <c r="AB958" t="str" cm="1">
        <f t="array" ref="AB958:AC958">_xlfn._xlws.FILTER(A958:Z958,A958:Z958&lt;&gt;"","")</f>
        <v>Physical Education</v>
      </c>
      <c r="AC958">
        <v>5</v>
      </c>
      <c r="AD958" t="str">
        <v/>
      </c>
      <c r="AE958" t="str">
        <v/>
      </c>
      <c r="AF958" t="str" cm="1">
        <f t="array" ref="AF958">IF(AD958="","",SUMPRODUCT(IF(LEFT($AD$1:AD958,2)="JS",1,0)))</f>
        <v/>
      </c>
      <c r="AG958" t="str">
        <f t="shared" si="56"/>
        <v/>
      </c>
      <c r="AH958" t="str">
        <f t="shared" si="57"/>
        <v/>
      </c>
      <c r="AI958" t="str">
        <f>IF(AH958="","",MAX($AF$1:$AF958))</f>
        <v/>
      </c>
      <c r="AJ958" t="str">
        <f t="shared" si="58"/>
        <v/>
      </c>
      <c r="AK958" t="str">
        <f>IF(AJ958="","",MAX($AF$1:$AF958))</f>
        <v/>
      </c>
      <c r="AL958" t="str">
        <f t="shared" si="59"/>
        <v/>
      </c>
      <c r="AM958" t="str">
        <f>IF(AL958="","",MAX($AF$1:$AF958))</f>
        <v/>
      </c>
    </row>
    <row r="959" spans="1:39" ht="13.5" customHeight="1" x14ac:dyDescent="0.3">
      <c r="A959" s="8" t="s">
        <v>226</v>
      </c>
      <c r="B959" s="9"/>
      <c r="C959" s="10">
        <v>5</v>
      </c>
      <c r="D959" s="11"/>
      <c r="AB959" t="str" cm="1">
        <f t="array" ref="AB959:AC959">_xlfn._xlws.FILTER(A959:Z959,A959:Z959&lt;&gt;"","")</f>
        <v>PHY</v>
      </c>
      <c r="AC959">
        <v>5</v>
      </c>
      <c r="AD959" t="str">
        <v/>
      </c>
      <c r="AE959" t="str">
        <v/>
      </c>
      <c r="AF959" t="str" cm="1">
        <f t="array" ref="AF959">IF(AD959="","",SUMPRODUCT(IF(LEFT($AD$1:AD959,2)="JS",1,0)))</f>
        <v/>
      </c>
      <c r="AG959" t="b">
        <f t="shared" si="56"/>
        <v>1</v>
      </c>
      <c r="AH959" t="str">
        <f t="shared" si="57"/>
        <v/>
      </c>
      <c r="AI959" t="str">
        <f>IF(AH959="","",MAX($AF$1:$AF959))</f>
        <v/>
      </c>
      <c r="AJ959" t="str">
        <f t="shared" si="58"/>
        <v/>
      </c>
      <c r="AK959" t="str">
        <f>IF(AJ959="","",MAX($AF$1:$AF959))</f>
        <v/>
      </c>
      <c r="AL959" t="str">
        <f t="shared" si="59"/>
        <v>PHY</v>
      </c>
      <c r="AM959">
        <f>IF(AL959="","",MAX($AF$1:$AF959))</f>
        <v>19</v>
      </c>
    </row>
    <row r="960" spans="1:39" ht="13.5" customHeight="1" x14ac:dyDescent="0.3">
      <c r="A960" s="8" t="s">
        <v>18</v>
      </c>
      <c r="B960" s="9"/>
      <c r="C960" s="10">
        <v>5</v>
      </c>
      <c r="D960" s="11"/>
      <c r="AB960" t="str" cm="1">
        <f t="array" ref="AB960:AC960">_xlfn._xlws.FILTER(A960:Z960,A960:Z960&lt;&gt;"","")</f>
        <v>Technology and Living (Fashion, Clothing and Textiles)</v>
      </c>
      <c r="AC960">
        <v>5</v>
      </c>
      <c r="AD960" t="str">
        <v/>
      </c>
      <c r="AE960" t="str">
        <v/>
      </c>
      <c r="AF960" t="str" cm="1">
        <f t="array" ref="AF960">IF(AD960="","",SUMPRODUCT(IF(LEFT($AD$1:AD960,2)="JS",1,0)))</f>
        <v/>
      </c>
      <c r="AG960" t="str">
        <f t="shared" si="56"/>
        <v/>
      </c>
      <c r="AH960" t="str">
        <f t="shared" si="57"/>
        <v/>
      </c>
      <c r="AI960" t="str">
        <f>IF(AH960="","",MAX($AF$1:$AF960))</f>
        <v/>
      </c>
      <c r="AJ960" t="str">
        <f t="shared" si="58"/>
        <v/>
      </c>
      <c r="AK960" t="str">
        <f>IF(AJ960="","",MAX($AF$1:$AF960))</f>
        <v/>
      </c>
      <c r="AL960" t="str">
        <f t="shared" si="59"/>
        <v/>
      </c>
      <c r="AM960" t="str">
        <f>IF(AL960="","",MAX($AF$1:$AF960))</f>
        <v/>
      </c>
    </row>
    <row r="961" spans="1:39" ht="13.5" customHeight="1" x14ac:dyDescent="0.3">
      <c r="A961" s="8" t="s">
        <v>19</v>
      </c>
      <c r="B961" s="9"/>
      <c r="C961" s="10">
        <v>5</v>
      </c>
      <c r="D961" s="11"/>
      <c r="AB961" t="str" cm="1">
        <f t="array" ref="AB961:AC961">_xlfn._xlws.FILTER(A961:Z961,A961:Z961&lt;&gt;"","")</f>
        <v>Technology and Living (Food Science and Technology)</v>
      </c>
      <c r="AC961">
        <v>5</v>
      </c>
      <c r="AD961" t="str">
        <v/>
      </c>
      <c r="AE961" t="str">
        <v/>
      </c>
      <c r="AF961" t="str" cm="1">
        <f t="array" ref="AF961">IF(AD961="","",SUMPRODUCT(IF(LEFT($AD$1:AD961,2)="JS",1,0)))</f>
        <v/>
      </c>
      <c r="AG961" t="str">
        <f t="shared" ref="AG961:AG1024" si="60">IF(ISNUMBER(MATCH(AB961,$AV$3:$AV$18,0)),TRUE,"")</f>
        <v/>
      </c>
      <c r="AH961" t="str">
        <f t="shared" si="57"/>
        <v/>
      </c>
      <c r="AI961" t="str">
        <f>IF(AH961="","",MAX($AF$1:$AF961))</f>
        <v/>
      </c>
      <c r="AJ961" t="str">
        <f t="shared" si="58"/>
        <v/>
      </c>
      <c r="AK961" t="str">
        <f>IF(AJ961="","",MAX($AF$1:$AF961))</f>
        <v/>
      </c>
      <c r="AL961" t="str">
        <f t="shared" si="59"/>
        <v/>
      </c>
      <c r="AM961" t="str">
        <f>IF(AL961="","",MAX($AF$1:$AF961))</f>
        <v/>
      </c>
    </row>
    <row r="962" spans="1:39" ht="13.5" customHeight="1" x14ac:dyDescent="0.3">
      <c r="A962" s="8" t="s">
        <v>20</v>
      </c>
      <c r="B962" s="9"/>
      <c r="C962" s="10">
        <v>5</v>
      </c>
      <c r="D962" s="11"/>
      <c r="AB962" t="str" cm="1">
        <f t="array" ref="AB962:AC962">_xlfn._xlws.FILTER(A962:Z962,A962:Z962&lt;&gt;"","")</f>
        <v>Tourism and Hospitality Studies</v>
      </c>
      <c r="AC962">
        <v>5</v>
      </c>
      <c r="AD962" t="str">
        <v/>
      </c>
      <c r="AE962" t="str">
        <v/>
      </c>
      <c r="AF962" t="str" cm="1">
        <f t="array" ref="AF962">IF(AD962="","",SUMPRODUCT(IF(LEFT($AD$1:AD962,2)="JS",1,0)))</f>
        <v/>
      </c>
      <c r="AG962" t="str">
        <f t="shared" si="60"/>
        <v/>
      </c>
      <c r="AH962" t="str">
        <f t="shared" ref="AH962:AH1025" si="61">IF(AND(AC962=10,AG962=TRUE),AB962,"")</f>
        <v/>
      </c>
      <c r="AI962" t="str">
        <f>IF(AH962="","",MAX($AF$1:$AF962))</f>
        <v/>
      </c>
      <c r="AJ962" t="str">
        <f t="shared" ref="AJ962:AJ1025" si="62">IF(AND(AC962=7,AG962=TRUE),AB962,"")</f>
        <v/>
      </c>
      <c r="AK962" t="str">
        <f>IF(AJ962="","",MAX($AF$1:$AF962))</f>
        <v/>
      </c>
      <c r="AL962" t="str">
        <f t="shared" ref="AL962:AL1025" si="63">IF(AND(AC962=5,AG962=TRUE),AB962,"")</f>
        <v/>
      </c>
      <c r="AM962" t="str">
        <f>IF(AL962="","",MAX($AF$1:$AF962))</f>
        <v/>
      </c>
    </row>
    <row r="963" spans="1:39" ht="13.5" customHeight="1" x14ac:dyDescent="0.3">
      <c r="A963" s="8" t="s">
        <v>210</v>
      </c>
      <c r="B963" s="9"/>
      <c r="C963" s="10">
        <v>5</v>
      </c>
      <c r="D963" s="11"/>
      <c r="AB963" t="str" cm="1">
        <f t="array" ref="AB963:AC963">_xlfn._xlws.FILTER(A963:Z963,A963:Z963&lt;&gt;"","")</f>
        <v>VA</v>
      </c>
      <c r="AC963">
        <v>5</v>
      </c>
      <c r="AD963" t="str">
        <v/>
      </c>
      <c r="AE963" t="str">
        <v/>
      </c>
      <c r="AF963" t="str" cm="1">
        <f t="array" ref="AF963">IF(AD963="","",SUMPRODUCT(IF(LEFT($AD$1:AD963,2)="JS",1,0)))</f>
        <v/>
      </c>
      <c r="AG963" t="b">
        <f t="shared" si="60"/>
        <v>1</v>
      </c>
      <c r="AH963" t="str">
        <f t="shared" si="61"/>
        <v/>
      </c>
      <c r="AI963" t="str">
        <f>IF(AH963="","",MAX($AF$1:$AF963))</f>
        <v/>
      </c>
      <c r="AJ963" t="str">
        <f t="shared" si="62"/>
        <v/>
      </c>
      <c r="AK963" t="str">
        <f>IF(AJ963="","",MAX($AF$1:$AF963))</f>
        <v/>
      </c>
      <c r="AL963" t="str">
        <f t="shared" si="63"/>
        <v>VA</v>
      </c>
      <c r="AM963">
        <f>IF(AL963="","",MAX($AF$1:$AF963))</f>
        <v>19</v>
      </c>
    </row>
    <row r="964" spans="1:39" ht="14.5" customHeight="1" x14ac:dyDescent="0.3">
      <c r="A964" s="12"/>
      <c r="B964" s="12"/>
      <c r="C964" s="2"/>
      <c r="D964" s="2"/>
      <c r="AB964" t="str" cm="1">
        <f t="array" ref="AB964">_xlfn._xlws.FILTER(A964:Z964,A964:Z964&lt;&gt;"","")</f>
        <v/>
      </c>
      <c r="AD964" t="str">
        <v/>
      </c>
      <c r="AE964" t="str">
        <v/>
      </c>
      <c r="AF964" t="str" cm="1">
        <f t="array" ref="AF964">IF(AD964="","",SUMPRODUCT(IF(LEFT($AD$1:AD964,2)="JS",1,0)))</f>
        <v/>
      </c>
      <c r="AG964" t="str">
        <f t="shared" si="60"/>
        <v/>
      </c>
      <c r="AH964" t="str">
        <f t="shared" si="61"/>
        <v/>
      </c>
      <c r="AI964" t="str">
        <f>IF(AH964="","",MAX($AF$1:$AF964))</f>
        <v/>
      </c>
      <c r="AJ964" t="str">
        <f t="shared" si="62"/>
        <v/>
      </c>
      <c r="AK964" t="str">
        <f>IF(AJ964="","",MAX($AF$1:$AF964))</f>
        <v/>
      </c>
      <c r="AL964" t="str">
        <f t="shared" si="63"/>
        <v/>
      </c>
      <c r="AM964" t="str">
        <f>IF(AL964="","",MAX($AF$1:$AF964))</f>
        <v/>
      </c>
    </row>
    <row r="965" spans="1:39" ht="13.5" customHeight="1" x14ac:dyDescent="0.3">
      <c r="A965" s="13" t="s">
        <v>34</v>
      </c>
      <c r="B965" s="13"/>
      <c r="C965" s="13"/>
      <c r="D965" s="13"/>
      <c r="AB965" t="str" cm="1">
        <f t="array" ref="AB965">_xlfn._xlws.FILTER(A965:Z965,A965:Z965&lt;&gt;"","")</f>
        <v>Category C: Other Language Subjects</v>
      </c>
      <c r="AD965" t="str">
        <v/>
      </c>
      <c r="AE965" t="str">
        <v/>
      </c>
      <c r="AF965" t="str" cm="1">
        <f t="array" ref="AF965">IF(AD965="","",SUMPRODUCT(IF(LEFT($AD$1:AD965,2)="JS",1,0)))</f>
        <v/>
      </c>
      <c r="AG965" t="str">
        <f t="shared" si="60"/>
        <v/>
      </c>
      <c r="AH965" t="str">
        <f t="shared" si="61"/>
        <v/>
      </c>
      <c r="AI965" t="str">
        <f>IF(AH965="","",MAX($AF$1:$AF965))</f>
        <v/>
      </c>
      <c r="AJ965" t="str">
        <f t="shared" si="62"/>
        <v/>
      </c>
      <c r="AK965" t="str">
        <f>IF(AJ965="","",MAX($AF$1:$AF965))</f>
        <v/>
      </c>
      <c r="AL965" t="str">
        <f t="shared" si="63"/>
        <v/>
      </c>
      <c r="AM965" t="str">
        <f>IF(AL965="","",MAX($AF$1:$AF965))</f>
        <v/>
      </c>
    </row>
    <row r="966" spans="1:39" ht="13.5" customHeight="1" x14ac:dyDescent="0.3">
      <c r="A966" s="14" t="s">
        <v>3</v>
      </c>
      <c r="B966" s="15"/>
      <c r="C966" s="16" t="s">
        <v>4</v>
      </c>
      <c r="D966" s="17"/>
      <c r="AB966" t="str" cm="1">
        <f t="array" ref="AB966:AC966">_xlfn._xlws.FILTER(A966:Z966,A966:Z966&lt;&gt;"","")</f>
        <v>Subject Name</v>
      </c>
      <c r="AC966" t="str">
        <v>Subject Weighting for 2023/24 Admission Exercise *</v>
      </c>
      <c r="AD966" t="str">
        <v/>
      </c>
      <c r="AE966" t="str">
        <v/>
      </c>
      <c r="AF966" t="str" cm="1">
        <f t="array" ref="AF966">IF(AD966="","",SUMPRODUCT(IF(LEFT($AD$1:AD966,2)="JS",1,0)))</f>
        <v/>
      </c>
      <c r="AG966" t="str">
        <f t="shared" si="60"/>
        <v/>
      </c>
      <c r="AH966" t="str">
        <f t="shared" si="61"/>
        <v/>
      </c>
      <c r="AI966" t="str">
        <f>IF(AH966="","",MAX($AF$1:$AF966))</f>
        <v/>
      </c>
      <c r="AJ966" t="str">
        <f t="shared" si="62"/>
        <v/>
      </c>
      <c r="AK966" t="str">
        <f>IF(AJ966="","",MAX($AF$1:$AF966))</f>
        <v/>
      </c>
      <c r="AL966" t="str">
        <f t="shared" si="63"/>
        <v/>
      </c>
      <c r="AM966" t="str">
        <f>IF(AL966="","",MAX($AF$1:$AF966))</f>
        <v/>
      </c>
    </row>
    <row r="967" spans="1:39" ht="13.5" customHeight="1" x14ac:dyDescent="0.3">
      <c r="A967" s="8" t="s">
        <v>35</v>
      </c>
      <c r="B967" s="9"/>
      <c r="C967" s="10">
        <v>5</v>
      </c>
      <c r="D967" s="11"/>
      <c r="AB967" t="str" cm="1">
        <f t="array" ref="AB967:AC967">_xlfn._xlws.FILTER(A967:Z967,A967:Z967&lt;&gt;"","")</f>
        <v>French</v>
      </c>
      <c r="AC967">
        <v>5</v>
      </c>
      <c r="AD967" t="str">
        <v/>
      </c>
      <c r="AE967" t="str">
        <v/>
      </c>
      <c r="AF967" t="str" cm="1">
        <f t="array" ref="AF967">IF(AD967="","",SUMPRODUCT(IF(LEFT($AD$1:AD967,2)="JS",1,0)))</f>
        <v/>
      </c>
      <c r="AG967" t="str">
        <f t="shared" si="60"/>
        <v/>
      </c>
      <c r="AH967" t="str">
        <f t="shared" si="61"/>
        <v/>
      </c>
      <c r="AI967" t="str">
        <f>IF(AH967="","",MAX($AF$1:$AF967))</f>
        <v/>
      </c>
      <c r="AJ967" t="str">
        <f t="shared" si="62"/>
        <v/>
      </c>
      <c r="AK967" t="str">
        <f>IF(AJ967="","",MAX($AF$1:$AF967))</f>
        <v/>
      </c>
      <c r="AL967" t="str">
        <f t="shared" si="63"/>
        <v/>
      </c>
      <c r="AM967" t="str">
        <f>IF(AL967="","",MAX($AF$1:$AF967))</f>
        <v/>
      </c>
    </row>
    <row r="968" spans="1:39" ht="13.5" customHeight="1" x14ac:dyDescent="0.3">
      <c r="A968" s="8" t="s">
        <v>36</v>
      </c>
      <c r="B968" s="9"/>
      <c r="C968" s="10">
        <v>5</v>
      </c>
      <c r="D968" s="11"/>
      <c r="AB968" t="str" cm="1">
        <f t="array" ref="AB968:AC968">_xlfn._xlws.FILTER(A968:Z968,A968:Z968&lt;&gt;"","")</f>
        <v>German</v>
      </c>
      <c r="AC968">
        <v>5</v>
      </c>
      <c r="AD968" t="str">
        <v/>
      </c>
      <c r="AE968" t="str">
        <v/>
      </c>
      <c r="AF968" t="str" cm="1">
        <f t="array" ref="AF968">IF(AD968="","",SUMPRODUCT(IF(LEFT($AD$1:AD968,2)="JS",1,0)))</f>
        <v/>
      </c>
      <c r="AG968" t="str">
        <f t="shared" si="60"/>
        <v/>
      </c>
      <c r="AH968" t="str">
        <f t="shared" si="61"/>
        <v/>
      </c>
      <c r="AI968" t="str">
        <f>IF(AH968="","",MAX($AF$1:$AF968))</f>
        <v/>
      </c>
      <c r="AJ968" t="str">
        <f t="shared" si="62"/>
        <v/>
      </c>
      <c r="AK968" t="str">
        <f>IF(AJ968="","",MAX($AF$1:$AF968))</f>
        <v/>
      </c>
      <c r="AL968" t="str">
        <f t="shared" si="63"/>
        <v/>
      </c>
      <c r="AM968" t="str">
        <f>IF(AL968="","",MAX($AF$1:$AF968))</f>
        <v/>
      </c>
    </row>
    <row r="969" spans="1:39" ht="13.5" customHeight="1" x14ac:dyDescent="0.3">
      <c r="A969" s="8" t="s">
        <v>37</v>
      </c>
      <c r="B969" s="9"/>
      <c r="C969" s="10">
        <v>5</v>
      </c>
      <c r="D969" s="11"/>
      <c r="AB969" t="str" cm="1">
        <f t="array" ref="AB969:AC969">_xlfn._xlws.FILTER(A969:Z969,A969:Z969&lt;&gt;"","")</f>
        <v>Hindi</v>
      </c>
      <c r="AC969">
        <v>5</v>
      </c>
      <c r="AD969" t="str">
        <v/>
      </c>
      <c r="AE969" t="str">
        <v/>
      </c>
      <c r="AF969" t="str" cm="1">
        <f t="array" ref="AF969">IF(AD969="","",SUMPRODUCT(IF(LEFT($AD$1:AD969,2)="JS",1,0)))</f>
        <v/>
      </c>
      <c r="AG969" t="str">
        <f t="shared" si="60"/>
        <v/>
      </c>
      <c r="AH969" t="str">
        <f t="shared" si="61"/>
        <v/>
      </c>
      <c r="AI969" t="str">
        <f>IF(AH969="","",MAX($AF$1:$AF969))</f>
        <v/>
      </c>
      <c r="AJ969" t="str">
        <f t="shared" si="62"/>
        <v/>
      </c>
      <c r="AK969" t="str">
        <f>IF(AJ969="","",MAX($AF$1:$AF969))</f>
        <v/>
      </c>
      <c r="AL969" t="str">
        <f t="shared" si="63"/>
        <v/>
      </c>
      <c r="AM969" t="str">
        <f>IF(AL969="","",MAX($AF$1:$AF969))</f>
        <v/>
      </c>
    </row>
    <row r="970" spans="1:39" ht="13.5" customHeight="1" x14ac:dyDescent="0.3">
      <c r="A970" s="8" t="s">
        <v>38</v>
      </c>
      <c r="B970" s="9"/>
      <c r="C970" s="10">
        <v>5</v>
      </c>
      <c r="D970" s="11"/>
      <c r="AB970" t="str" cm="1">
        <f t="array" ref="AB970:AC970">_xlfn._xlws.FILTER(A970:Z970,A970:Z970&lt;&gt;"","")</f>
        <v>Japanese</v>
      </c>
      <c r="AC970">
        <v>5</v>
      </c>
      <c r="AD970" t="str">
        <v/>
      </c>
      <c r="AE970" t="str">
        <v/>
      </c>
      <c r="AF970" t="str" cm="1">
        <f t="array" ref="AF970">IF(AD970="","",SUMPRODUCT(IF(LEFT($AD$1:AD970,2)="JS",1,0)))</f>
        <v/>
      </c>
      <c r="AG970" t="str">
        <f t="shared" si="60"/>
        <v/>
      </c>
      <c r="AH970" t="str">
        <f t="shared" si="61"/>
        <v/>
      </c>
      <c r="AI970" t="str">
        <f>IF(AH970="","",MAX($AF$1:$AF970))</f>
        <v/>
      </c>
      <c r="AJ970" t="str">
        <f t="shared" si="62"/>
        <v/>
      </c>
      <c r="AK970" t="str">
        <f>IF(AJ970="","",MAX($AF$1:$AF970))</f>
        <v/>
      </c>
      <c r="AL970" t="str">
        <f t="shared" si="63"/>
        <v/>
      </c>
      <c r="AM970" t="str">
        <f>IF(AL970="","",MAX($AF$1:$AF970))</f>
        <v/>
      </c>
    </row>
    <row r="971" spans="1:39" ht="13.5" customHeight="1" x14ac:dyDescent="0.3">
      <c r="A971" s="8" t="s">
        <v>39</v>
      </c>
      <c r="B971" s="9"/>
      <c r="C971" s="10">
        <v>5</v>
      </c>
      <c r="D971" s="11"/>
      <c r="AB971" t="str" cm="1">
        <f t="array" ref="AB971:AC971">_xlfn._xlws.FILTER(A971:Z971,A971:Z971&lt;&gt;"","")</f>
        <v>Spanish</v>
      </c>
      <c r="AC971">
        <v>5</v>
      </c>
      <c r="AD971" t="str">
        <v/>
      </c>
      <c r="AE971" t="str">
        <v/>
      </c>
      <c r="AF971" t="str" cm="1">
        <f t="array" ref="AF971">IF(AD971="","",SUMPRODUCT(IF(LEFT($AD$1:AD971,2)="JS",1,0)))</f>
        <v/>
      </c>
      <c r="AG971" t="str">
        <f t="shared" si="60"/>
        <v/>
      </c>
      <c r="AH971" t="str">
        <f t="shared" si="61"/>
        <v/>
      </c>
      <c r="AI971" t="str">
        <f>IF(AH971="","",MAX($AF$1:$AF971))</f>
        <v/>
      </c>
      <c r="AJ971" t="str">
        <f t="shared" si="62"/>
        <v/>
      </c>
      <c r="AK971" t="str">
        <f>IF(AJ971="","",MAX($AF$1:$AF971))</f>
        <v/>
      </c>
      <c r="AL971" t="str">
        <f t="shared" si="63"/>
        <v/>
      </c>
      <c r="AM971" t="str">
        <f>IF(AL971="","",MAX($AF$1:$AF971))</f>
        <v/>
      </c>
    </row>
    <row r="972" spans="1:39" ht="13.5" customHeight="1" x14ac:dyDescent="0.3">
      <c r="A972" s="8" t="s">
        <v>40</v>
      </c>
      <c r="B972" s="9"/>
      <c r="C972" s="10">
        <v>5</v>
      </c>
      <c r="D972" s="11"/>
      <c r="AB972" t="str" cm="1">
        <f t="array" ref="AB972:AC972">_xlfn._xlws.FILTER(A972:Z972,A972:Z972&lt;&gt;"","")</f>
        <v>Urdu</v>
      </c>
      <c r="AC972">
        <v>5</v>
      </c>
      <c r="AD972" t="str">
        <v/>
      </c>
      <c r="AE972" t="str">
        <v/>
      </c>
      <c r="AF972" t="str" cm="1">
        <f t="array" ref="AF972">IF(AD972="","",SUMPRODUCT(IF(LEFT($AD$1:AD972,2)="JS",1,0)))</f>
        <v/>
      </c>
      <c r="AG972" t="str">
        <f t="shared" si="60"/>
        <v/>
      </c>
      <c r="AH972" t="str">
        <f t="shared" si="61"/>
        <v/>
      </c>
      <c r="AI972" t="str">
        <f>IF(AH972="","",MAX($AF$1:$AF972))</f>
        <v/>
      </c>
      <c r="AJ972" t="str">
        <f t="shared" si="62"/>
        <v/>
      </c>
      <c r="AK972" t="str">
        <f>IF(AJ972="","",MAX($AF$1:$AF972))</f>
        <v/>
      </c>
      <c r="AL972" t="str">
        <f t="shared" si="63"/>
        <v/>
      </c>
      <c r="AM972" t="str">
        <f>IF(AL972="","",MAX($AF$1:$AF972))</f>
        <v/>
      </c>
    </row>
    <row r="973" spans="1:39" ht="15" customHeight="1" x14ac:dyDescent="0.3">
      <c r="A973" s="18" t="s">
        <v>166</v>
      </c>
      <c r="B973" s="18"/>
      <c r="C973" s="18"/>
      <c r="D973" s="1"/>
      <c r="AB973" t="str" cm="1">
        <f t="array" ref="AB973">_xlfn._xlws.FILTER(A973:Z973,A973:Z973&lt;&gt;"","")</f>
        <v>JUPAS Code: JS3330</v>
      </c>
      <c r="AD973" t="str">
        <v>JS3330</v>
      </c>
      <c r="AE973" t="str">
        <v/>
      </c>
      <c r="AF973" cm="1">
        <f t="array" ref="AF973">IF(AD973="","",SUMPRODUCT(IF(LEFT($AD$1:AD973,2)="JS",1,0)))</f>
        <v>20</v>
      </c>
      <c r="AG973" t="str">
        <f t="shared" si="60"/>
        <v/>
      </c>
      <c r="AH973" t="str">
        <f t="shared" si="61"/>
        <v/>
      </c>
      <c r="AI973" t="str">
        <f>IF(AH973="","",MAX($AF$1:$AF973))</f>
        <v/>
      </c>
      <c r="AJ973" t="str">
        <f t="shared" si="62"/>
        <v/>
      </c>
      <c r="AK973" t="str">
        <f>IF(AJ973="","",MAX($AF$1:$AF973))</f>
        <v/>
      </c>
      <c r="AL973" t="str">
        <f t="shared" si="63"/>
        <v/>
      </c>
      <c r="AM973" t="str">
        <f>IF(AL973="","",MAX($AF$1:$AF973))</f>
        <v/>
      </c>
    </row>
    <row r="974" spans="1:39" ht="13.5" customHeight="1" x14ac:dyDescent="0.3">
      <c r="A974" s="18" t="s">
        <v>167</v>
      </c>
      <c r="B974" s="18"/>
      <c r="C974" s="18"/>
      <c r="D974" s="1"/>
      <c r="AB974" t="str" cm="1">
        <f t="array" ref="AB974">_xlfn._xlws.FILTER(A974:Z974,A974:Z974&lt;&gt;"","")</f>
        <v>Programme Title: BA (Hons) / BSc (Hons) Scheme in Language Sciences, Translation, and Speech Therapy</v>
      </c>
      <c r="AD974" t="str">
        <v/>
      </c>
      <c r="AE974" t="str">
        <v>BA (Hons) / BSc (Hons) Scheme in Language Sciences, Translation, and Speech Therapy</v>
      </c>
      <c r="AF974" t="str" cm="1">
        <f t="array" ref="AF974">IF(AD974="","",SUMPRODUCT(IF(LEFT($AD$1:AD974,2)="JS",1,0)))</f>
        <v/>
      </c>
      <c r="AG974" t="str">
        <f t="shared" si="60"/>
        <v/>
      </c>
      <c r="AH974" t="str">
        <f t="shared" si="61"/>
        <v/>
      </c>
      <c r="AI974" t="str">
        <f>IF(AH974="","",MAX($AF$1:$AF974))</f>
        <v/>
      </c>
      <c r="AJ974" t="str">
        <f t="shared" si="62"/>
        <v/>
      </c>
      <c r="AK974" t="str">
        <f>IF(AJ974="","",MAX($AF$1:$AF974))</f>
        <v/>
      </c>
      <c r="AL974" t="str">
        <f t="shared" si="63"/>
        <v/>
      </c>
      <c r="AM974" t="str">
        <f>IF(AL974="","",MAX($AF$1:$AF974))</f>
        <v/>
      </c>
    </row>
    <row r="975" spans="1:39" ht="14.5" customHeight="1" x14ac:dyDescent="0.3">
      <c r="A975" s="12"/>
      <c r="B975" s="12"/>
      <c r="C975" s="2"/>
      <c r="D975" s="2"/>
      <c r="AB975" t="str" cm="1">
        <f t="array" ref="AB975">_xlfn._xlws.FILTER(A975:Z975,A975:Z975&lt;&gt;"","")</f>
        <v/>
      </c>
      <c r="AD975" t="str">
        <v/>
      </c>
      <c r="AE975" t="str">
        <v/>
      </c>
      <c r="AF975" t="str" cm="1">
        <f t="array" ref="AF975">IF(AD975="","",SUMPRODUCT(IF(LEFT($AD$1:AD975,2)="JS",1,0)))</f>
        <v/>
      </c>
      <c r="AG975" t="str">
        <f t="shared" si="60"/>
        <v/>
      </c>
      <c r="AH975" t="str">
        <f t="shared" si="61"/>
        <v/>
      </c>
      <c r="AI975" t="str">
        <f>IF(AH975="","",MAX($AF$1:$AF975))</f>
        <v/>
      </c>
      <c r="AJ975" t="str">
        <f t="shared" si="62"/>
        <v/>
      </c>
      <c r="AK975" t="str">
        <f>IF(AJ975="","",MAX($AF$1:$AF975))</f>
        <v/>
      </c>
      <c r="AL975" t="str">
        <f t="shared" si="63"/>
        <v/>
      </c>
      <c r="AM975" t="str">
        <f>IF(AL975="","",MAX($AF$1:$AF975))</f>
        <v/>
      </c>
    </row>
    <row r="976" spans="1:39" ht="13.5" customHeight="1" x14ac:dyDescent="0.3">
      <c r="A976" s="13" t="s">
        <v>2</v>
      </c>
      <c r="B976" s="13"/>
      <c r="C976" s="13"/>
      <c r="D976" s="13"/>
      <c r="AB976" t="str" cm="1">
        <f t="array" ref="AB976">_xlfn._xlws.FILTER(A976:Z976,A976:Z976&lt;&gt;"","")</f>
        <v>Category A: Core and Elective Subjects</v>
      </c>
      <c r="AD976" t="str">
        <v/>
      </c>
      <c r="AE976" t="str">
        <v/>
      </c>
      <c r="AF976" t="str" cm="1">
        <f t="array" ref="AF976">IF(AD976="","",SUMPRODUCT(IF(LEFT($AD$1:AD976,2)="JS",1,0)))</f>
        <v/>
      </c>
      <c r="AG976" t="str">
        <f t="shared" si="60"/>
        <v/>
      </c>
      <c r="AH976" t="str">
        <f t="shared" si="61"/>
        <v/>
      </c>
      <c r="AI976" t="str">
        <f>IF(AH976="","",MAX($AF$1:$AF976))</f>
        <v/>
      </c>
      <c r="AJ976" t="str">
        <f t="shared" si="62"/>
        <v/>
      </c>
      <c r="AK976" t="str">
        <f>IF(AJ976="","",MAX($AF$1:$AF976))</f>
        <v/>
      </c>
      <c r="AL976" t="str">
        <f t="shared" si="63"/>
        <v/>
      </c>
      <c r="AM976" t="str">
        <f>IF(AL976="","",MAX($AF$1:$AF976))</f>
        <v/>
      </c>
    </row>
    <row r="977" spans="1:39" ht="13.5" customHeight="1" x14ac:dyDescent="0.3">
      <c r="A977" s="14" t="s">
        <v>3</v>
      </c>
      <c r="B977" s="15"/>
      <c r="C977" s="16" t="s">
        <v>4</v>
      </c>
      <c r="D977" s="17"/>
      <c r="AB977" t="str" cm="1">
        <f t="array" ref="AB977:AC977">_xlfn._xlws.FILTER(A977:Z977,A977:Z977&lt;&gt;"","")</f>
        <v>Subject Name</v>
      </c>
      <c r="AC977" t="str">
        <v>Subject Weighting for 2023/24 Admission Exercise *</v>
      </c>
      <c r="AD977" t="str">
        <v/>
      </c>
      <c r="AE977" t="str">
        <v/>
      </c>
      <c r="AF977" t="str" cm="1">
        <f t="array" ref="AF977">IF(AD977="","",SUMPRODUCT(IF(LEFT($AD$1:AD977,2)="JS",1,0)))</f>
        <v/>
      </c>
      <c r="AG977" t="str">
        <f t="shared" si="60"/>
        <v/>
      </c>
      <c r="AH977" t="str">
        <f t="shared" si="61"/>
        <v/>
      </c>
      <c r="AI977" t="str">
        <f>IF(AH977="","",MAX($AF$1:$AF977))</f>
        <v/>
      </c>
      <c r="AJ977" t="str">
        <f t="shared" si="62"/>
        <v/>
      </c>
      <c r="AK977" t="str">
        <f>IF(AJ977="","",MAX($AF$1:$AF977))</f>
        <v/>
      </c>
      <c r="AL977" t="str">
        <f t="shared" si="63"/>
        <v/>
      </c>
      <c r="AM977" t="str">
        <f>IF(AL977="","",MAX($AF$1:$AF977))</f>
        <v/>
      </c>
    </row>
    <row r="978" spans="1:39" ht="13.5" customHeight="1" x14ac:dyDescent="0.3">
      <c r="A978" s="8" t="s">
        <v>211</v>
      </c>
      <c r="B978" s="9"/>
      <c r="C978" s="10">
        <v>7</v>
      </c>
      <c r="D978" s="11"/>
      <c r="AB978" t="str" cm="1">
        <f t="array" ref="AB978:AC978">_xlfn._xlws.FILTER(A978:Z978,A978:Z978&lt;&gt;"","")</f>
        <v>BIO</v>
      </c>
      <c r="AC978">
        <v>7</v>
      </c>
      <c r="AD978" t="str">
        <v/>
      </c>
      <c r="AE978" t="str">
        <v/>
      </c>
      <c r="AF978" t="str" cm="1">
        <f t="array" ref="AF978">IF(AD978="","",SUMPRODUCT(IF(LEFT($AD$1:AD978,2)="JS",1,0)))</f>
        <v/>
      </c>
      <c r="AG978" t="b">
        <f t="shared" si="60"/>
        <v>1</v>
      </c>
      <c r="AH978" t="str">
        <f t="shared" si="61"/>
        <v/>
      </c>
      <c r="AI978" t="str">
        <f>IF(AH978="","",MAX($AF$1:$AF978))</f>
        <v/>
      </c>
      <c r="AJ978" t="str">
        <f t="shared" si="62"/>
        <v>BIO</v>
      </c>
      <c r="AK978">
        <f>IF(AJ978="","",MAX($AF$1:$AF978))</f>
        <v>20</v>
      </c>
      <c r="AL978" t="str">
        <f t="shared" si="63"/>
        <v/>
      </c>
      <c r="AM978" t="str">
        <f>IF(AL978="","",MAX($AF$1:$AF978))</f>
        <v/>
      </c>
    </row>
    <row r="979" spans="1:39" ht="13.5" customHeight="1" x14ac:dyDescent="0.3">
      <c r="A979" s="8" t="s">
        <v>213</v>
      </c>
      <c r="B979" s="9"/>
      <c r="C979" s="10">
        <v>7</v>
      </c>
      <c r="D979" s="11"/>
      <c r="AB979" t="str" cm="1">
        <f t="array" ref="AB979:AC979">_xlfn._xlws.FILTER(A979:Z979,A979:Z979&lt;&gt;"","")</f>
        <v>BAFS</v>
      </c>
      <c r="AC979">
        <v>7</v>
      </c>
      <c r="AD979" t="str">
        <v/>
      </c>
      <c r="AE979" t="str">
        <v/>
      </c>
      <c r="AF979" t="str" cm="1">
        <f t="array" ref="AF979">IF(AD979="","",SUMPRODUCT(IF(LEFT($AD$1:AD979,2)="JS",1,0)))</f>
        <v/>
      </c>
      <c r="AG979" t="b">
        <f t="shared" si="60"/>
        <v>1</v>
      </c>
      <c r="AH979" t="str">
        <f t="shared" si="61"/>
        <v/>
      </c>
      <c r="AI979" t="str">
        <f>IF(AH979="","",MAX($AF$1:$AF979))</f>
        <v/>
      </c>
      <c r="AJ979" t="str">
        <f t="shared" si="62"/>
        <v>BAFS</v>
      </c>
      <c r="AK979">
        <f>IF(AJ979="","",MAX($AF$1:$AF979))</f>
        <v>20</v>
      </c>
      <c r="AL979" t="str">
        <f t="shared" si="63"/>
        <v/>
      </c>
      <c r="AM979" t="str">
        <f>IF(AL979="","",MAX($AF$1:$AF979))</f>
        <v/>
      </c>
    </row>
    <row r="980" spans="1:39" ht="13.5" customHeight="1" x14ac:dyDescent="0.3">
      <c r="A980" s="8" t="s">
        <v>5</v>
      </c>
      <c r="B980" s="9"/>
      <c r="C980" s="10">
        <v>7</v>
      </c>
      <c r="D980" s="11"/>
      <c r="AB980" t="str" cm="1">
        <f t="array" ref="AB980:AC980">_xlfn._xlws.FILTER(A980:Z980,A980:Z980&lt;&gt;"","")</f>
        <v>Business, Accounting and Financial Studies (Accounting)</v>
      </c>
      <c r="AC980">
        <v>7</v>
      </c>
      <c r="AD980" t="str">
        <v/>
      </c>
      <c r="AE980" t="str">
        <v/>
      </c>
      <c r="AF980" t="str" cm="1">
        <f t="array" ref="AF980">IF(AD980="","",SUMPRODUCT(IF(LEFT($AD$1:AD980,2)="JS",1,0)))</f>
        <v/>
      </c>
      <c r="AG980" t="str">
        <f t="shared" si="60"/>
        <v/>
      </c>
      <c r="AH980" t="str">
        <f t="shared" si="61"/>
        <v/>
      </c>
      <c r="AI980" t="str">
        <f>IF(AH980="","",MAX($AF$1:$AF980))</f>
        <v/>
      </c>
      <c r="AJ980" t="str">
        <f t="shared" si="62"/>
        <v/>
      </c>
      <c r="AK980" t="str">
        <f>IF(AJ980="","",MAX($AF$1:$AF980))</f>
        <v/>
      </c>
      <c r="AL980" t="str">
        <f t="shared" si="63"/>
        <v/>
      </c>
      <c r="AM980" t="str">
        <f>IF(AL980="","",MAX($AF$1:$AF980))</f>
        <v/>
      </c>
    </row>
    <row r="981" spans="1:39" ht="13.5" customHeight="1" x14ac:dyDescent="0.3">
      <c r="A981" s="8" t="s">
        <v>6</v>
      </c>
      <c r="B981" s="9"/>
      <c r="C981" s="10">
        <v>7</v>
      </c>
      <c r="D981" s="11"/>
      <c r="AB981" t="str" cm="1">
        <f t="array" ref="AB981:AC981">_xlfn._xlws.FILTER(A981:Z981,A981:Z981&lt;&gt;"","")</f>
        <v>Business, Accounting and Financial Studies (Business Management)</v>
      </c>
      <c r="AC981">
        <v>7</v>
      </c>
      <c r="AD981" t="str">
        <v/>
      </c>
      <c r="AE981" t="str">
        <v/>
      </c>
      <c r="AF981" t="str" cm="1">
        <f t="array" ref="AF981">IF(AD981="","",SUMPRODUCT(IF(LEFT($AD$1:AD981,2)="JS",1,0)))</f>
        <v/>
      </c>
      <c r="AG981" t="str">
        <f t="shared" si="60"/>
        <v/>
      </c>
      <c r="AH981" t="str">
        <f t="shared" si="61"/>
        <v/>
      </c>
      <c r="AI981" t="str">
        <f>IF(AH981="","",MAX($AF$1:$AF981))</f>
        <v/>
      </c>
      <c r="AJ981" t="str">
        <f t="shared" si="62"/>
        <v/>
      </c>
      <c r="AK981" t="str">
        <f>IF(AJ981="","",MAX($AF$1:$AF981))</f>
        <v/>
      </c>
      <c r="AL981" t="str">
        <f t="shared" si="63"/>
        <v/>
      </c>
      <c r="AM981" t="str">
        <f>IF(AL981="","",MAX($AF$1:$AF981))</f>
        <v/>
      </c>
    </row>
    <row r="982" spans="1:39" ht="13.5" customHeight="1" x14ac:dyDescent="0.3">
      <c r="A982" s="8" t="s">
        <v>212</v>
      </c>
      <c r="B982" s="9"/>
      <c r="C982" s="10">
        <v>7</v>
      </c>
      <c r="D982" s="11"/>
      <c r="AB982" t="str" cm="1">
        <f t="array" ref="AB982:AC982">_xlfn._xlws.FILTER(A982:Z982,A982:Z982&lt;&gt;"","")</f>
        <v>CHEM</v>
      </c>
      <c r="AC982">
        <v>7</v>
      </c>
      <c r="AD982" t="str">
        <v/>
      </c>
      <c r="AE982" t="str">
        <v/>
      </c>
      <c r="AF982" t="str" cm="1">
        <f t="array" ref="AF982">IF(AD982="","",SUMPRODUCT(IF(LEFT($AD$1:AD982,2)="JS",1,0)))</f>
        <v/>
      </c>
      <c r="AG982" t="b">
        <f t="shared" si="60"/>
        <v>1</v>
      </c>
      <c r="AH982" t="str">
        <f t="shared" si="61"/>
        <v/>
      </c>
      <c r="AI982" t="str">
        <f>IF(AH982="","",MAX($AF$1:$AF982))</f>
        <v/>
      </c>
      <c r="AJ982" t="str">
        <f t="shared" si="62"/>
        <v>CHEM</v>
      </c>
      <c r="AK982">
        <f>IF(AJ982="","",MAX($AF$1:$AF982))</f>
        <v>20</v>
      </c>
      <c r="AL982" t="str">
        <f t="shared" si="63"/>
        <v/>
      </c>
      <c r="AM982" t="str">
        <f>IF(AL982="","",MAX($AF$1:$AF982))</f>
        <v/>
      </c>
    </row>
    <row r="983" spans="1:39" ht="13.5" customHeight="1" x14ac:dyDescent="0.3">
      <c r="A983" s="8" t="s">
        <v>214</v>
      </c>
      <c r="B983" s="9"/>
      <c r="C983" s="10">
        <v>7</v>
      </c>
      <c r="D983" s="11"/>
      <c r="AB983" t="str" cm="1">
        <f t="array" ref="AB983:AC983">_xlfn._xlws.FILTER(A983:Z983,A983:Z983&lt;&gt;"","")</f>
        <v>中史</v>
      </c>
      <c r="AC983">
        <v>7</v>
      </c>
      <c r="AD983" t="str">
        <v/>
      </c>
      <c r="AE983" t="str">
        <v/>
      </c>
      <c r="AF983" t="str" cm="1">
        <f t="array" ref="AF983">IF(AD983="","",SUMPRODUCT(IF(LEFT($AD$1:AD983,2)="JS",1,0)))</f>
        <v/>
      </c>
      <c r="AG983" t="b">
        <f t="shared" si="60"/>
        <v>1</v>
      </c>
      <c r="AH983" t="str">
        <f t="shared" si="61"/>
        <v/>
      </c>
      <c r="AI983" t="str">
        <f>IF(AH983="","",MAX($AF$1:$AF983))</f>
        <v/>
      </c>
      <c r="AJ983" t="str">
        <f t="shared" si="62"/>
        <v>中史</v>
      </c>
      <c r="AK983">
        <f>IF(AJ983="","",MAX($AF$1:$AF983))</f>
        <v>20</v>
      </c>
      <c r="AL983" t="str">
        <f t="shared" si="63"/>
        <v/>
      </c>
      <c r="AM983" t="str">
        <f>IF(AL983="","",MAX($AF$1:$AF983))</f>
        <v/>
      </c>
    </row>
    <row r="984" spans="1:39" ht="13.5" customHeight="1" x14ac:dyDescent="0.3">
      <c r="A984" s="8" t="s">
        <v>216</v>
      </c>
      <c r="B984" s="9"/>
      <c r="C984" s="10">
        <v>10</v>
      </c>
      <c r="D984" s="11"/>
      <c r="AB984" t="str" cm="1">
        <f t="array" ref="AB984:AC984">_xlfn._xlws.FILTER(A984:Z984,A984:Z984&lt;&gt;"","")</f>
        <v>中文</v>
      </c>
      <c r="AC984">
        <v>10</v>
      </c>
      <c r="AD984" t="str">
        <v/>
      </c>
      <c r="AE984" t="str">
        <v/>
      </c>
      <c r="AF984" t="str" cm="1">
        <f t="array" ref="AF984">IF(AD984="","",SUMPRODUCT(IF(LEFT($AD$1:AD984,2)="JS",1,0)))</f>
        <v/>
      </c>
      <c r="AG984" t="b">
        <f t="shared" si="60"/>
        <v>1</v>
      </c>
      <c r="AH984" t="str">
        <f t="shared" si="61"/>
        <v>中文</v>
      </c>
      <c r="AI984">
        <f>IF(AH984="","",MAX($AF$1:$AF984))</f>
        <v>20</v>
      </c>
      <c r="AJ984" t="str">
        <f t="shared" si="62"/>
        <v/>
      </c>
      <c r="AK984" t="str">
        <f>IF(AJ984="","",MAX($AF$1:$AF984))</f>
        <v/>
      </c>
      <c r="AL984" t="str">
        <f t="shared" si="63"/>
        <v/>
      </c>
      <c r="AM984" t="str">
        <f>IF(AL984="","",MAX($AF$1:$AF984))</f>
        <v/>
      </c>
    </row>
    <row r="985" spans="1:39" ht="13.5" customHeight="1" x14ac:dyDescent="0.3">
      <c r="A985" s="8" t="s">
        <v>7</v>
      </c>
      <c r="B985" s="9"/>
      <c r="C985" s="10">
        <v>7</v>
      </c>
      <c r="D985" s="11"/>
      <c r="AB985" t="str" cm="1">
        <f t="array" ref="AB985:AC985">_xlfn._xlws.FILTER(A985:Z985,A985:Z985&lt;&gt;"","")</f>
        <v>Chinese Literature</v>
      </c>
      <c r="AC985">
        <v>7</v>
      </c>
      <c r="AD985" t="str">
        <v/>
      </c>
      <c r="AE985" t="str">
        <v/>
      </c>
      <c r="AF985" t="str" cm="1">
        <f t="array" ref="AF985">IF(AD985="","",SUMPRODUCT(IF(LEFT($AD$1:AD985,2)="JS",1,0)))</f>
        <v/>
      </c>
      <c r="AG985" t="str">
        <f t="shared" si="60"/>
        <v/>
      </c>
      <c r="AH985" t="str">
        <f t="shared" si="61"/>
        <v/>
      </c>
      <c r="AI985" t="str">
        <f>IF(AH985="","",MAX($AF$1:$AF985))</f>
        <v/>
      </c>
      <c r="AJ985" t="str">
        <f t="shared" si="62"/>
        <v/>
      </c>
      <c r="AK985" t="str">
        <f>IF(AJ985="","",MAX($AF$1:$AF985))</f>
        <v/>
      </c>
      <c r="AL985" t="str">
        <f t="shared" si="63"/>
        <v/>
      </c>
      <c r="AM985" t="str">
        <f>IF(AL985="","",MAX($AF$1:$AF985))</f>
        <v/>
      </c>
    </row>
    <row r="986" spans="1:39" ht="13.5" customHeight="1" x14ac:dyDescent="0.3">
      <c r="A986" s="8" t="s">
        <v>8</v>
      </c>
      <c r="B986" s="9"/>
      <c r="C986" s="10">
        <v>7</v>
      </c>
      <c r="D986" s="11"/>
      <c r="AB986" t="str" cm="1">
        <f t="array" ref="AB986:AC986">_xlfn._xlws.FILTER(A986:Z986,A986:Z986&lt;&gt;"","")</f>
        <v>Combined Science: Biology + Chemistry</v>
      </c>
      <c r="AC986">
        <v>7</v>
      </c>
      <c r="AD986" t="str">
        <v/>
      </c>
      <c r="AE986" t="str">
        <v/>
      </c>
      <c r="AF986" t="str" cm="1">
        <f t="array" ref="AF986">IF(AD986="","",SUMPRODUCT(IF(LEFT($AD$1:AD986,2)="JS",1,0)))</f>
        <v/>
      </c>
      <c r="AG986" t="str">
        <f t="shared" si="60"/>
        <v/>
      </c>
      <c r="AH986" t="str">
        <f t="shared" si="61"/>
        <v/>
      </c>
      <c r="AI986" t="str">
        <f>IF(AH986="","",MAX($AF$1:$AF986))</f>
        <v/>
      </c>
      <c r="AJ986" t="str">
        <f t="shared" si="62"/>
        <v/>
      </c>
      <c r="AK986" t="str">
        <f>IF(AJ986="","",MAX($AF$1:$AF986))</f>
        <v/>
      </c>
      <c r="AL986" t="str">
        <f t="shared" si="63"/>
        <v/>
      </c>
      <c r="AM986" t="str">
        <f>IF(AL986="","",MAX($AF$1:$AF986))</f>
        <v/>
      </c>
    </row>
    <row r="987" spans="1:39" ht="13.5" customHeight="1" x14ac:dyDescent="0.3">
      <c r="A987" s="8" t="s">
        <v>9</v>
      </c>
      <c r="B987" s="9"/>
      <c r="C987" s="10">
        <v>7</v>
      </c>
      <c r="D987" s="11"/>
      <c r="AB987" t="str" cm="1">
        <f t="array" ref="AB987:AC987">_xlfn._xlws.FILTER(A987:Z987,A987:Z987&lt;&gt;"","")</f>
        <v>Combined Science: Biology + Physics</v>
      </c>
      <c r="AC987">
        <v>7</v>
      </c>
      <c r="AD987" t="str">
        <v/>
      </c>
      <c r="AE987" t="str">
        <v/>
      </c>
      <c r="AF987" t="str" cm="1">
        <f t="array" ref="AF987">IF(AD987="","",SUMPRODUCT(IF(LEFT($AD$1:AD987,2)="JS",1,0)))</f>
        <v/>
      </c>
      <c r="AG987" t="str">
        <f t="shared" si="60"/>
        <v/>
      </c>
      <c r="AH987" t="str">
        <f t="shared" si="61"/>
        <v/>
      </c>
      <c r="AI987" t="str">
        <f>IF(AH987="","",MAX($AF$1:$AF987))</f>
        <v/>
      </c>
      <c r="AJ987" t="str">
        <f t="shared" si="62"/>
        <v/>
      </c>
      <c r="AK987" t="str">
        <f>IF(AJ987="","",MAX($AF$1:$AF987))</f>
        <v/>
      </c>
      <c r="AL987" t="str">
        <f t="shared" si="63"/>
        <v/>
      </c>
      <c r="AM987" t="str">
        <f>IF(AL987="","",MAX($AF$1:$AF987))</f>
        <v/>
      </c>
    </row>
    <row r="988" spans="1:39" ht="13.5" customHeight="1" x14ac:dyDescent="0.3">
      <c r="A988" s="8" t="s">
        <v>10</v>
      </c>
      <c r="B988" s="9"/>
      <c r="C988" s="10">
        <v>7</v>
      </c>
      <c r="D988" s="11"/>
      <c r="AB988" t="str" cm="1">
        <f t="array" ref="AB988:AC988">_xlfn._xlws.FILTER(A988:Z988,A988:Z988&lt;&gt;"","")</f>
        <v>Combined Science: Physics + Chemistry</v>
      </c>
      <c r="AC988">
        <v>7</v>
      </c>
      <c r="AD988" t="str">
        <v/>
      </c>
      <c r="AE988" t="str">
        <v/>
      </c>
      <c r="AF988" t="str" cm="1">
        <f t="array" ref="AF988">IF(AD988="","",SUMPRODUCT(IF(LEFT($AD$1:AD988,2)="JS",1,0)))</f>
        <v/>
      </c>
      <c r="AG988" t="str">
        <f t="shared" si="60"/>
        <v/>
      </c>
      <c r="AH988" t="str">
        <f t="shared" si="61"/>
        <v/>
      </c>
      <c r="AI988" t="str">
        <f>IF(AH988="","",MAX($AF$1:$AF988))</f>
        <v/>
      </c>
      <c r="AJ988" t="str">
        <f t="shared" si="62"/>
        <v/>
      </c>
      <c r="AK988" t="str">
        <f>IF(AJ988="","",MAX($AF$1:$AF988))</f>
        <v/>
      </c>
      <c r="AL988" t="str">
        <f t="shared" si="63"/>
        <v/>
      </c>
      <c r="AM988" t="str">
        <f>IF(AL988="","",MAX($AF$1:$AF988))</f>
        <v/>
      </c>
    </row>
    <row r="989" spans="1:39" ht="13.5" customHeight="1" x14ac:dyDescent="0.3">
      <c r="A989" s="8" t="s">
        <v>11</v>
      </c>
      <c r="B989" s="9"/>
      <c r="C989" s="10">
        <v>5</v>
      </c>
      <c r="D989" s="11"/>
      <c r="AB989" t="str" cm="1">
        <f t="array" ref="AB989:AC989">_xlfn._xlws.FILTER(A989:Z989,A989:Z989&lt;&gt;"","")</f>
        <v>Design and Applied Technology</v>
      </c>
      <c r="AC989">
        <v>5</v>
      </c>
      <c r="AD989" t="str">
        <v/>
      </c>
      <c r="AE989" t="str">
        <v/>
      </c>
      <c r="AF989" t="str" cm="1">
        <f t="array" ref="AF989">IF(AD989="","",SUMPRODUCT(IF(LEFT($AD$1:AD989,2)="JS",1,0)))</f>
        <v/>
      </c>
      <c r="AG989" t="str">
        <f t="shared" si="60"/>
        <v/>
      </c>
      <c r="AH989" t="str">
        <f t="shared" si="61"/>
        <v/>
      </c>
      <c r="AI989" t="str">
        <f>IF(AH989="","",MAX($AF$1:$AF989))</f>
        <v/>
      </c>
      <c r="AJ989" t="str">
        <f t="shared" si="62"/>
        <v/>
      </c>
      <c r="AK989" t="str">
        <f>IF(AJ989="","",MAX($AF$1:$AF989))</f>
        <v/>
      </c>
      <c r="AL989" t="str">
        <f t="shared" si="63"/>
        <v/>
      </c>
      <c r="AM989" t="str">
        <f>IF(AL989="","",MAX($AF$1:$AF989))</f>
        <v/>
      </c>
    </row>
    <row r="990" spans="1:39" ht="13.5" customHeight="1" x14ac:dyDescent="0.3">
      <c r="A990" s="8" t="s">
        <v>217</v>
      </c>
      <c r="B990" s="9"/>
      <c r="C990" s="10">
        <v>7</v>
      </c>
      <c r="D990" s="11"/>
      <c r="AB990" t="str" cm="1">
        <f t="array" ref="AB990:AC990">_xlfn._xlws.FILTER(A990:Z990,A990:Z990&lt;&gt;"","")</f>
        <v>ECON</v>
      </c>
      <c r="AC990">
        <v>7</v>
      </c>
      <c r="AD990" t="str">
        <v/>
      </c>
      <c r="AE990" t="str">
        <v/>
      </c>
      <c r="AF990" t="str" cm="1">
        <f t="array" ref="AF990">IF(AD990="","",SUMPRODUCT(IF(LEFT($AD$1:AD990,2)="JS",1,0)))</f>
        <v/>
      </c>
      <c r="AG990" t="b">
        <f t="shared" si="60"/>
        <v>1</v>
      </c>
      <c r="AH990" t="str">
        <f t="shared" si="61"/>
        <v/>
      </c>
      <c r="AI990" t="str">
        <f>IF(AH990="","",MAX($AF$1:$AF990))</f>
        <v/>
      </c>
      <c r="AJ990" t="str">
        <f t="shared" si="62"/>
        <v>ECON</v>
      </c>
      <c r="AK990">
        <f>IF(AJ990="","",MAX($AF$1:$AF990))</f>
        <v>20</v>
      </c>
      <c r="AL990" t="str">
        <f t="shared" si="63"/>
        <v/>
      </c>
      <c r="AM990" t="str">
        <f>IF(AL990="","",MAX($AF$1:$AF990))</f>
        <v/>
      </c>
    </row>
    <row r="991" spans="1:39" ht="13.5" customHeight="1" x14ac:dyDescent="0.3">
      <c r="A991" s="8" t="s">
        <v>218</v>
      </c>
      <c r="B991" s="9"/>
      <c r="C991" s="10">
        <v>10</v>
      </c>
      <c r="D991" s="11"/>
      <c r="AB991" t="str" cm="1">
        <f t="array" ref="AB991:AC991">_xlfn._xlws.FILTER(A991:Z991,A991:Z991&lt;&gt;"","")</f>
        <v>ENG</v>
      </c>
      <c r="AC991">
        <v>10</v>
      </c>
      <c r="AD991" t="str">
        <v/>
      </c>
      <c r="AE991" t="str">
        <v/>
      </c>
      <c r="AF991" t="str" cm="1">
        <f t="array" ref="AF991">IF(AD991="","",SUMPRODUCT(IF(LEFT($AD$1:AD991,2)="JS",1,0)))</f>
        <v/>
      </c>
      <c r="AG991" t="b">
        <f t="shared" si="60"/>
        <v>1</v>
      </c>
      <c r="AH991" t="str">
        <f t="shared" si="61"/>
        <v>ENG</v>
      </c>
      <c r="AI991">
        <f>IF(AH991="","",MAX($AF$1:$AF991))</f>
        <v>20</v>
      </c>
      <c r="AJ991" t="str">
        <f t="shared" si="62"/>
        <v/>
      </c>
      <c r="AK991" t="str">
        <f>IF(AJ991="","",MAX($AF$1:$AF991))</f>
        <v/>
      </c>
      <c r="AL991" t="str">
        <f t="shared" si="63"/>
        <v/>
      </c>
      <c r="AM991" t="str">
        <f>IF(AL991="","",MAX($AF$1:$AF991))</f>
        <v/>
      </c>
    </row>
    <row r="992" spans="1:39" ht="13.5" customHeight="1" x14ac:dyDescent="0.3">
      <c r="A992" s="8" t="s">
        <v>12</v>
      </c>
      <c r="B992" s="9"/>
      <c r="C992" s="10">
        <v>7</v>
      </c>
      <c r="D992" s="11"/>
      <c r="AB992" t="str" cm="1">
        <f t="array" ref="AB992:AC992">_xlfn._xlws.FILTER(A992:Z992,A992:Z992&lt;&gt;"","")</f>
        <v>Ethics and Religious Studies</v>
      </c>
      <c r="AC992">
        <v>7</v>
      </c>
      <c r="AD992" t="str">
        <v/>
      </c>
      <c r="AE992" t="str">
        <v/>
      </c>
      <c r="AF992" t="str" cm="1">
        <f t="array" ref="AF992">IF(AD992="","",SUMPRODUCT(IF(LEFT($AD$1:AD992,2)="JS",1,0)))</f>
        <v/>
      </c>
      <c r="AG992" t="str">
        <f t="shared" si="60"/>
        <v/>
      </c>
      <c r="AH992" t="str">
        <f t="shared" si="61"/>
        <v/>
      </c>
      <c r="AI992" t="str">
        <f>IF(AH992="","",MAX($AF$1:$AF992))</f>
        <v/>
      </c>
      <c r="AJ992" t="str">
        <f t="shared" si="62"/>
        <v/>
      </c>
      <c r="AK992" t="str">
        <f>IF(AJ992="","",MAX($AF$1:$AF992))</f>
        <v/>
      </c>
      <c r="AL992" t="str">
        <f t="shared" si="63"/>
        <v/>
      </c>
      <c r="AM992" t="str">
        <f>IF(AL992="","",MAX($AF$1:$AF992))</f>
        <v/>
      </c>
    </row>
    <row r="993" spans="1:39" ht="13.5" customHeight="1" x14ac:dyDescent="0.3">
      <c r="A993" s="8" t="s">
        <v>219</v>
      </c>
      <c r="B993" s="9"/>
      <c r="C993" s="10">
        <v>7</v>
      </c>
      <c r="D993" s="11"/>
      <c r="AB993" t="str" cm="1">
        <f t="array" ref="AB993:AC993">_xlfn._xlws.FILTER(A993:Z993,A993:Z993&lt;&gt;"","")</f>
        <v>GEOG</v>
      </c>
      <c r="AC993">
        <v>7</v>
      </c>
      <c r="AD993" t="str">
        <v/>
      </c>
      <c r="AE993" t="str">
        <v/>
      </c>
      <c r="AF993" t="str" cm="1">
        <f t="array" ref="AF993">IF(AD993="","",SUMPRODUCT(IF(LEFT($AD$1:AD993,2)="JS",1,0)))</f>
        <v/>
      </c>
      <c r="AG993" t="b">
        <f t="shared" si="60"/>
        <v>1</v>
      </c>
      <c r="AH993" t="str">
        <f t="shared" si="61"/>
        <v/>
      </c>
      <c r="AI993" t="str">
        <f>IF(AH993="","",MAX($AF$1:$AF993))</f>
        <v/>
      </c>
      <c r="AJ993" t="str">
        <f t="shared" si="62"/>
        <v>GEOG</v>
      </c>
      <c r="AK993">
        <f>IF(AJ993="","",MAX($AF$1:$AF993))</f>
        <v>20</v>
      </c>
      <c r="AL993" t="str">
        <f t="shared" si="63"/>
        <v/>
      </c>
      <c r="AM993" t="str">
        <f>IF(AL993="","",MAX($AF$1:$AF993))</f>
        <v/>
      </c>
    </row>
    <row r="994" spans="1:39" ht="13.5" customHeight="1" x14ac:dyDescent="0.3">
      <c r="A994" s="8" t="s">
        <v>220</v>
      </c>
      <c r="B994" s="9"/>
      <c r="C994" s="10">
        <v>7</v>
      </c>
      <c r="D994" s="11"/>
      <c r="AB994" t="str" cm="1">
        <f t="array" ref="AB994:AC994">_xlfn._xlws.FILTER(A994:Z994,A994:Z994&lt;&gt;"","")</f>
        <v>HMSC</v>
      </c>
      <c r="AC994">
        <v>7</v>
      </c>
      <c r="AD994" t="str">
        <v/>
      </c>
      <c r="AE994" t="str">
        <v/>
      </c>
      <c r="AF994" t="str" cm="1">
        <f t="array" ref="AF994">IF(AD994="","",SUMPRODUCT(IF(LEFT($AD$1:AD994,2)="JS",1,0)))</f>
        <v/>
      </c>
      <c r="AG994" t="b">
        <f t="shared" si="60"/>
        <v>1</v>
      </c>
      <c r="AH994" t="str">
        <f t="shared" si="61"/>
        <v/>
      </c>
      <c r="AI994" t="str">
        <f>IF(AH994="","",MAX($AF$1:$AF994))</f>
        <v/>
      </c>
      <c r="AJ994" t="str">
        <f t="shared" si="62"/>
        <v>HMSC</v>
      </c>
      <c r="AK994">
        <f>IF(AJ994="","",MAX($AF$1:$AF994))</f>
        <v>20</v>
      </c>
      <c r="AL994" t="str">
        <f t="shared" si="63"/>
        <v/>
      </c>
      <c r="AM994" t="str">
        <f>IF(AL994="","",MAX($AF$1:$AF994))</f>
        <v/>
      </c>
    </row>
    <row r="995" spans="1:39" ht="13.5" customHeight="1" x14ac:dyDescent="0.3">
      <c r="A995" s="8" t="s">
        <v>221</v>
      </c>
      <c r="B995" s="9"/>
      <c r="C995" s="10">
        <v>7</v>
      </c>
      <c r="D995" s="11"/>
      <c r="AB995" t="str" cm="1">
        <f t="array" ref="AB995:AC995">_xlfn._xlws.FILTER(A995:Z995,A995:Z995&lt;&gt;"","")</f>
        <v>HIST</v>
      </c>
      <c r="AC995">
        <v>7</v>
      </c>
      <c r="AD995" t="str">
        <v/>
      </c>
      <c r="AE995" t="str">
        <v/>
      </c>
      <c r="AF995" t="str" cm="1">
        <f t="array" ref="AF995">IF(AD995="","",SUMPRODUCT(IF(LEFT($AD$1:AD995,2)="JS",1,0)))</f>
        <v/>
      </c>
      <c r="AG995" t="b">
        <f t="shared" si="60"/>
        <v>1</v>
      </c>
      <c r="AH995" t="str">
        <f t="shared" si="61"/>
        <v/>
      </c>
      <c r="AI995" t="str">
        <f>IF(AH995="","",MAX($AF$1:$AF995))</f>
        <v/>
      </c>
      <c r="AJ995" t="str">
        <f t="shared" si="62"/>
        <v>HIST</v>
      </c>
      <c r="AK995">
        <f>IF(AJ995="","",MAX($AF$1:$AF995))</f>
        <v>20</v>
      </c>
      <c r="AL995" t="str">
        <f t="shared" si="63"/>
        <v/>
      </c>
      <c r="AM995" t="str">
        <f>IF(AL995="","",MAX($AF$1:$AF995))</f>
        <v/>
      </c>
    </row>
    <row r="996" spans="1:39" ht="13.5" customHeight="1" x14ac:dyDescent="0.3">
      <c r="A996" s="8" t="s">
        <v>222</v>
      </c>
      <c r="B996" s="9"/>
      <c r="C996" s="10">
        <v>7</v>
      </c>
      <c r="D996" s="11"/>
      <c r="AB996" t="str" cm="1">
        <f t="array" ref="AB996:AC996">_xlfn._xlws.FILTER(A996:Z996,A996:Z996&lt;&gt;"","")</f>
        <v>ICT</v>
      </c>
      <c r="AC996">
        <v>7</v>
      </c>
      <c r="AD996" t="str">
        <v/>
      </c>
      <c r="AE996" t="str">
        <v/>
      </c>
      <c r="AF996" t="str" cm="1">
        <f t="array" ref="AF996">IF(AD996="","",SUMPRODUCT(IF(LEFT($AD$1:AD996,2)="JS",1,0)))</f>
        <v/>
      </c>
      <c r="AG996" t="b">
        <f t="shared" si="60"/>
        <v>1</v>
      </c>
      <c r="AH996" t="str">
        <f t="shared" si="61"/>
        <v/>
      </c>
      <c r="AI996" t="str">
        <f>IF(AH996="","",MAX($AF$1:$AF996))</f>
        <v/>
      </c>
      <c r="AJ996" t="str">
        <f t="shared" si="62"/>
        <v>ICT</v>
      </c>
      <c r="AK996">
        <f>IF(AJ996="","",MAX($AF$1:$AF996))</f>
        <v>20</v>
      </c>
      <c r="AL996" t="str">
        <f t="shared" si="63"/>
        <v/>
      </c>
      <c r="AM996" t="str">
        <f>IF(AL996="","",MAX($AF$1:$AF996))</f>
        <v/>
      </c>
    </row>
    <row r="997" spans="1:39" ht="13.5" customHeight="1" x14ac:dyDescent="0.3">
      <c r="A997" s="8" t="s">
        <v>13</v>
      </c>
      <c r="B997" s="9"/>
      <c r="C997" s="10">
        <v>7</v>
      </c>
      <c r="D997" s="11"/>
      <c r="AB997" t="str" cm="1">
        <f t="array" ref="AB997:AC997">_xlfn._xlws.FILTER(A997:Z997,A997:Z997&lt;&gt;"","")</f>
        <v>Integrated Science</v>
      </c>
      <c r="AC997">
        <v>7</v>
      </c>
      <c r="AD997" t="str">
        <v/>
      </c>
      <c r="AE997" t="str">
        <v/>
      </c>
      <c r="AF997" t="str" cm="1">
        <f t="array" ref="AF997">IF(AD997="","",SUMPRODUCT(IF(LEFT($AD$1:AD997,2)="JS",1,0)))</f>
        <v/>
      </c>
      <c r="AG997" t="str">
        <f t="shared" si="60"/>
        <v/>
      </c>
      <c r="AH997" t="str">
        <f t="shared" si="61"/>
        <v/>
      </c>
      <c r="AI997" t="str">
        <f>IF(AH997="","",MAX($AF$1:$AF997))</f>
        <v/>
      </c>
      <c r="AJ997" t="str">
        <f t="shared" si="62"/>
        <v/>
      </c>
      <c r="AK997" t="str">
        <f>IF(AJ997="","",MAX($AF$1:$AF997))</f>
        <v/>
      </c>
      <c r="AL997" t="str">
        <f t="shared" si="63"/>
        <v/>
      </c>
      <c r="AM997" t="str">
        <f>IF(AL997="","",MAX($AF$1:$AF997))</f>
        <v/>
      </c>
    </row>
    <row r="998" spans="1:39" ht="13.5" customHeight="1" x14ac:dyDescent="0.3">
      <c r="A998" s="8" t="s">
        <v>223</v>
      </c>
      <c r="B998" s="9"/>
      <c r="C998" s="10">
        <v>7</v>
      </c>
      <c r="D998" s="11"/>
      <c r="AB998" t="str" cm="1">
        <f t="array" ref="AB998:AC998">_xlfn._xlws.FILTER(A998:Z998,A998:Z998&lt;&gt;"","")</f>
        <v>通</v>
      </c>
      <c r="AC998">
        <v>7</v>
      </c>
      <c r="AD998" t="str">
        <v/>
      </c>
      <c r="AE998" t="str">
        <v/>
      </c>
      <c r="AF998" t="str" cm="1">
        <f t="array" ref="AF998">IF(AD998="","",SUMPRODUCT(IF(LEFT($AD$1:AD998,2)="JS",1,0)))</f>
        <v/>
      </c>
      <c r="AG998" t="b">
        <f t="shared" si="60"/>
        <v>1</v>
      </c>
      <c r="AH998" t="str">
        <f t="shared" si="61"/>
        <v/>
      </c>
      <c r="AI998" t="str">
        <f>IF(AH998="","",MAX($AF$1:$AF998))</f>
        <v/>
      </c>
      <c r="AJ998" t="str">
        <f t="shared" si="62"/>
        <v>通</v>
      </c>
      <c r="AK998">
        <f>IF(AJ998="","",MAX($AF$1:$AF998))</f>
        <v>20</v>
      </c>
      <c r="AL998" t="str">
        <f t="shared" si="63"/>
        <v/>
      </c>
      <c r="AM998" t="str">
        <f>IF(AL998="","",MAX($AF$1:$AF998))</f>
        <v/>
      </c>
    </row>
    <row r="999" spans="1:39" ht="13.5" customHeight="1" x14ac:dyDescent="0.3">
      <c r="A999" s="8" t="s">
        <v>14</v>
      </c>
      <c r="B999" s="9"/>
      <c r="C999" s="10">
        <v>7</v>
      </c>
      <c r="D999" s="11"/>
      <c r="AB999" t="str" cm="1">
        <f t="array" ref="AB999:AC999">_xlfn._xlws.FILTER(A999:Z999,A999:Z999&lt;&gt;"","")</f>
        <v>Literature in English</v>
      </c>
      <c r="AC999">
        <v>7</v>
      </c>
      <c r="AD999" t="str">
        <v/>
      </c>
      <c r="AE999" t="str">
        <v/>
      </c>
      <c r="AF999" t="str" cm="1">
        <f t="array" ref="AF999">IF(AD999="","",SUMPRODUCT(IF(LEFT($AD$1:AD999,2)="JS",1,0)))</f>
        <v/>
      </c>
      <c r="AG999" t="str">
        <f t="shared" si="60"/>
        <v/>
      </c>
      <c r="AH999" t="str">
        <f t="shared" si="61"/>
        <v/>
      </c>
      <c r="AI999" t="str">
        <f>IF(AH999="","",MAX($AF$1:$AF999))</f>
        <v/>
      </c>
      <c r="AJ999" t="str">
        <f t="shared" si="62"/>
        <v/>
      </c>
      <c r="AK999" t="str">
        <f>IF(AJ999="","",MAX($AF$1:$AF999))</f>
        <v/>
      </c>
      <c r="AL999" t="str">
        <f t="shared" si="63"/>
        <v/>
      </c>
      <c r="AM999" t="str">
        <f>IF(AL999="","",MAX($AF$1:$AF999))</f>
        <v/>
      </c>
    </row>
    <row r="1000" spans="1:39" ht="13.5" customHeight="1" x14ac:dyDescent="0.3">
      <c r="A1000" s="8" t="s">
        <v>224</v>
      </c>
      <c r="B1000" s="9"/>
      <c r="C1000" s="10">
        <v>10</v>
      </c>
      <c r="D1000" s="11"/>
      <c r="AB1000" t="str" cm="1">
        <f t="array" ref="AB1000:AC1000">_xlfn._xlws.FILTER(A1000:Z1000,A1000:Z1000&lt;&gt;"","")</f>
        <v>MATH</v>
      </c>
      <c r="AC1000">
        <v>10</v>
      </c>
      <c r="AD1000" t="str">
        <v/>
      </c>
      <c r="AE1000" t="str">
        <v/>
      </c>
      <c r="AF1000" t="str" cm="1">
        <f t="array" ref="AF1000">IF(AD1000="","",SUMPRODUCT(IF(LEFT($AD$1:AD1000,2)="JS",1,0)))</f>
        <v/>
      </c>
      <c r="AG1000" t="b">
        <f t="shared" si="60"/>
        <v>1</v>
      </c>
      <c r="AH1000" t="str">
        <f t="shared" si="61"/>
        <v>MATH</v>
      </c>
      <c r="AI1000">
        <f>IF(AH1000="","",MAX($AF$1:$AF1000))</f>
        <v>20</v>
      </c>
      <c r="AJ1000" t="str">
        <f t="shared" si="62"/>
        <v/>
      </c>
      <c r="AK1000" t="str">
        <f>IF(AJ1000="","",MAX($AF$1:$AF1000))</f>
        <v/>
      </c>
      <c r="AL1000" t="str">
        <f t="shared" si="63"/>
        <v/>
      </c>
      <c r="AM1000" t="str">
        <f>IF(AL1000="","",MAX($AF$1:$AF1000))</f>
        <v/>
      </c>
    </row>
    <row r="1001" spans="1:39" ht="13.5" customHeight="1" x14ac:dyDescent="0.3">
      <c r="A1001" s="8" t="s">
        <v>225</v>
      </c>
      <c r="B1001" s="9"/>
      <c r="C1001" s="10">
        <v>7</v>
      </c>
      <c r="D1001" s="11"/>
      <c r="AB1001" t="str" cm="1">
        <f t="array" ref="AB1001:AC1001">_xlfn._xlws.FILTER(A1001:Z1001,A1001:Z1001&lt;&gt;"","")</f>
        <v>M2</v>
      </c>
      <c r="AC1001">
        <v>7</v>
      </c>
      <c r="AD1001" t="str">
        <v/>
      </c>
      <c r="AE1001" t="str">
        <v/>
      </c>
      <c r="AF1001" t="str" cm="1">
        <f t="array" ref="AF1001">IF(AD1001="","",SUMPRODUCT(IF(LEFT($AD$1:AD1001,2)="JS",1,0)))</f>
        <v/>
      </c>
      <c r="AG1001" t="b">
        <f t="shared" si="60"/>
        <v>1</v>
      </c>
      <c r="AH1001" t="str">
        <f t="shared" si="61"/>
        <v/>
      </c>
      <c r="AI1001" t="str">
        <f>IF(AH1001="","",MAX($AF$1:$AF1001))</f>
        <v/>
      </c>
      <c r="AJ1001" t="str">
        <f t="shared" si="62"/>
        <v>M2</v>
      </c>
      <c r="AK1001">
        <f>IF(AJ1001="","",MAX($AF$1:$AF1001))</f>
        <v>20</v>
      </c>
      <c r="AL1001" t="str">
        <f t="shared" si="63"/>
        <v/>
      </c>
      <c r="AM1001" t="str">
        <f>IF(AL1001="","",MAX($AF$1:$AF1001))</f>
        <v/>
      </c>
    </row>
    <row r="1002" spans="1:39" ht="13.5" customHeight="1" x14ac:dyDescent="0.3">
      <c r="A1002" s="8" t="s">
        <v>15</v>
      </c>
      <c r="B1002" s="9"/>
      <c r="C1002" s="10">
        <v>7</v>
      </c>
      <c r="D1002" s="11"/>
      <c r="AB1002" t="str" cm="1">
        <f t="array" ref="AB1002:AC1002">_xlfn._xlws.FILTER(A1002:Z1002,A1002:Z1002&lt;&gt;"","")</f>
        <v>Mathematics (Extended part - Calculus and Statistics)</v>
      </c>
      <c r="AC1002">
        <v>7</v>
      </c>
      <c r="AD1002" t="str">
        <v/>
      </c>
      <c r="AE1002" t="str">
        <v/>
      </c>
      <c r="AF1002" t="str" cm="1">
        <f t="array" ref="AF1002">IF(AD1002="","",SUMPRODUCT(IF(LEFT($AD$1:AD1002,2)="JS",1,0)))</f>
        <v/>
      </c>
      <c r="AG1002" t="str">
        <f t="shared" si="60"/>
        <v/>
      </c>
      <c r="AH1002" t="str">
        <f t="shared" si="61"/>
        <v/>
      </c>
      <c r="AI1002" t="str">
        <f>IF(AH1002="","",MAX($AF$1:$AF1002))</f>
        <v/>
      </c>
      <c r="AJ1002" t="str">
        <f t="shared" si="62"/>
        <v/>
      </c>
      <c r="AK1002" t="str">
        <f>IF(AJ1002="","",MAX($AF$1:$AF1002))</f>
        <v/>
      </c>
      <c r="AL1002" t="str">
        <f t="shared" si="63"/>
        <v/>
      </c>
      <c r="AM1002" t="str">
        <f>IF(AL1002="","",MAX($AF$1:$AF1002))</f>
        <v/>
      </c>
    </row>
    <row r="1003" spans="1:39" ht="13.5" customHeight="1" x14ac:dyDescent="0.3">
      <c r="A1003" s="8" t="s">
        <v>16</v>
      </c>
      <c r="B1003" s="9"/>
      <c r="C1003" s="10">
        <v>5</v>
      </c>
      <c r="D1003" s="11"/>
      <c r="AB1003" t="str" cm="1">
        <f t="array" ref="AB1003:AC1003">_xlfn._xlws.FILTER(A1003:Z1003,A1003:Z1003&lt;&gt;"","")</f>
        <v>Music</v>
      </c>
      <c r="AC1003">
        <v>5</v>
      </c>
      <c r="AD1003" t="str">
        <v/>
      </c>
      <c r="AE1003" t="str">
        <v/>
      </c>
      <c r="AF1003" t="str" cm="1">
        <f t="array" ref="AF1003">IF(AD1003="","",SUMPRODUCT(IF(LEFT($AD$1:AD1003,2)="JS",1,0)))</f>
        <v/>
      </c>
      <c r="AG1003" t="str">
        <f t="shared" si="60"/>
        <v/>
      </c>
      <c r="AH1003" t="str">
        <f t="shared" si="61"/>
        <v/>
      </c>
      <c r="AI1003" t="str">
        <f>IF(AH1003="","",MAX($AF$1:$AF1003))</f>
        <v/>
      </c>
      <c r="AJ1003" t="str">
        <f t="shared" si="62"/>
        <v/>
      </c>
      <c r="AK1003" t="str">
        <f>IF(AJ1003="","",MAX($AF$1:$AF1003))</f>
        <v/>
      </c>
      <c r="AL1003" t="str">
        <f t="shared" si="63"/>
        <v/>
      </c>
      <c r="AM1003" t="str">
        <f>IF(AL1003="","",MAX($AF$1:$AF1003))</f>
        <v/>
      </c>
    </row>
    <row r="1004" spans="1:39" ht="13.5" customHeight="1" x14ac:dyDescent="0.3">
      <c r="A1004" s="8" t="s">
        <v>17</v>
      </c>
      <c r="B1004" s="9"/>
      <c r="C1004" s="10">
        <v>5</v>
      </c>
      <c r="D1004" s="11"/>
      <c r="AB1004" t="str" cm="1">
        <f t="array" ref="AB1004:AC1004">_xlfn._xlws.FILTER(A1004:Z1004,A1004:Z1004&lt;&gt;"","")</f>
        <v>Physical Education</v>
      </c>
      <c r="AC1004">
        <v>5</v>
      </c>
      <c r="AD1004" t="str">
        <v/>
      </c>
      <c r="AE1004" t="str">
        <v/>
      </c>
      <c r="AF1004" t="str" cm="1">
        <f t="array" ref="AF1004">IF(AD1004="","",SUMPRODUCT(IF(LEFT($AD$1:AD1004,2)="JS",1,0)))</f>
        <v/>
      </c>
      <c r="AG1004" t="str">
        <f t="shared" si="60"/>
        <v/>
      </c>
      <c r="AH1004" t="str">
        <f t="shared" si="61"/>
        <v/>
      </c>
      <c r="AI1004" t="str">
        <f>IF(AH1004="","",MAX($AF$1:$AF1004))</f>
        <v/>
      </c>
      <c r="AJ1004" t="str">
        <f t="shared" si="62"/>
        <v/>
      </c>
      <c r="AK1004" t="str">
        <f>IF(AJ1004="","",MAX($AF$1:$AF1004))</f>
        <v/>
      </c>
      <c r="AL1004" t="str">
        <f t="shared" si="63"/>
        <v/>
      </c>
      <c r="AM1004" t="str">
        <f>IF(AL1004="","",MAX($AF$1:$AF1004))</f>
        <v/>
      </c>
    </row>
    <row r="1005" spans="1:39" ht="13.5" customHeight="1" x14ac:dyDescent="0.3">
      <c r="A1005" s="8" t="s">
        <v>226</v>
      </c>
      <c r="B1005" s="9"/>
      <c r="C1005" s="10">
        <v>7</v>
      </c>
      <c r="D1005" s="11"/>
      <c r="AB1005" t="str" cm="1">
        <f t="array" ref="AB1005:AC1005">_xlfn._xlws.FILTER(A1005:Z1005,A1005:Z1005&lt;&gt;"","")</f>
        <v>PHY</v>
      </c>
      <c r="AC1005">
        <v>7</v>
      </c>
      <c r="AD1005" t="str">
        <v/>
      </c>
      <c r="AE1005" t="str">
        <v/>
      </c>
      <c r="AF1005" t="str" cm="1">
        <f t="array" ref="AF1005">IF(AD1005="","",SUMPRODUCT(IF(LEFT($AD$1:AD1005,2)="JS",1,0)))</f>
        <v/>
      </c>
      <c r="AG1005" t="b">
        <f t="shared" si="60"/>
        <v>1</v>
      </c>
      <c r="AH1005" t="str">
        <f t="shared" si="61"/>
        <v/>
      </c>
      <c r="AI1005" t="str">
        <f>IF(AH1005="","",MAX($AF$1:$AF1005))</f>
        <v/>
      </c>
      <c r="AJ1005" t="str">
        <f t="shared" si="62"/>
        <v>PHY</v>
      </c>
      <c r="AK1005">
        <f>IF(AJ1005="","",MAX($AF$1:$AF1005))</f>
        <v>20</v>
      </c>
      <c r="AL1005" t="str">
        <f t="shared" si="63"/>
        <v/>
      </c>
      <c r="AM1005" t="str">
        <f>IF(AL1005="","",MAX($AF$1:$AF1005))</f>
        <v/>
      </c>
    </row>
    <row r="1006" spans="1:39" ht="13.5" customHeight="1" x14ac:dyDescent="0.3">
      <c r="A1006" s="8" t="s">
        <v>18</v>
      </c>
      <c r="B1006" s="9"/>
      <c r="C1006" s="10">
        <v>5</v>
      </c>
      <c r="D1006" s="11"/>
      <c r="AB1006" t="str" cm="1">
        <f t="array" ref="AB1006:AC1006">_xlfn._xlws.FILTER(A1006:Z1006,A1006:Z1006&lt;&gt;"","")</f>
        <v>Technology and Living (Fashion, Clothing and Textiles)</v>
      </c>
      <c r="AC1006">
        <v>5</v>
      </c>
      <c r="AD1006" t="str">
        <v/>
      </c>
      <c r="AE1006" t="str">
        <v/>
      </c>
      <c r="AF1006" t="str" cm="1">
        <f t="array" ref="AF1006">IF(AD1006="","",SUMPRODUCT(IF(LEFT($AD$1:AD1006,2)="JS",1,0)))</f>
        <v/>
      </c>
      <c r="AG1006" t="str">
        <f t="shared" si="60"/>
        <v/>
      </c>
      <c r="AH1006" t="str">
        <f t="shared" si="61"/>
        <v/>
      </c>
      <c r="AI1006" t="str">
        <f>IF(AH1006="","",MAX($AF$1:$AF1006))</f>
        <v/>
      </c>
      <c r="AJ1006" t="str">
        <f t="shared" si="62"/>
        <v/>
      </c>
      <c r="AK1006" t="str">
        <f>IF(AJ1006="","",MAX($AF$1:$AF1006))</f>
        <v/>
      </c>
      <c r="AL1006" t="str">
        <f t="shared" si="63"/>
        <v/>
      </c>
      <c r="AM1006" t="str">
        <f>IF(AL1006="","",MAX($AF$1:$AF1006))</f>
        <v/>
      </c>
    </row>
    <row r="1007" spans="1:39" ht="13.5" customHeight="1" x14ac:dyDescent="0.3">
      <c r="A1007" s="8" t="s">
        <v>19</v>
      </c>
      <c r="B1007" s="9"/>
      <c r="C1007" s="10">
        <v>5</v>
      </c>
      <c r="D1007" s="11"/>
      <c r="AB1007" t="str" cm="1">
        <f t="array" ref="AB1007:AC1007">_xlfn._xlws.FILTER(A1007:Z1007,A1007:Z1007&lt;&gt;"","")</f>
        <v>Technology and Living (Food Science and Technology)</v>
      </c>
      <c r="AC1007">
        <v>5</v>
      </c>
      <c r="AD1007" t="str">
        <v/>
      </c>
      <c r="AE1007" t="str">
        <v/>
      </c>
      <c r="AF1007" t="str" cm="1">
        <f t="array" ref="AF1007">IF(AD1007="","",SUMPRODUCT(IF(LEFT($AD$1:AD1007,2)="JS",1,0)))</f>
        <v/>
      </c>
      <c r="AG1007" t="str">
        <f t="shared" si="60"/>
        <v/>
      </c>
      <c r="AH1007" t="str">
        <f t="shared" si="61"/>
        <v/>
      </c>
      <c r="AI1007" t="str">
        <f>IF(AH1007="","",MAX($AF$1:$AF1007))</f>
        <v/>
      </c>
      <c r="AJ1007" t="str">
        <f t="shared" si="62"/>
        <v/>
      </c>
      <c r="AK1007" t="str">
        <f>IF(AJ1007="","",MAX($AF$1:$AF1007))</f>
        <v/>
      </c>
      <c r="AL1007" t="str">
        <f t="shared" si="63"/>
        <v/>
      </c>
      <c r="AM1007" t="str">
        <f>IF(AL1007="","",MAX($AF$1:$AF1007))</f>
        <v/>
      </c>
    </row>
    <row r="1008" spans="1:39" ht="13.5" customHeight="1" x14ac:dyDescent="0.3">
      <c r="A1008" s="8" t="s">
        <v>20</v>
      </c>
      <c r="B1008" s="9"/>
      <c r="C1008" s="10">
        <v>7</v>
      </c>
      <c r="D1008" s="11"/>
      <c r="AB1008" t="str" cm="1">
        <f t="array" ref="AB1008:AC1008">_xlfn._xlws.FILTER(A1008:Z1008,A1008:Z1008&lt;&gt;"","")</f>
        <v>Tourism and Hospitality Studies</v>
      </c>
      <c r="AC1008">
        <v>7</v>
      </c>
      <c r="AD1008" t="str">
        <v/>
      </c>
      <c r="AE1008" t="str">
        <v/>
      </c>
      <c r="AF1008" t="str" cm="1">
        <f t="array" ref="AF1008">IF(AD1008="","",SUMPRODUCT(IF(LEFT($AD$1:AD1008,2)="JS",1,0)))</f>
        <v/>
      </c>
      <c r="AG1008" t="str">
        <f t="shared" si="60"/>
        <v/>
      </c>
      <c r="AH1008" t="str">
        <f t="shared" si="61"/>
        <v/>
      </c>
      <c r="AI1008" t="str">
        <f>IF(AH1008="","",MAX($AF$1:$AF1008))</f>
        <v/>
      </c>
      <c r="AJ1008" t="str">
        <f t="shared" si="62"/>
        <v/>
      </c>
      <c r="AK1008" t="str">
        <f>IF(AJ1008="","",MAX($AF$1:$AF1008))</f>
        <v/>
      </c>
      <c r="AL1008" t="str">
        <f t="shared" si="63"/>
        <v/>
      </c>
      <c r="AM1008" t="str">
        <f>IF(AL1008="","",MAX($AF$1:$AF1008))</f>
        <v/>
      </c>
    </row>
    <row r="1009" spans="1:39" ht="13.5" customHeight="1" x14ac:dyDescent="0.3">
      <c r="A1009" s="8" t="s">
        <v>210</v>
      </c>
      <c r="B1009" s="9"/>
      <c r="C1009" s="10">
        <v>5</v>
      </c>
      <c r="D1009" s="11"/>
      <c r="AB1009" t="str" cm="1">
        <f t="array" ref="AB1009:AC1009">_xlfn._xlws.FILTER(A1009:Z1009,A1009:Z1009&lt;&gt;"","")</f>
        <v>VA</v>
      </c>
      <c r="AC1009">
        <v>5</v>
      </c>
      <c r="AD1009" t="str">
        <v/>
      </c>
      <c r="AE1009" t="str">
        <v/>
      </c>
      <c r="AF1009" t="str" cm="1">
        <f t="array" ref="AF1009">IF(AD1009="","",SUMPRODUCT(IF(LEFT($AD$1:AD1009,2)="JS",1,0)))</f>
        <v/>
      </c>
      <c r="AG1009" t="b">
        <f t="shared" si="60"/>
        <v>1</v>
      </c>
      <c r="AH1009" t="str">
        <f t="shared" si="61"/>
        <v/>
      </c>
      <c r="AI1009" t="str">
        <f>IF(AH1009="","",MAX($AF$1:$AF1009))</f>
        <v/>
      </c>
      <c r="AJ1009" t="str">
        <f t="shared" si="62"/>
        <v/>
      </c>
      <c r="AK1009" t="str">
        <f>IF(AJ1009="","",MAX($AF$1:$AF1009))</f>
        <v/>
      </c>
      <c r="AL1009" t="str">
        <f t="shared" si="63"/>
        <v>VA</v>
      </c>
      <c r="AM1009">
        <f>IF(AL1009="","",MAX($AF$1:$AF1009))</f>
        <v>20</v>
      </c>
    </row>
    <row r="1010" spans="1:39" ht="14.5" customHeight="1" x14ac:dyDescent="0.3">
      <c r="A1010" s="12"/>
      <c r="B1010" s="12"/>
      <c r="C1010" s="2"/>
      <c r="D1010" s="2"/>
      <c r="AB1010" t="str" cm="1">
        <f t="array" ref="AB1010">_xlfn._xlws.FILTER(A1010:Z1010,A1010:Z1010&lt;&gt;"","")</f>
        <v/>
      </c>
      <c r="AD1010" t="str">
        <v/>
      </c>
      <c r="AE1010" t="str">
        <v/>
      </c>
      <c r="AF1010" t="str" cm="1">
        <f t="array" ref="AF1010">IF(AD1010="","",SUMPRODUCT(IF(LEFT($AD$1:AD1010,2)="JS",1,0)))</f>
        <v/>
      </c>
      <c r="AG1010" t="str">
        <f t="shared" si="60"/>
        <v/>
      </c>
      <c r="AH1010" t="str">
        <f t="shared" si="61"/>
        <v/>
      </c>
      <c r="AI1010" t="str">
        <f>IF(AH1010="","",MAX($AF$1:$AF1010))</f>
        <v/>
      </c>
      <c r="AJ1010" t="str">
        <f t="shared" si="62"/>
        <v/>
      </c>
      <c r="AK1010" t="str">
        <f>IF(AJ1010="","",MAX($AF$1:$AF1010))</f>
        <v/>
      </c>
      <c r="AL1010" t="str">
        <f t="shared" si="63"/>
        <v/>
      </c>
      <c r="AM1010" t="str">
        <f>IF(AL1010="","",MAX($AF$1:$AF1010))</f>
        <v/>
      </c>
    </row>
    <row r="1011" spans="1:39" ht="13.5" customHeight="1" x14ac:dyDescent="0.3">
      <c r="A1011" s="13" t="s">
        <v>34</v>
      </c>
      <c r="B1011" s="13"/>
      <c r="C1011" s="13"/>
      <c r="D1011" s="13"/>
      <c r="AB1011" t="str" cm="1">
        <f t="array" ref="AB1011">_xlfn._xlws.FILTER(A1011:Z1011,A1011:Z1011&lt;&gt;"","")</f>
        <v>Category C: Other Language Subjects</v>
      </c>
      <c r="AD1011" t="str">
        <v/>
      </c>
      <c r="AE1011" t="str">
        <v/>
      </c>
      <c r="AF1011" t="str" cm="1">
        <f t="array" ref="AF1011">IF(AD1011="","",SUMPRODUCT(IF(LEFT($AD$1:AD1011,2)="JS",1,0)))</f>
        <v/>
      </c>
      <c r="AG1011" t="str">
        <f t="shared" si="60"/>
        <v/>
      </c>
      <c r="AH1011" t="str">
        <f t="shared" si="61"/>
        <v/>
      </c>
      <c r="AI1011" t="str">
        <f>IF(AH1011="","",MAX($AF$1:$AF1011))</f>
        <v/>
      </c>
      <c r="AJ1011" t="str">
        <f t="shared" si="62"/>
        <v/>
      </c>
      <c r="AK1011" t="str">
        <f>IF(AJ1011="","",MAX($AF$1:$AF1011))</f>
        <v/>
      </c>
      <c r="AL1011" t="str">
        <f t="shared" si="63"/>
        <v/>
      </c>
      <c r="AM1011" t="str">
        <f>IF(AL1011="","",MAX($AF$1:$AF1011))</f>
        <v/>
      </c>
    </row>
    <row r="1012" spans="1:39" ht="13.5" customHeight="1" x14ac:dyDescent="0.3">
      <c r="A1012" s="14" t="s">
        <v>3</v>
      </c>
      <c r="B1012" s="15"/>
      <c r="C1012" s="16" t="s">
        <v>4</v>
      </c>
      <c r="D1012" s="17"/>
      <c r="AB1012" t="str" cm="1">
        <f t="array" ref="AB1012:AC1012">_xlfn._xlws.FILTER(A1012:Z1012,A1012:Z1012&lt;&gt;"","")</f>
        <v>Subject Name</v>
      </c>
      <c r="AC1012" t="str">
        <v>Subject Weighting for 2023/24 Admission Exercise *</v>
      </c>
      <c r="AD1012" t="str">
        <v/>
      </c>
      <c r="AE1012" t="str">
        <v/>
      </c>
      <c r="AF1012" t="str" cm="1">
        <f t="array" ref="AF1012">IF(AD1012="","",SUMPRODUCT(IF(LEFT($AD$1:AD1012,2)="JS",1,0)))</f>
        <v/>
      </c>
      <c r="AG1012" t="str">
        <f t="shared" si="60"/>
        <v/>
      </c>
      <c r="AH1012" t="str">
        <f t="shared" si="61"/>
        <v/>
      </c>
      <c r="AI1012" t="str">
        <f>IF(AH1012="","",MAX($AF$1:$AF1012))</f>
        <v/>
      </c>
      <c r="AJ1012" t="str">
        <f t="shared" si="62"/>
        <v/>
      </c>
      <c r="AK1012" t="str">
        <f>IF(AJ1012="","",MAX($AF$1:$AF1012))</f>
        <v/>
      </c>
      <c r="AL1012" t="str">
        <f t="shared" si="63"/>
        <v/>
      </c>
      <c r="AM1012" t="str">
        <f>IF(AL1012="","",MAX($AF$1:$AF1012))</f>
        <v/>
      </c>
    </row>
    <row r="1013" spans="1:39" ht="13.5" customHeight="1" x14ac:dyDescent="0.3">
      <c r="A1013" s="8" t="s">
        <v>35</v>
      </c>
      <c r="B1013" s="9"/>
      <c r="C1013" s="10">
        <v>7</v>
      </c>
      <c r="D1013" s="11"/>
      <c r="AB1013" t="str" cm="1">
        <f t="array" ref="AB1013:AC1013">_xlfn._xlws.FILTER(A1013:Z1013,A1013:Z1013&lt;&gt;"","")</f>
        <v>French</v>
      </c>
      <c r="AC1013">
        <v>7</v>
      </c>
      <c r="AD1013" t="str">
        <v/>
      </c>
      <c r="AE1013" t="str">
        <v/>
      </c>
      <c r="AF1013" t="str" cm="1">
        <f t="array" ref="AF1013">IF(AD1013="","",SUMPRODUCT(IF(LEFT($AD$1:AD1013,2)="JS",1,0)))</f>
        <v/>
      </c>
      <c r="AG1013" t="str">
        <f t="shared" si="60"/>
        <v/>
      </c>
      <c r="AH1013" t="str">
        <f t="shared" si="61"/>
        <v/>
      </c>
      <c r="AI1013" t="str">
        <f>IF(AH1013="","",MAX($AF$1:$AF1013))</f>
        <v/>
      </c>
      <c r="AJ1013" t="str">
        <f t="shared" si="62"/>
        <v/>
      </c>
      <c r="AK1013" t="str">
        <f>IF(AJ1013="","",MAX($AF$1:$AF1013))</f>
        <v/>
      </c>
      <c r="AL1013" t="str">
        <f t="shared" si="63"/>
        <v/>
      </c>
      <c r="AM1013" t="str">
        <f>IF(AL1013="","",MAX($AF$1:$AF1013))</f>
        <v/>
      </c>
    </row>
    <row r="1014" spans="1:39" ht="13.5" customHeight="1" x14ac:dyDescent="0.3">
      <c r="A1014" s="8" t="s">
        <v>36</v>
      </c>
      <c r="B1014" s="9"/>
      <c r="C1014" s="10">
        <v>7</v>
      </c>
      <c r="D1014" s="11"/>
      <c r="AB1014" t="str" cm="1">
        <f t="array" ref="AB1014:AC1014">_xlfn._xlws.FILTER(A1014:Z1014,A1014:Z1014&lt;&gt;"","")</f>
        <v>German</v>
      </c>
      <c r="AC1014">
        <v>7</v>
      </c>
      <c r="AD1014" t="str">
        <v/>
      </c>
      <c r="AE1014" t="str">
        <v/>
      </c>
      <c r="AF1014" t="str" cm="1">
        <f t="array" ref="AF1014">IF(AD1014="","",SUMPRODUCT(IF(LEFT($AD$1:AD1014,2)="JS",1,0)))</f>
        <v/>
      </c>
      <c r="AG1014" t="str">
        <f t="shared" si="60"/>
        <v/>
      </c>
      <c r="AH1014" t="str">
        <f t="shared" si="61"/>
        <v/>
      </c>
      <c r="AI1014" t="str">
        <f>IF(AH1014="","",MAX($AF$1:$AF1014))</f>
        <v/>
      </c>
      <c r="AJ1014" t="str">
        <f t="shared" si="62"/>
        <v/>
      </c>
      <c r="AK1014" t="str">
        <f>IF(AJ1014="","",MAX($AF$1:$AF1014))</f>
        <v/>
      </c>
      <c r="AL1014" t="str">
        <f t="shared" si="63"/>
        <v/>
      </c>
      <c r="AM1014" t="str">
        <f>IF(AL1014="","",MAX($AF$1:$AF1014))</f>
        <v/>
      </c>
    </row>
    <row r="1015" spans="1:39" ht="13.5" customHeight="1" x14ac:dyDescent="0.3">
      <c r="A1015" s="8" t="s">
        <v>37</v>
      </c>
      <c r="B1015" s="9"/>
      <c r="C1015" s="10">
        <v>7</v>
      </c>
      <c r="D1015" s="11"/>
      <c r="AB1015" t="str" cm="1">
        <f t="array" ref="AB1015:AC1015">_xlfn._xlws.FILTER(A1015:Z1015,A1015:Z1015&lt;&gt;"","")</f>
        <v>Hindi</v>
      </c>
      <c r="AC1015">
        <v>7</v>
      </c>
      <c r="AD1015" t="str">
        <v/>
      </c>
      <c r="AE1015" t="str">
        <v/>
      </c>
      <c r="AF1015" t="str" cm="1">
        <f t="array" ref="AF1015">IF(AD1015="","",SUMPRODUCT(IF(LEFT($AD$1:AD1015,2)="JS",1,0)))</f>
        <v/>
      </c>
      <c r="AG1015" t="str">
        <f t="shared" si="60"/>
        <v/>
      </c>
      <c r="AH1015" t="str">
        <f t="shared" si="61"/>
        <v/>
      </c>
      <c r="AI1015" t="str">
        <f>IF(AH1015="","",MAX($AF$1:$AF1015))</f>
        <v/>
      </c>
      <c r="AJ1015" t="str">
        <f t="shared" si="62"/>
        <v/>
      </c>
      <c r="AK1015" t="str">
        <f>IF(AJ1015="","",MAX($AF$1:$AF1015))</f>
        <v/>
      </c>
      <c r="AL1015" t="str">
        <f t="shared" si="63"/>
        <v/>
      </c>
      <c r="AM1015" t="str">
        <f>IF(AL1015="","",MAX($AF$1:$AF1015))</f>
        <v/>
      </c>
    </row>
    <row r="1016" spans="1:39" ht="13.5" customHeight="1" x14ac:dyDescent="0.3">
      <c r="A1016" s="8" t="s">
        <v>38</v>
      </c>
      <c r="B1016" s="9"/>
      <c r="C1016" s="10">
        <v>7</v>
      </c>
      <c r="D1016" s="11"/>
      <c r="AB1016" t="str" cm="1">
        <f t="array" ref="AB1016:AC1016">_xlfn._xlws.FILTER(A1016:Z1016,A1016:Z1016&lt;&gt;"","")</f>
        <v>Japanese</v>
      </c>
      <c r="AC1016">
        <v>7</v>
      </c>
      <c r="AD1016" t="str">
        <v/>
      </c>
      <c r="AE1016" t="str">
        <v/>
      </c>
      <c r="AF1016" t="str" cm="1">
        <f t="array" ref="AF1016">IF(AD1016="","",SUMPRODUCT(IF(LEFT($AD$1:AD1016,2)="JS",1,0)))</f>
        <v/>
      </c>
      <c r="AG1016" t="str">
        <f t="shared" si="60"/>
        <v/>
      </c>
      <c r="AH1016" t="str">
        <f t="shared" si="61"/>
        <v/>
      </c>
      <c r="AI1016" t="str">
        <f>IF(AH1016="","",MAX($AF$1:$AF1016))</f>
        <v/>
      </c>
      <c r="AJ1016" t="str">
        <f t="shared" si="62"/>
        <v/>
      </c>
      <c r="AK1016" t="str">
        <f>IF(AJ1016="","",MAX($AF$1:$AF1016))</f>
        <v/>
      </c>
      <c r="AL1016" t="str">
        <f t="shared" si="63"/>
        <v/>
      </c>
      <c r="AM1016" t="str">
        <f>IF(AL1016="","",MAX($AF$1:$AF1016))</f>
        <v/>
      </c>
    </row>
    <row r="1017" spans="1:39" ht="13.5" customHeight="1" x14ac:dyDescent="0.3">
      <c r="A1017" s="8" t="s">
        <v>39</v>
      </c>
      <c r="B1017" s="9"/>
      <c r="C1017" s="10">
        <v>7</v>
      </c>
      <c r="D1017" s="11"/>
      <c r="AB1017" t="str" cm="1">
        <f t="array" ref="AB1017:AC1017">_xlfn._xlws.FILTER(A1017:Z1017,A1017:Z1017&lt;&gt;"","")</f>
        <v>Spanish</v>
      </c>
      <c r="AC1017">
        <v>7</v>
      </c>
      <c r="AD1017" t="str">
        <v/>
      </c>
      <c r="AE1017" t="str">
        <v/>
      </c>
      <c r="AF1017" t="str" cm="1">
        <f t="array" ref="AF1017">IF(AD1017="","",SUMPRODUCT(IF(LEFT($AD$1:AD1017,2)="JS",1,0)))</f>
        <v/>
      </c>
      <c r="AG1017" t="str">
        <f t="shared" si="60"/>
        <v/>
      </c>
      <c r="AH1017" t="str">
        <f t="shared" si="61"/>
        <v/>
      </c>
      <c r="AI1017" t="str">
        <f>IF(AH1017="","",MAX($AF$1:$AF1017))</f>
        <v/>
      </c>
      <c r="AJ1017" t="str">
        <f t="shared" si="62"/>
        <v/>
      </c>
      <c r="AK1017" t="str">
        <f>IF(AJ1017="","",MAX($AF$1:$AF1017))</f>
        <v/>
      </c>
      <c r="AL1017" t="str">
        <f t="shared" si="63"/>
        <v/>
      </c>
      <c r="AM1017" t="str">
        <f>IF(AL1017="","",MAX($AF$1:$AF1017))</f>
        <v/>
      </c>
    </row>
    <row r="1018" spans="1:39" ht="13.5" customHeight="1" x14ac:dyDescent="0.3">
      <c r="A1018" s="8" t="s">
        <v>40</v>
      </c>
      <c r="B1018" s="9"/>
      <c r="C1018" s="10">
        <v>7</v>
      </c>
      <c r="D1018" s="11"/>
      <c r="AB1018" t="str" cm="1">
        <f t="array" ref="AB1018:AC1018">_xlfn._xlws.FILTER(A1018:Z1018,A1018:Z1018&lt;&gt;"","")</f>
        <v>Urdu</v>
      </c>
      <c r="AC1018">
        <v>7</v>
      </c>
      <c r="AD1018" t="str">
        <v/>
      </c>
      <c r="AE1018" t="str">
        <v/>
      </c>
      <c r="AF1018" t="str" cm="1">
        <f t="array" ref="AF1018">IF(AD1018="","",SUMPRODUCT(IF(LEFT($AD$1:AD1018,2)="JS",1,0)))</f>
        <v/>
      </c>
      <c r="AG1018" t="str">
        <f t="shared" si="60"/>
        <v/>
      </c>
      <c r="AH1018" t="str">
        <f t="shared" si="61"/>
        <v/>
      </c>
      <c r="AI1018" t="str">
        <f>IF(AH1018="","",MAX($AF$1:$AF1018))</f>
        <v/>
      </c>
      <c r="AJ1018" t="str">
        <f t="shared" si="62"/>
        <v/>
      </c>
      <c r="AK1018" t="str">
        <f>IF(AJ1018="","",MAX($AF$1:$AF1018))</f>
        <v/>
      </c>
      <c r="AL1018" t="str">
        <f t="shared" si="63"/>
        <v/>
      </c>
      <c r="AM1018" t="str">
        <f>IF(AL1018="","",MAX($AF$1:$AF1018))</f>
        <v/>
      </c>
    </row>
    <row r="1019" spans="1:39" ht="15" customHeight="1" x14ac:dyDescent="0.3">
      <c r="A1019" s="18" t="s">
        <v>168</v>
      </c>
      <c r="B1019" s="18"/>
      <c r="C1019" s="18"/>
      <c r="D1019" s="1"/>
      <c r="AB1019" t="str" cm="1">
        <f t="array" ref="AB1019">_xlfn._xlws.FILTER(A1019:Z1019,A1019:Z1019&lt;&gt;"","")</f>
        <v>JUPAS Code: JS3337</v>
      </c>
      <c r="AD1019" t="str">
        <v>JS3337</v>
      </c>
      <c r="AE1019" t="str">
        <v/>
      </c>
      <c r="AF1019" cm="1">
        <f t="array" ref="AF1019">IF(AD1019="","",SUMPRODUCT(IF(LEFT($AD$1:AD1019,2)="JS",1,0)))</f>
        <v>21</v>
      </c>
      <c r="AG1019" t="str">
        <f t="shared" si="60"/>
        <v/>
      </c>
      <c r="AH1019" t="str">
        <f t="shared" si="61"/>
        <v/>
      </c>
      <c r="AI1019" t="str">
        <f>IF(AH1019="","",MAX($AF$1:$AF1019))</f>
        <v/>
      </c>
      <c r="AJ1019" t="str">
        <f t="shared" si="62"/>
        <v/>
      </c>
      <c r="AK1019" t="str">
        <f>IF(AJ1019="","",MAX($AF$1:$AF1019))</f>
        <v/>
      </c>
      <c r="AL1019" t="str">
        <f t="shared" si="63"/>
        <v/>
      </c>
      <c r="AM1019" t="str">
        <f>IF(AL1019="","",MAX($AF$1:$AF1019))</f>
        <v/>
      </c>
    </row>
    <row r="1020" spans="1:39" ht="13.5" customHeight="1" x14ac:dyDescent="0.3">
      <c r="A1020" s="18" t="s">
        <v>169</v>
      </c>
      <c r="B1020" s="18"/>
      <c r="C1020" s="18"/>
      <c r="D1020" s="1"/>
      <c r="AB1020" t="str" cm="1">
        <f t="array" ref="AB1020">_xlfn._xlws.FILTER(A1020:Z1020,A1020:Z1020&lt;&gt;"","")</f>
        <v>Programme Title: BSc (Hons) Scheme in Nursing - Mental Health Nursing</v>
      </c>
      <c r="AD1020" t="str">
        <v/>
      </c>
      <c r="AE1020" t="str">
        <v>BSc (Hons) Scheme in Nursing - Mental Health Nursing</v>
      </c>
      <c r="AF1020" t="str" cm="1">
        <f t="array" ref="AF1020">IF(AD1020="","",SUMPRODUCT(IF(LEFT($AD$1:AD1020,2)="JS",1,0)))</f>
        <v/>
      </c>
      <c r="AG1020" t="str">
        <f t="shared" si="60"/>
        <v/>
      </c>
      <c r="AH1020" t="str">
        <f t="shared" si="61"/>
        <v/>
      </c>
      <c r="AI1020" t="str">
        <f>IF(AH1020="","",MAX($AF$1:$AF1020))</f>
        <v/>
      </c>
      <c r="AJ1020" t="str">
        <f t="shared" si="62"/>
        <v/>
      </c>
      <c r="AK1020" t="str">
        <f>IF(AJ1020="","",MAX($AF$1:$AF1020))</f>
        <v/>
      </c>
      <c r="AL1020" t="str">
        <f t="shared" si="63"/>
        <v/>
      </c>
      <c r="AM1020" t="str">
        <f>IF(AL1020="","",MAX($AF$1:$AF1020))</f>
        <v/>
      </c>
    </row>
    <row r="1021" spans="1:39" ht="14.5" customHeight="1" x14ac:dyDescent="0.3">
      <c r="A1021" s="12"/>
      <c r="B1021" s="12"/>
      <c r="C1021" s="2"/>
      <c r="D1021" s="2"/>
      <c r="AB1021" t="str" cm="1">
        <f t="array" ref="AB1021">_xlfn._xlws.FILTER(A1021:Z1021,A1021:Z1021&lt;&gt;"","")</f>
        <v/>
      </c>
      <c r="AD1021" t="str">
        <v/>
      </c>
      <c r="AE1021" t="str">
        <v/>
      </c>
      <c r="AF1021" t="str" cm="1">
        <f t="array" ref="AF1021">IF(AD1021="","",SUMPRODUCT(IF(LEFT($AD$1:AD1021,2)="JS",1,0)))</f>
        <v/>
      </c>
      <c r="AG1021" t="str">
        <f t="shared" si="60"/>
        <v/>
      </c>
      <c r="AH1021" t="str">
        <f t="shared" si="61"/>
        <v/>
      </c>
      <c r="AI1021" t="str">
        <f>IF(AH1021="","",MAX($AF$1:$AF1021))</f>
        <v/>
      </c>
      <c r="AJ1021" t="str">
        <f t="shared" si="62"/>
        <v/>
      </c>
      <c r="AK1021" t="str">
        <f>IF(AJ1021="","",MAX($AF$1:$AF1021))</f>
        <v/>
      </c>
      <c r="AL1021" t="str">
        <f t="shared" si="63"/>
        <v/>
      </c>
      <c r="AM1021" t="str">
        <f>IF(AL1021="","",MAX($AF$1:$AF1021))</f>
        <v/>
      </c>
    </row>
    <row r="1022" spans="1:39" ht="13.5" customHeight="1" x14ac:dyDescent="0.3">
      <c r="A1022" s="13" t="s">
        <v>2</v>
      </c>
      <c r="B1022" s="13"/>
      <c r="C1022" s="13"/>
      <c r="D1022" s="13"/>
      <c r="AB1022" t="str" cm="1">
        <f t="array" ref="AB1022">_xlfn._xlws.FILTER(A1022:Z1022,A1022:Z1022&lt;&gt;"","")</f>
        <v>Category A: Core and Elective Subjects</v>
      </c>
      <c r="AD1022" t="str">
        <v/>
      </c>
      <c r="AE1022" t="str">
        <v/>
      </c>
      <c r="AF1022" t="str" cm="1">
        <f t="array" ref="AF1022">IF(AD1022="","",SUMPRODUCT(IF(LEFT($AD$1:AD1022,2)="JS",1,0)))</f>
        <v/>
      </c>
      <c r="AG1022" t="str">
        <f t="shared" si="60"/>
        <v/>
      </c>
      <c r="AH1022" t="str">
        <f t="shared" si="61"/>
        <v/>
      </c>
      <c r="AI1022" t="str">
        <f>IF(AH1022="","",MAX($AF$1:$AF1022))</f>
        <v/>
      </c>
      <c r="AJ1022" t="str">
        <f t="shared" si="62"/>
        <v/>
      </c>
      <c r="AK1022" t="str">
        <f>IF(AJ1022="","",MAX($AF$1:$AF1022))</f>
        <v/>
      </c>
      <c r="AL1022" t="str">
        <f t="shared" si="63"/>
        <v/>
      </c>
      <c r="AM1022" t="str">
        <f>IF(AL1022="","",MAX($AF$1:$AF1022))</f>
        <v/>
      </c>
    </row>
    <row r="1023" spans="1:39" ht="13.5" customHeight="1" x14ac:dyDescent="0.3">
      <c r="A1023" s="14" t="s">
        <v>3</v>
      </c>
      <c r="B1023" s="15"/>
      <c r="C1023" s="16" t="s">
        <v>4</v>
      </c>
      <c r="D1023" s="17"/>
      <c r="AB1023" t="str" cm="1">
        <f t="array" ref="AB1023:AC1023">_xlfn._xlws.FILTER(A1023:Z1023,A1023:Z1023&lt;&gt;"","")</f>
        <v>Subject Name</v>
      </c>
      <c r="AC1023" t="str">
        <v>Subject Weighting for 2023/24 Admission Exercise *</v>
      </c>
      <c r="AD1023" t="str">
        <v/>
      </c>
      <c r="AE1023" t="str">
        <v/>
      </c>
      <c r="AF1023" t="str" cm="1">
        <f t="array" ref="AF1023">IF(AD1023="","",SUMPRODUCT(IF(LEFT($AD$1:AD1023,2)="JS",1,0)))</f>
        <v/>
      </c>
      <c r="AG1023" t="str">
        <f t="shared" si="60"/>
        <v/>
      </c>
      <c r="AH1023" t="str">
        <f t="shared" si="61"/>
        <v/>
      </c>
      <c r="AI1023" t="str">
        <f>IF(AH1023="","",MAX($AF$1:$AF1023))</f>
        <v/>
      </c>
      <c r="AJ1023" t="str">
        <f t="shared" si="62"/>
        <v/>
      </c>
      <c r="AK1023" t="str">
        <f>IF(AJ1023="","",MAX($AF$1:$AF1023))</f>
        <v/>
      </c>
      <c r="AL1023" t="str">
        <f t="shared" si="63"/>
        <v/>
      </c>
      <c r="AM1023" t="str">
        <f>IF(AL1023="","",MAX($AF$1:$AF1023))</f>
        <v/>
      </c>
    </row>
    <row r="1024" spans="1:39" ht="13.5" customHeight="1" x14ac:dyDescent="0.3">
      <c r="A1024" s="8" t="s">
        <v>211</v>
      </c>
      <c r="B1024" s="9"/>
      <c r="C1024" s="10">
        <v>10</v>
      </c>
      <c r="D1024" s="11"/>
      <c r="AB1024" t="str" cm="1">
        <f t="array" ref="AB1024:AC1024">_xlfn._xlws.FILTER(A1024:Z1024,A1024:Z1024&lt;&gt;"","")</f>
        <v>BIO</v>
      </c>
      <c r="AC1024">
        <v>10</v>
      </c>
      <c r="AD1024" t="str">
        <v/>
      </c>
      <c r="AE1024" t="str">
        <v/>
      </c>
      <c r="AF1024" t="str" cm="1">
        <f t="array" ref="AF1024">IF(AD1024="","",SUMPRODUCT(IF(LEFT($AD$1:AD1024,2)="JS",1,0)))</f>
        <v/>
      </c>
      <c r="AG1024" t="b">
        <f t="shared" si="60"/>
        <v>1</v>
      </c>
      <c r="AH1024" t="str">
        <f t="shared" si="61"/>
        <v>BIO</v>
      </c>
      <c r="AI1024">
        <f>IF(AH1024="","",MAX($AF$1:$AF1024))</f>
        <v>21</v>
      </c>
      <c r="AJ1024" t="str">
        <f t="shared" si="62"/>
        <v/>
      </c>
      <c r="AK1024" t="str">
        <f>IF(AJ1024="","",MAX($AF$1:$AF1024))</f>
        <v/>
      </c>
      <c r="AL1024" t="str">
        <f t="shared" si="63"/>
        <v/>
      </c>
      <c r="AM1024" t="str">
        <f>IF(AL1024="","",MAX($AF$1:$AF1024))</f>
        <v/>
      </c>
    </row>
    <row r="1025" spans="1:39" ht="13.5" customHeight="1" x14ac:dyDescent="0.3">
      <c r="A1025" s="8" t="s">
        <v>213</v>
      </c>
      <c r="B1025" s="9"/>
      <c r="C1025" s="10">
        <v>7</v>
      </c>
      <c r="D1025" s="11"/>
      <c r="AB1025" t="str" cm="1">
        <f t="array" ref="AB1025:AC1025">_xlfn._xlws.FILTER(A1025:Z1025,A1025:Z1025&lt;&gt;"","")</f>
        <v>BAFS</v>
      </c>
      <c r="AC1025">
        <v>7</v>
      </c>
      <c r="AD1025" t="str">
        <v/>
      </c>
      <c r="AE1025" t="str">
        <v/>
      </c>
      <c r="AF1025" t="str" cm="1">
        <f t="array" ref="AF1025">IF(AD1025="","",SUMPRODUCT(IF(LEFT($AD$1:AD1025,2)="JS",1,0)))</f>
        <v/>
      </c>
      <c r="AG1025" t="b">
        <f t="shared" ref="AG1025:AG1088" si="64">IF(ISNUMBER(MATCH(AB1025,$AV$3:$AV$18,0)),TRUE,"")</f>
        <v>1</v>
      </c>
      <c r="AH1025" t="str">
        <f t="shared" si="61"/>
        <v/>
      </c>
      <c r="AI1025" t="str">
        <f>IF(AH1025="","",MAX($AF$1:$AF1025))</f>
        <v/>
      </c>
      <c r="AJ1025" t="str">
        <f t="shared" si="62"/>
        <v>BAFS</v>
      </c>
      <c r="AK1025">
        <f>IF(AJ1025="","",MAX($AF$1:$AF1025))</f>
        <v>21</v>
      </c>
      <c r="AL1025" t="str">
        <f t="shared" si="63"/>
        <v/>
      </c>
      <c r="AM1025" t="str">
        <f>IF(AL1025="","",MAX($AF$1:$AF1025))</f>
        <v/>
      </c>
    </row>
    <row r="1026" spans="1:39" ht="13.5" customHeight="1" x14ac:dyDescent="0.3">
      <c r="A1026" s="8" t="s">
        <v>5</v>
      </c>
      <c r="B1026" s="9"/>
      <c r="C1026" s="10">
        <v>7</v>
      </c>
      <c r="D1026" s="11"/>
      <c r="AB1026" t="str" cm="1">
        <f t="array" ref="AB1026:AC1026">_xlfn._xlws.FILTER(A1026:Z1026,A1026:Z1026&lt;&gt;"","")</f>
        <v>Business, Accounting and Financial Studies (Accounting)</v>
      </c>
      <c r="AC1026">
        <v>7</v>
      </c>
      <c r="AD1026" t="str">
        <v/>
      </c>
      <c r="AE1026" t="str">
        <v/>
      </c>
      <c r="AF1026" t="str" cm="1">
        <f t="array" ref="AF1026">IF(AD1026="","",SUMPRODUCT(IF(LEFT($AD$1:AD1026,2)="JS",1,0)))</f>
        <v/>
      </c>
      <c r="AG1026" t="str">
        <f t="shared" si="64"/>
        <v/>
      </c>
      <c r="AH1026" t="str">
        <f t="shared" ref="AH1026:AH1089" si="65">IF(AND(AC1026=10,AG1026=TRUE),AB1026,"")</f>
        <v/>
      </c>
      <c r="AI1026" t="str">
        <f>IF(AH1026="","",MAX($AF$1:$AF1026))</f>
        <v/>
      </c>
      <c r="AJ1026" t="str">
        <f t="shared" ref="AJ1026:AJ1089" si="66">IF(AND(AC1026=7,AG1026=TRUE),AB1026,"")</f>
        <v/>
      </c>
      <c r="AK1026" t="str">
        <f>IF(AJ1026="","",MAX($AF$1:$AF1026))</f>
        <v/>
      </c>
      <c r="AL1026" t="str">
        <f t="shared" ref="AL1026:AL1089" si="67">IF(AND(AC1026=5,AG1026=TRUE),AB1026,"")</f>
        <v/>
      </c>
      <c r="AM1026" t="str">
        <f>IF(AL1026="","",MAX($AF$1:$AF1026))</f>
        <v/>
      </c>
    </row>
    <row r="1027" spans="1:39" ht="13.5" customHeight="1" x14ac:dyDescent="0.3">
      <c r="A1027" s="8" t="s">
        <v>6</v>
      </c>
      <c r="B1027" s="9"/>
      <c r="C1027" s="10">
        <v>7</v>
      </c>
      <c r="D1027" s="11"/>
      <c r="AB1027" t="str" cm="1">
        <f t="array" ref="AB1027:AC1027">_xlfn._xlws.FILTER(A1027:Z1027,A1027:Z1027&lt;&gt;"","")</f>
        <v>Business, Accounting and Financial Studies (Business Management)</v>
      </c>
      <c r="AC1027">
        <v>7</v>
      </c>
      <c r="AD1027" t="str">
        <v/>
      </c>
      <c r="AE1027" t="str">
        <v/>
      </c>
      <c r="AF1027" t="str" cm="1">
        <f t="array" ref="AF1027">IF(AD1027="","",SUMPRODUCT(IF(LEFT($AD$1:AD1027,2)="JS",1,0)))</f>
        <v/>
      </c>
      <c r="AG1027" t="str">
        <f t="shared" si="64"/>
        <v/>
      </c>
      <c r="AH1027" t="str">
        <f t="shared" si="65"/>
        <v/>
      </c>
      <c r="AI1027" t="str">
        <f>IF(AH1027="","",MAX($AF$1:$AF1027))</f>
        <v/>
      </c>
      <c r="AJ1027" t="str">
        <f t="shared" si="66"/>
        <v/>
      </c>
      <c r="AK1027" t="str">
        <f>IF(AJ1027="","",MAX($AF$1:$AF1027))</f>
        <v/>
      </c>
      <c r="AL1027" t="str">
        <f t="shared" si="67"/>
        <v/>
      </c>
      <c r="AM1027" t="str">
        <f>IF(AL1027="","",MAX($AF$1:$AF1027))</f>
        <v/>
      </c>
    </row>
    <row r="1028" spans="1:39" ht="13.5" customHeight="1" x14ac:dyDescent="0.3">
      <c r="A1028" s="8" t="s">
        <v>212</v>
      </c>
      <c r="B1028" s="9"/>
      <c r="C1028" s="10">
        <v>7</v>
      </c>
      <c r="D1028" s="11"/>
      <c r="AB1028" t="str" cm="1">
        <f t="array" ref="AB1028:AC1028">_xlfn._xlws.FILTER(A1028:Z1028,A1028:Z1028&lt;&gt;"","")</f>
        <v>CHEM</v>
      </c>
      <c r="AC1028">
        <v>7</v>
      </c>
      <c r="AD1028" t="str">
        <v/>
      </c>
      <c r="AE1028" t="str">
        <v/>
      </c>
      <c r="AF1028" t="str" cm="1">
        <f t="array" ref="AF1028">IF(AD1028="","",SUMPRODUCT(IF(LEFT($AD$1:AD1028,2)="JS",1,0)))</f>
        <v/>
      </c>
      <c r="AG1028" t="b">
        <f t="shared" si="64"/>
        <v>1</v>
      </c>
      <c r="AH1028" t="str">
        <f t="shared" si="65"/>
        <v/>
      </c>
      <c r="AI1028" t="str">
        <f>IF(AH1028="","",MAX($AF$1:$AF1028))</f>
        <v/>
      </c>
      <c r="AJ1028" t="str">
        <f t="shared" si="66"/>
        <v>CHEM</v>
      </c>
      <c r="AK1028">
        <f>IF(AJ1028="","",MAX($AF$1:$AF1028))</f>
        <v>21</v>
      </c>
      <c r="AL1028" t="str">
        <f t="shared" si="67"/>
        <v/>
      </c>
      <c r="AM1028" t="str">
        <f>IF(AL1028="","",MAX($AF$1:$AF1028))</f>
        <v/>
      </c>
    </row>
    <row r="1029" spans="1:39" ht="13.5" customHeight="1" x14ac:dyDescent="0.3">
      <c r="A1029" s="8" t="s">
        <v>214</v>
      </c>
      <c r="B1029" s="9"/>
      <c r="C1029" s="10">
        <v>7</v>
      </c>
      <c r="D1029" s="11"/>
      <c r="AB1029" t="str" cm="1">
        <f t="array" ref="AB1029:AC1029">_xlfn._xlws.FILTER(A1029:Z1029,A1029:Z1029&lt;&gt;"","")</f>
        <v>中史</v>
      </c>
      <c r="AC1029">
        <v>7</v>
      </c>
      <c r="AD1029" t="str">
        <v/>
      </c>
      <c r="AE1029" t="str">
        <v/>
      </c>
      <c r="AF1029" t="str" cm="1">
        <f t="array" ref="AF1029">IF(AD1029="","",SUMPRODUCT(IF(LEFT($AD$1:AD1029,2)="JS",1,0)))</f>
        <v/>
      </c>
      <c r="AG1029" t="b">
        <f t="shared" si="64"/>
        <v>1</v>
      </c>
      <c r="AH1029" t="str">
        <f t="shared" si="65"/>
        <v/>
      </c>
      <c r="AI1029" t="str">
        <f>IF(AH1029="","",MAX($AF$1:$AF1029))</f>
        <v/>
      </c>
      <c r="AJ1029" t="str">
        <f t="shared" si="66"/>
        <v>中史</v>
      </c>
      <c r="AK1029">
        <f>IF(AJ1029="","",MAX($AF$1:$AF1029))</f>
        <v>21</v>
      </c>
      <c r="AL1029" t="str">
        <f t="shared" si="67"/>
        <v/>
      </c>
      <c r="AM1029" t="str">
        <f>IF(AL1029="","",MAX($AF$1:$AF1029))</f>
        <v/>
      </c>
    </row>
    <row r="1030" spans="1:39" ht="13.5" customHeight="1" x14ac:dyDescent="0.3">
      <c r="A1030" s="8" t="s">
        <v>216</v>
      </c>
      <c r="B1030" s="9"/>
      <c r="C1030" s="10">
        <v>10</v>
      </c>
      <c r="D1030" s="11"/>
      <c r="AB1030" t="str" cm="1">
        <f t="array" ref="AB1030:AC1030">_xlfn._xlws.FILTER(A1030:Z1030,A1030:Z1030&lt;&gt;"","")</f>
        <v>中文</v>
      </c>
      <c r="AC1030">
        <v>10</v>
      </c>
      <c r="AD1030" t="str">
        <v/>
      </c>
      <c r="AE1030" t="str">
        <v/>
      </c>
      <c r="AF1030" t="str" cm="1">
        <f t="array" ref="AF1030">IF(AD1030="","",SUMPRODUCT(IF(LEFT($AD$1:AD1030,2)="JS",1,0)))</f>
        <v/>
      </c>
      <c r="AG1030" t="b">
        <f t="shared" si="64"/>
        <v>1</v>
      </c>
      <c r="AH1030" t="str">
        <f t="shared" si="65"/>
        <v>中文</v>
      </c>
      <c r="AI1030">
        <f>IF(AH1030="","",MAX($AF$1:$AF1030))</f>
        <v>21</v>
      </c>
      <c r="AJ1030" t="str">
        <f t="shared" si="66"/>
        <v/>
      </c>
      <c r="AK1030" t="str">
        <f>IF(AJ1030="","",MAX($AF$1:$AF1030))</f>
        <v/>
      </c>
      <c r="AL1030" t="str">
        <f t="shared" si="67"/>
        <v/>
      </c>
      <c r="AM1030" t="str">
        <f>IF(AL1030="","",MAX($AF$1:$AF1030))</f>
        <v/>
      </c>
    </row>
    <row r="1031" spans="1:39" ht="13.5" customHeight="1" x14ac:dyDescent="0.3">
      <c r="A1031" s="8" t="s">
        <v>7</v>
      </c>
      <c r="B1031" s="9"/>
      <c r="C1031" s="10">
        <v>7</v>
      </c>
      <c r="D1031" s="11"/>
      <c r="AB1031" t="str" cm="1">
        <f t="array" ref="AB1031:AC1031">_xlfn._xlws.FILTER(A1031:Z1031,A1031:Z1031&lt;&gt;"","")</f>
        <v>Chinese Literature</v>
      </c>
      <c r="AC1031">
        <v>7</v>
      </c>
      <c r="AD1031" t="str">
        <v/>
      </c>
      <c r="AE1031" t="str">
        <v/>
      </c>
      <c r="AF1031" t="str" cm="1">
        <f t="array" ref="AF1031">IF(AD1031="","",SUMPRODUCT(IF(LEFT($AD$1:AD1031,2)="JS",1,0)))</f>
        <v/>
      </c>
      <c r="AG1031" t="str">
        <f t="shared" si="64"/>
        <v/>
      </c>
      <c r="AH1031" t="str">
        <f t="shared" si="65"/>
        <v/>
      </c>
      <c r="AI1031" t="str">
        <f>IF(AH1031="","",MAX($AF$1:$AF1031))</f>
        <v/>
      </c>
      <c r="AJ1031" t="str">
        <f t="shared" si="66"/>
        <v/>
      </c>
      <c r="AK1031" t="str">
        <f>IF(AJ1031="","",MAX($AF$1:$AF1031))</f>
        <v/>
      </c>
      <c r="AL1031" t="str">
        <f t="shared" si="67"/>
        <v/>
      </c>
      <c r="AM1031" t="str">
        <f>IF(AL1031="","",MAX($AF$1:$AF1031))</f>
        <v/>
      </c>
    </row>
    <row r="1032" spans="1:39" ht="13.5" customHeight="1" x14ac:dyDescent="0.3">
      <c r="A1032" s="8" t="s">
        <v>8</v>
      </c>
      <c r="B1032" s="9"/>
      <c r="C1032" s="10">
        <v>10</v>
      </c>
      <c r="D1032" s="11"/>
      <c r="AB1032" t="str" cm="1">
        <f t="array" ref="AB1032:AC1032">_xlfn._xlws.FILTER(A1032:Z1032,A1032:Z1032&lt;&gt;"","")</f>
        <v>Combined Science: Biology + Chemistry</v>
      </c>
      <c r="AC1032">
        <v>10</v>
      </c>
      <c r="AD1032" t="str">
        <v/>
      </c>
      <c r="AE1032" t="str">
        <v/>
      </c>
      <c r="AF1032" t="str" cm="1">
        <f t="array" ref="AF1032">IF(AD1032="","",SUMPRODUCT(IF(LEFT($AD$1:AD1032,2)="JS",1,0)))</f>
        <v/>
      </c>
      <c r="AG1032" t="str">
        <f t="shared" si="64"/>
        <v/>
      </c>
      <c r="AH1032" t="str">
        <f t="shared" si="65"/>
        <v/>
      </c>
      <c r="AI1032" t="str">
        <f>IF(AH1032="","",MAX($AF$1:$AF1032))</f>
        <v/>
      </c>
      <c r="AJ1032" t="str">
        <f t="shared" si="66"/>
        <v/>
      </c>
      <c r="AK1032" t="str">
        <f>IF(AJ1032="","",MAX($AF$1:$AF1032))</f>
        <v/>
      </c>
      <c r="AL1032" t="str">
        <f t="shared" si="67"/>
        <v/>
      </c>
      <c r="AM1032" t="str">
        <f>IF(AL1032="","",MAX($AF$1:$AF1032))</f>
        <v/>
      </c>
    </row>
    <row r="1033" spans="1:39" ht="13.5" customHeight="1" x14ac:dyDescent="0.3">
      <c r="A1033" s="8" t="s">
        <v>9</v>
      </c>
      <c r="B1033" s="9"/>
      <c r="C1033" s="10">
        <v>10</v>
      </c>
      <c r="D1033" s="11"/>
      <c r="AB1033" t="str" cm="1">
        <f t="array" ref="AB1033:AC1033">_xlfn._xlws.FILTER(A1033:Z1033,A1033:Z1033&lt;&gt;"","")</f>
        <v>Combined Science: Biology + Physics</v>
      </c>
      <c r="AC1033">
        <v>10</v>
      </c>
      <c r="AD1033" t="str">
        <v/>
      </c>
      <c r="AE1033" t="str">
        <v/>
      </c>
      <c r="AF1033" t="str" cm="1">
        <f t="array" ref="AF1033">IF(AD1033="","",SUMPRODUCT(IF(LEFT($AD$1:AD1033,2)="JS",1,0)))</f>
        <v/>
      </c>
      <c r="AG1033" t="str">
        <f t="shared" si="64"/>
        <v/>
      </c>
      <c r="AH1033" t="str">
        <f t="shared" si="65"/>
        <v/>
      </c>
      <c r="AI1033" t="str">
        <f>IF(AH1033="","",MAX($AF$1:$AF1033))</f>
        <v/>
      </c>
      <c r="AJ1033" t="str">
        <f t="shared" si="66"/>
        <v/>
      </c>
      <c r="AK1033" t="str">
        <f>IF(AJ1033="","",MAX($AF$1:$AF1033))</f>
        <v/>
      </c>
      <c r="AL1033" t="str">
        <f t="shared" si="67"/>
        <v/>
      </c>
      <c r="AM1033" t="str">
        <f>IF(AL1033="","",MAX($AF$1:$AF1033))</f>
        <v/>
      </c>
    </row>
    <row r="1034" spans="1:39" ht="13.5" customHeight="1" x14ac:dyDescent="0.3">
      <c r="A1034" s="8" t="s">
        <v>10</v>
      </c>
      <c r="B1034" s="9"/>
      <c r="C1034" s="10">
        <v>7</v>
      </c>
      <c r="D1034" s="11"/>
      <c r="AB1034" t="str" cm="1">
        <f t="array" ref="AB1034:AC1034">_xlfn._xlws.FILTER(A1034:Z1034,A1034:Z1034&lt;&gt;"","")</f>
        <v>Combined Science: Physics + Chemistry</v>
      </c>
      <c r="AC1034">
        <v>7</v>
      </c>
      <c r="AD1034" t="str">
        <v/>
      </c>
      <c r="AE1034" t="str">
        <v/>
      </c>
      <c r="AF1034" t="str" cm="1">
        <f t="array" ref="AF1034">IF(AD1034="","",SUMPRODUCT(IF(LEFT($AD$1:AD1034,2)="JS",1,0)))</f>
        <v/>
      </c>
      <c r="AG1034" t="str">
        <f t="shared" si="64"/>
        <v/>
      </c>
      <c r="AH1034" t="str">
        <f t="shared" si="65"/>
        <v/>
      </c>
      <c r="AI1034" t="str">
        <f>IF(AH1034="","",MAX($AF$1:$AF1034))</f>
        <v/>
      </c>
      <c r="AJ1034" t="str">
        <f t="shared" si="66"/>
        <v/>
      </c>
      <c r="AK1034" t="str">
        <f>IF(AJ1034="","",MAX($AF$1:$AF1034))</f>
        <v/>
      </c>
      <c r="AL1034" t="str">
        <f t="shared" si="67"/>
        <v/>
      </c>
      <c r="AM1034" t="str">
        <f>IF(AL1034="","",MAX($AF$1:$AF1034))</f>
        <v/>
      </c>
    </row>
    <row r="1035" spans="1:39" ht="13.5" customHeight="1" x14ac:dyDescent="0.3">
      <c r="A1035" s="8" t="s">
        <v>11</v>
      </c>
      <c r="B1035" s="9"/>
      <c r="C1035" s="10">
        <v>7</v>
      </c>
      <c r="D1035" s="11"/>
      <c r="AB1035" t="str" cm="1">
        <f t="array" ref="AB1035:AC1035">_xlfn._xlws.FILTER(A1035:Z1035,A1035:Z1035&lt;&gt;"","")</f>
        <v>Design and Applied Technology</v>
      </c>
      <c r="AC1035">
        <v>7</v>
      </c>
      <c r="AD1035" t="str">
        <v/>
      </c>
      <c r="AE1035" t="str">
        <v/>
      </c>
      <c r="AF1035" t="str" cm="1">
        <f t="array" ref="AF1035">IF(AD1035="","",SUMPRODUCT(IF(LEFT($AD$1:AD1035,2)="JS",1,0)))</f>
        <v/>
      </c>
      <c r="AG1035" t="str">
        <f t="shared" si="64"/>
        <v/>
      </c>
      <c r="AH1035" t="str">
        <f t="shared" si="65"/>
        <v/>
      </c>
      <c r="AI1035" t="str">
        <f>IF(AH1035="","",MAX($AF$1:$AF1035))</f>
        <v/>
      </c>
      <c r="AJ1035" t="str">
        <f t="shared" si="66"/>
        <v/>
      </c>
      <c r="AK1035" t="str">
        <f>IF(AJ1035="","",MAX($AF$1:$AF1035))</f>
        <v/>
      </c>
      <c r="AL1035" t="str">
        <f t="shared" si="67"/>
        <v/>
      </c>
      <c r="AM1035" t="str">
        <f>IF(AL1035="","",MAX($AF$1:$AF1035))</f>
        <v/>
      </c>
    </row>
    <row r="1036" spans="1:39" ht="13.5" customHeight="1" x14ac:dyDescent="0.3">
      <c r="A1036" s="8" t="s">
        <v>217</v>
      </c>
      <c r="B1036" s="9"/>
      <c r="C1036" s="10">
        <v>7</v>
      </c>
      <c r="D1036" s="11"/>
      <c r="AB1036" t="str" cm="1">
        <f t="array" ref="AB1036:AC1036">_xlfn._xlws.FILTER(A1036:Z1036,A1036:Z1036&lt;&gt;"","")</f>
        <v>ECON</v>
      </c>
      <c r="AC1036">
        <v>7</v>
      </c>
      <c r="AD1036" t="str">
        <v/>
      </c>
      <c r="AE1036" t="str">
        <v/>
      </c>
      <c r="AF1036" t="str" cm="1">
        <f t="array" ref="AF1036">IF(AD1036="","",SUMPRODUCT(IF(LEFT($AD$1:AD1036,2)="JS",1,0)))</f>
        <v/>
      </c>
      <c r="AG1036" t="b">
        <f t="shared" si="64"/>
        <v>1</v>
      </c>
      <c r="AH1036" t="str">
        <f t="shared" si="65"/>
        <v/>
      </c>
      <c r="AI1036" t="str">
        <f>IF(AH1036="","",MAX($AF$1:$AF1036))</f>
        <v/>
      </c>
      <c r="AJ1036" t="str">
        <f t="shared" si="66"/>
        <v>ECON</v>
      </c>
      <c r="AK1036">
        <f>IF(AJ1036="","",MAX($AF$1:$AF1036))</f>
        <v>21</v>
      </c>
      <c r="AL1036" t="str">
        <f t="shared" si="67"/>
        <v/>
      </c>
      <c r="AM1036" t="str">
        <f>IF(AL1036="","",MAX($AF$1:$AF1036))</f>
        <v/>
      </c>
    </row>
    <row r="1037" spans="1:39" ht="13.5" customHeight="1" x14ac:dyDescent="0.3">
      <c r="A1037" s="8" t="s">
        <v>218</v>
      </c>
      <c r="B1037" s="9"/>
      <c r="C1037" s="10">
        <v>10</v>
      </c>
      <c r="D1037" s="11"/>
      <c r="AB1037" t="str" cm="1">
        <f t="array" ref="AB1037:AC1037">_xlfn._xlws.FILTER(A1037:Z1037,A1037:Z1037&lt;&gt;"","")</f>
        <v>ENG</v>
      </c>
      <c r="AC1037">
        <v>10</v>
      </c>
      <c r="AD1037" t="str">
        <v/>
      </c>
      <c r="AE1037" t="str">
        <v/>
      </c>
      <c r="AF1037" t="str" cm="1">
        <f t="array" ref="AF1037">IF(AD1037="","",SUMPRODUCT(IF(LEFT($AD$1:AD1037,2)="JS",1,0)))</f>
        <v/>
      </c>
      <c r="AG1037" t="b">
        <f t="shared" si="64"/>
        <v>1</v>
      </c>
      <c r="AH1037" t="str">
        <f t="shared" si="65"/>
        <v>ENG</v>
      </c>
      <c r="AI1037">
        <f>IF(AH1037="","",MAX($AF$1:$AF1037))</f>
        <v>21</v>
      </c>
      <c r="AJ1037" t="str">
        <f t="shared" si="66"/>
        <v/>
      </c>
      <c r="AK1037" t="str">
        <f>IF(AJ1037="","",MAX($AF$1:$AF1037))</f>
        <v/>
      </c>
      <c r="AL1037" t="str">
        <f t="shared" si="67"/>
        <v/>
      </c>
      <c r="AM1037" t="str">
        <f>IF(AL1037="","",MAX($AF$1:$AF1037))</f>
        <v/>
      </c>
    </row>
    <row r="1038" spans="1:39" ht="13.5" customHeight="1" x14ac:dyDescent="0.3">
      <c r="A1038" s="8" t="s">
        <v>12</v>
      </c>
      <c r="B1038" s="9"/>
      <c r="C1038" s="10">
        <v>7</v>
      </c>
      <c r="D1038" s="11"/>
      <c r="AB1038" t="str" cm="1">
        <f t="array" ref="AB1038:AC1038">_xlfn._xlws.FILTER(A1038:Z1038,A1038:Z1038&lt;&gt;"","")</f>
        <v>Ethics and Religious Studies</v>
      </c>
      <c r="AC1038">
        <v>7</v>
      </c>
      <c r="AD1038" t="str">
        <v/>
      </c>
      <c r="AE1038" t="str">
        <v/>
      </c>
      <c r="AF1038" t="str" cm="1">
        <f t="array" ref="AF1038">IF(AD1038="","",SUMPRODUCT(IF(LEFT($AD$1:AD1038,2)="JS",1,0)))</f>
        <v/>
      </c>
      <c r="AG1038" t="str">
        <f t="shared" si="64"/>
        <v/>
      </c>
      <c r="AH1038" t="str">
        <f t="shared" si="65"/>
        <v/>
      </c>
      <c r="AI1038" t="str">
        <f>IF(AH1038="","",MAX($AF$1:$AF1038))</f>
        <v/>
      </c>
      <c r="AJ1038" t="str">
        <f t="shared" si="66"/>
        <v/>
      </c>
      <c r="AK1038" t="str">
        <f>IF(AJ1038="","",MAX($AF$1:$AF1038))</f>
        <v/>
      </c>
      <c r="AL1038" t="str">
        <f t="shared" si="67"/>
        <v/>
      </c>
      <c r="AM1038" t="str">
        <f>IF(AL1038="","",MAX($AF$1:$AF1038))</f>
        <v/>
      </c>
    </row>
    <row r="1039" spans="1:39" ht="13.5" customHeight="1" x14ac:dyDescent="0.3">
      <c r="A1039" s="8" t="s">
        <v>219</v>
      </c>
      <c r="B1039" s="9"/>
      <c r="C1039" s="10">
        <v>7</v>
      </c>
      <c r="D1039" s="11"/>
      <c r="AB1039" t="str" cm="1">
        <f t="array" ref="AB1039:AC1039">_xlfn._xlws.FILTER(A1039:Z1039,A1039:Z1039&lt;&gt;"","")</f>
        <v>GEOG</v>
      </c>
      <c r="AC1039">
        <v>7</v>
      </c>
      <c r="AD1039" t="str">
        <v/>
      </c>
      <c r="AE1039" t="str">
        <v/>
      </c>
      <c r="AF1039" t="str" cm="1">
        <f t="array" ref="AF1039">IF(AD1039="","",SUMPRODUCT(IF(LEFT($AD$1:AD1039,2)="JS",1,0)))</f>
        <v/>
      </c>
      <c r="AG1039" t="b">
        <f t="shared" si="64"/>
        <v>1</v>
      </c>
      <c r="AH1039" t="str">
        <f t="shared" si="65"/>
        <v/>
      </c>
      <c r="AI1039" t="str">
        <f>IF(AH1039="","",MAX($AF$1:$AF1039))</f>
        <v/>
      </c>
      <c r="AJ1039" t="str">
        <f t="shared" si="66"/>
        <v>GEOG</v>
      </c>
      <c r="AK1039">
        <f>IF(AJ1039="","",MAX($AF$1:$AF1039))</f>
        <v>21</v>
      </c>
      <c r="AL1039" t="str">
        <f t="shared" si="67"/>
        <v/>
      </c>
      <c r="AM1039" t="str">
        <f>IF(AL1039="","",MAX($AF$1:$AF1039))</f>
        <v/>
      </c>
    </row>
    <row r="1040" spans="1:39" ht="13.5" customHeight="1" x14ac:dyDescent="0.3">
      <c r="A1040" s="8" t="s">
        <v>220</v>
      </c>
      <c r="B1040" s="9"/>
      <c r="C1040" s="10">
        <v>7</v>
      </c>
      <c r="D1040" s="11"/>
      <c r="AB1040" t="str" cm="1">
        <f t="array" ref="AB1040:AC1040">_xlfn._xlws.FILTER(A1040:Z1040,A1040:Z1040&lt;&gt;"","")</f>
        <v>HMSC</v>
      </c>
      <c r="AC1040">
        <v>7</v>
      </c>
      <c r="AD1040" t="str">
        <v/>
      </c>
      <c r="AE1040" t="str">
        <v/>
      </c>
      <c r="AF1040" t="str" cm="1">
        <f t="array" ref="AF1040">IF(AD1040="","",SUMPRODUCT(IF(LEFT($AD$1:AD1040,2)="JS",1,0)))</f>
        <v/>
      </c>
      <c r="AG1040" t="b">
        <f t="shared" si="64"/>
        <v>1</v>
      </c>
      <c r="AH1040" t="str">
        <f t="shared" si="65"/>
        <v/>
      </c>
      <c r="AI1040" t="str">
        <f>IF(AH1040="","",MAX($AF$1:$AF1040))</f>
        <v/>
      </c>
      <c r="AJ1040" t="str">
        <f t="shared" si="66"/>
        <v>HMSC</v>
      </c>
      <c r="AK1040">
        <f>IF(AJ1040="","",MAX($AF$1:$AF1040))</f>
        <v>21</v>
      </c>
      <c r="AL1040" t="str">
        <f t="shared" si="67"/>
        <v/>
      </c>
      <c r="AM1040" t="str">
        <f>IF(AL1040="","",MAX($AF$1:$AF1040))</f>
        <v/>
      </c>
    </row>
    <row r="1041" spans="1:39" ht="13.5" customHeight="1" x14ac:dyDescent="0.3">
      <c r="A1041" s="8" t="s">
        <v>221</v>
      </c>
      <c r="B1041" s="9"/>
      <c r="C1041" s="10">
        <v>7</v>
      </c>
      <c r="D1041" s="11"/>
      <c r="AB1041" t="str" cm="1">
        <f t="array" ref="AB1041:AC1041">_xlfn._xlws.FILTER(A1041:Z1041,A1041:Z1041&lt;&gt;"","")</f>
        <v>HIST</v>
      </c>
      <c r="AC1041">
        <v>7</v>
      </c>
      <c r="AD1041" t="str">
        <v/>
      </c>
      <c r="AE1041" t="str">
        <v/>
      </c>
      <c r="AF1041" t="str" cm="1">
        <f t="array" ref="AF1041">IF(AD1041="","",SUMPRODUCT(IF(LEFT($AD$1:AD1041,2)="JS",1,0)))</f>
        <v/>
      </c>
      <c r="AG1041" t="b">
        <f t="shared" si="64"/>
        <v>1</v>
      </c>
      <c r="AH1041" t="str">
        <f t="shared" si="65"/>
        <v/>
      </c>
      <c r="AI1041" t="str">
        <f>IF(AH1041="","",MAX($AF$1:$AF1041))</f>
        <v/>
      </c>
      <c r="AJ1041" t="str">
        <f t="shared" si="66"/>
        <v>HIST</v>
      </c>
      <c r="AK1041">
        <f>IF(AJ1041="","",MAX($AF$1:$AF1041))</f>
        <v>21</v>
      </c>
      <c r="AL1041" t="str">
        <f t="shared" si="67"/>
        <v/>
      </c>
      <c r="AM1041" t="str">
        <f>IF(AL1041="","",MAX($AF$1:$AF1041))</f>
        <v/>
      </c>
    </row>
    <row r="1042" spans="1:39" ht="13.5" customHeight="1" x14ac:dyDescent="0.3">
      <c r="A1042" s="8" t="s">
        <v>222</v>
      </c>
      <c r="B1042" s="9"/>
      <c r="C1042" s="10">
        <v>7</v>
      </c>
      <c r="D1042" s="11"/>
      <c r="AB1042" t="str" cm="1">
        <f t="array" ref="AB1042:AC1042">_xlfn._xlws.FILTER(A1042:Z1042,A1042:Z1042&lt;&gt;"","")</f>
        <v>ICT</v>
      </c>
      <c r="AC1042">
        <v>7</v>
      </c>
      <c r="AD1042" t="str">
        <v/>
      </c>
      <c r="AE1042" t="str">
        <v/>
      </c>
      <c r="AF1042" t="str" cm="1">
        <f t="array" ref="AF1042">IF(AD1042="","",SUMPRODUCT(IF(LEFT($AD$1:AD1042,2)="JS",1,0)))</f>
        <v/>
      </c>
      <c r="AG1042" t="b">
        <f t="shared" si="64"/>
        <v>1</v>
      </c>
      <c r="AH1042" t="str">
        <f t="shared" si="65"/>
        <v/>
      </c>
      <c r="AI1042" t="str">
        <f>IF(AH1042="","",MAX($AF$1:$AF1042))</f>
        <v/>
      </c>
      <c r="AJ1042" t="str">
        <f t="shared" si="66"/>
        <v>ICT</v>
      </c>
      <c r="AK1042">
        <f>IF(AJ1042="","",MAX($AF$1:$AF1042))</f>
        <v>21</v>
      </c>
      <c r="AL1042" t="str">
        <f t="shared" si="67"/>
        <v/>
      </c>
      <c r="AM1042" t="str">
        <f>IF(AL1042="","",MAX($AF$1:$AF1042))</f>
        <v/>
      </c>
    </row>
    <row r="1043" spans="1:39" ht="13.5" customHeight="1" x14ac:dyDescent="0.3">
      <c r="A1043" s="8" t="s">
        <v>13</v>
      </c>
      <c r="B1043" s="9"/>
      <c r="C1043" s="10">
        <v>7</v>
      </c>
      <c r="D1043" s="11"/>
      <c r="AB1043" t="str" cm="1">
        <f t="array" ref="AB1043:AC1043">_xlfn._xlws.FILTER(A1043:Z1043,A1043:Z1043&lt;&gt;"","")</f>
        <v>Integrated Science</v>
      </c>
      <c r="AC1043">
        <v>7</v>
      </c>
      <c r="AD1043" t="str">
        <v/>
      </c>
      <c r="AE1043" t="str">
        <v/>
      </c>
      <c r="AF1043" t="str" cm="1">
        <f t="array" ref="AF1043">IF(AD1043="","",SUMPRODUCT(IF(LEFT($AD$1:AD1043,2)="JS",1,0)))</f>
        <v/>
      </c>
      <c r="AG1043" t="str">
        <f t="shared" si="64"/>
        <v/>
      </c>
      <c r="AH1043" t="str">
        <f t="shared" si="65"/>
        <v/>
      </c>
      <c r="AI1043" t="str">
        <f>IF(AH1043="","",MAX($AF$1:$AF1043))</f>
        <v/>
      </c>
      <c r="AJ1043" t="str">
        <f t="shared" si="66"/>
        <v/>
      </c>
      <c r="AK1043" t="str">
        <f>IF(AJ1043="","",MAX($AF$1:$AF1043))</f>
        <v/>
      </c>
      <c r="AL1043" t="str">
        <f t="shared" si="67"/>
        <v/>
      </c>
      <c r="AM1043" t="str">
        <f>IF(AL1043="","",MAX($AF$1:$AF1043))</f>
        <v/>
      </c>
    </row>
    <row r="1044" spans="1:39" ht="13.5" customHeight="1" x14ac:dyDescent="0.3">
      <c r="A1044" s="8" t="s">
        <v>223</v>
      </c>
      <c r="B1044" s="9"/>
      <c r="C1044" s="10">
        <v>10</v>
      </c>
      <c r="D1044" s="11"/>
      <c r="AB1044" t="str" cm="1">
        <f t="array" ref="AB1044:AC1044">_xlfn._xlws.FILTER(A1044:Z1044,A1044:Z1044&lt;&gt;"","")</f>
        <v>通</v>
      </c>
      <c r="AC1044">
        <v>10</v>
      </c>
      <c r="AD1044" t="str">
        <v/>
      </c>
      <c r="AE1044" t="str">
        <v/>
      </c>
      <c r="AF1044" t="str" cm="1">
        <f t="array" ref="AF1044">IF(AD1044="","",SUMPRODUCT(IF(LEFT($AD$1:AD1044,2)="JS",1,0)))</f>
        <v/>
      </c>
      <c r="AG1044" t="b">
        <f t="shared" si="64"/>
        <v>1</v>
      </c>
      <c r="AH1044" t="str">
        <f t="shared" si="65"/>
        <v>通</v>
      </c>
      <c r="AI1044">
        <f>IF(AH1044="","",MAX($AF$1:$AF1044))</f>
        <v>21</v>
      </c>
      <c r="AJ1044" t="str">
        <f t="shared" si="66"/>
        <v/>
      </c>
      <c r="AK1044" t="str">
        <f>IF(AJ1044="","",MAX($AF$1:$AF1044))</f>
        <v/>
      </c>
      <c r="AL1044" t="str">
        <f t="shared" si="67"/>
        <v/>
      </c>
      <c r="AM1044" t="str">
        <f>IF(AL1044="","",MAX($AF$1:$AF1044))</f>
        <v/>
      </c>
    </row>
    <row r="1045" spans="1:39" ht="13.5" customHeight="1" x14ac:dyDescent="0.3">
      <c r="A1045" s="8" t="s">
        <v>14</v>
      </c>
      <c r="B1045" s="9"/>
      <c r="C1045" s="10">
        <v>7</v>
      </c>
      <c r="D1045" s="11"/>
      <c r="AB1045" t="str" cm="1">
        <f t="array" ref="AB1045:AC1045">_xlfn._xlws.FILTER(A1045:Z1045,A1045:Z1045&lt;&gt;"","")</f>
        <v>Literature in English</v>
      </c>
      <c r="AC1045">
        <v>7</v>
      </c>
      <c r="AD1045" t="str">
        <v/>
      </c>
      <c r="AE1045" t="str">
        <v/>
      </c>
      <c r="AF1045" t="str" cm="1">
        <f t="array" ref="AF1045">IF(AD1045="","",SUMPRODUCT(IF(LEFT($AD$1:AD1045,2)="JS",1,0)))</f>
        <v/>
      </c>
      <c r="AG1045" t="str">
        <f t="shared" si="64"/>
        <v/>
      </c>
      <c r="AH1045" t="str">
        <f t="shared" si="65"/>
        <v/>
      </c>
      <c r="AI1045" t="str">
        <f>IF(AH1045="","",MAX($AF$1:$AF1045))</f>
        <v/>
      </c>
      <c r="AJ1045" t="str">
        <f t="shared" si="66"/>
        <v/>
      </c>
      <c r="AK1045" t="str">
        <f>IF(AJ1045="","",MAX($AF$1:$AF1045))</f>
        <v/>
      </c>
      <c r="AL1045" t="str">
        <f t="shared" si="67"/>
        <v/>
      </c>
      <c r="AM1045" t="str">
        <f>IF(AL1045="","",MAX($AF$1:$AF1045))</f>
        <v/>
      </c>
    </row>
    <row r="1046" spans="1:39" ht="13.5" customHeight="1" x14ac:dyDescent="0.3">
      <c r="A1046" s="8" t="s">
        <v>224</v>
      </c>
      <c r="B1046" s="9"/>
      <c r="C1046" s="10">
        <v>10</v>
      </c>
      <c r="D1046" s="11"/>
      <c r="AB1046" t="str" cm="1">
        <f t="array" ref="AB1046:AC1046">_xlfn._xlws.FILTER(A1046:Z1046,A1046:Z1046&lt;&gt;"","")</f>
        <v>MATH</v>
      </c>
      <c r="AC1046">
        <v>10</v>
      </c>
      <c r="AD1046" t="str">
        <v/>
      </c>
      <c r="AE1046" t="str">
        <v/>
      </c>
      <c r="AF1046" t="str" cm="1">
        <f t="array" ref="AF1046">IF(AD1046="","",SUMPRODUCT(IF(LEFT($AD$1:AD1046,2)="JS",1,0)))</f>
        <v/>
      </c>
      <c r="AG1046" t="b">
        <f t="shared" si="64"/>
        <v>1</v>
      </c>
      <c r="AH1046" t="str">
        <f t="shared" si="65"/>
        <v>MATH</v>
      </c>
      <c r="AI1046">
        <f>IF(AH1046="","",MAX($AF$1:$AF1046))</f>
        <v>21</v>
      </c>
      <c r="AJ1046" t="str">
        <f t="shared" si="66"/>
        <v/>
      </c>
      <c r="AK1046" t="str">
        <f>IF(AJ1046="","",MAX($AF$1:$AF1046))</f>
        <v/>
      </c>
      <c r="AL1046" t="str">
        <f t="shared" si="67"/>
        <v/>
      </c>
      <c r="AM1046" t="str">
        <f>IF(AL1046="","",MAX($AF$1:$AF1046))</f>
        <v/>
      </c>
    </row>
    <row r="1047" spans="1:39" ht="13.5" customHeight="1" x14ac:dyDescent="0.3">
      <c r="A1047" s="8" t="s">
        <v>225</v>
      </c>
      <c r="B1047" s="9"/>
      <c r="C1047" s="10">
        <v>7</v>
      </c>
      <c r="D1047" s="11"/>
      <c r="AB1047" t="str" cm="1">
        <f t="array" ref="AB1047:AC1047">_xlfn._xlws.FILTER(A1047:Z1047,A1047:Z1047&lt;&gt;"","")</f>
        <v>M2</v>
      </c>
      <c r="AC1047">
        <v>7</v>
      </c>
      <c r="AD1047" t="str">
        <v/>
      </c>
      <c r="AE1047" t="str">
        <v/>
      </c>
      <c r="AF1047" t="str" cm="1">
        <f t="array" ref="AF1047">IF(AD1047="","",SUMPRODUCT(IF(LEFT($AD$1:AD1047,2)="JS",1,0)))</f>
        <v/>
      </c>
      <c r="AG1047" t="b">
        <f t="shared" si="64"/>
        <v>1</v>
      </c>
      <c r="AH1047" t="str">
        <f t="shared" si="65"/>
        <v/>
      </c>
      <c r="AI1047" t="str">
        <f>IF(AH1047="","",MAX($AF$1:$AF1047))</f>
        <v/>
      </c>
      <c r="AJ1047" t="str">
        <f t="shared" si="66"/>
        <v>M2</v>
      </c>
      <c r="AK1047">
        <f>IF(AJ1047="","",MAX($AF$1:$AF1047))</f>
        <v>21</v>
      </c>
      <c r="AL1047" t="str">
        <f t="shared" si="67"/>
        <v/>
      </c>
      <c r="AM1047" t="str">
        <f>IF(AL1047="","",MAX($AF$1:$AF1047))</f>
        <v/>
      </c>
    </row>
    <row r="1048" spans="1:39" ht="13.5" customHeight="1" x14ac:dyDescent="0.3">
      <c r="A1048" s="8" t="s">
        <v>15</v>
      </c>
      <c r="B1048" s="9"/>
      <c r="C1048" s="10">
        <v>7</v>
      </c>
      <c r="D1048" s="11"/>
      <c r="AB1048" t="str" cm="1">
        <f t="array" ref="AB1048:AC1048">_xlfn._xlws.FILTER(A1048:Z1048,A1048:Z1048&lt;&gt;"","")</f>
        <v>Mathematics (Extended part - Calculus and Statistics)</v>
      </c>
      <c r="AC1048">
        <v>7</v>
      </c>
      <c r="AD1048" t="str">
        <v/>
      </c>
      <c r="AE1048" t="str">
        <v/>
      </c>
      <c r="AF1048" t="str" cm="1">
        <f t="array" ref="AF1048">IF(AD1048="","",SUMPRODUCT(IF(LEFT($AD$1:AD1048,2)="JS",1,0)))</f>
        <v/>
      </c>
      <c r="AG1048" t="str">
        <f t="shared" si="64"/>
        <v/>
      </c>
      <c r="AH1048" t="str">
        <f t="shared" si="65"/>
        <v/>
      </c>
      <c r="AI1048" t="str">
        <f>IF(AH1048="","",MAX($AF$1:$AF1048))</f>
        <v/>
      </c>
      <c r="AJ1048" t="str">
        <f t="shared" si="66"/>
        <v/>
      </c>
      <c r="AK1048" t="str">
        <f>IF(AJ1048="","",MAX($AF$1:$AF1048))</f>
        <v/>
      </c>
      <c r="AL1048" t="str">
        <f t="shared" si="67"/>
        <v/>
      </c>
      <c r="AM1048" t="str">
        <f>IF(AL1048="","",MAX($AF$1:$AF1048))</f>
        <v/>
      </c>
    </row>
    <row r="1049" spans="1:39" ht="13.5" customHeight="1" x14ac:dyDescent="0.3">
      <c r="A1049" s="8" t="s">
        <v>16</v>
      </c>
      <c r="B1049" s="9"/>
      <c r="C1049" s="10">
        <v>7</v>
      </c>
      <c r="D1049" s="11"/>
      <c r="AB1049" t="str" cm="1">
        <f t="array" ref="AB1049:AC1049">_xlfn._xlws.FILTER(A1049:Z1049,A1049:Z1049&lt;&gt;"","")</f>
        <v>Music</v>
      </c>
      <c r="AC1049">
        <v>7</v>
      </c>
      <c r="AD1049" t="str">
        <v/>
      </c>
      <c r="AE1049" t="str">
        <v/>
      </c>
      <c r="AF1049" t="str" cm="1">
        <f t="array" ref="AF1049">IF(AD1049="","",SUMPRODUCT(IF(LEFT($AD$1:AD1049,2)="JS",1,0)))</f>
        <v/>
      </c>
      <c r="AG1049" t="str">
        <f t="shared" si="64"/>
        <v/>
      </c>
      <c r="AH1049" t="str">
        <f t="shared" si="65"/>
        <v/>
      </c>
      <c r="AI1049" t="str">
        <f>IF(AH1049="","",MAX($AF$1:$AF1049))</f>
        <v/>
      </c>
      <c r="AJ1049" t="str">
        <f t="shared" si="66"/>
        <v/>
      </c>
      <c r="AK1049" t="str">
        <f>IF(AJ1049="","",MAX($AF$1:$AF1049))</f>
        <v/>
      </c>
      <c r="AL1049" t="str">
        <f t="shared" si="67"/>
        <v/>
      </c>
      <c r="AM1049" t="str">
        <f>IF(AL1049="","",MAX($AF$1:$AF1049))</f>
        <v/>
      </c>
    </row>
    <row r="1050" spans="1:39" ht="13.5" customHeight="1" x14ac:dyDescent="0.3">
      <c r="A1050" s="8" t="s">
        <v>17</v>
      </c>
      <c r="B1050" s="9"/>
      <c r="C1050" s="10">
        <v>7</v>
      </c>
      <c r="D1050" s="11"/>
      <c r="AB1050" t="str" cm="1">
        <f t="array" ref="AB1050:AC1050">_xlfn._xlws.FILTER(A1050:Z1050,A1050:Z1050&lt;&gt;"","")</f>
        <v>Physical Education</v>
      </c>
      <c r="AC1050">
        <v>7</v>
      </c>
      <c r="AD1050" t="str">
        <v/>
      </c>
      <c r="AE1050" t="str">
        <v/>
      </c>
      <c r="AF1050" t="str" cm="1">
        <f t="array" ref="AF1050">IF(AD1050="","",SUMPRODUCT(IF(LEFT($AD$1:AD1050,2)="JS",1,0)))</f>
        <v/>
      </c>
      <c r="AG1050" t="str">
        <f t="shared" si="64"/>
        <v/>
      </c>
      <c r="AH1050" t="str">
        <f t="shared" si="65"/>
        <v/>
      </c>
      <c r="AI1050" t="str">
        <f>IF(AH1050="","",MAX($AF$1:$AF1050))</f>
        <v/>
      </c>
      <c r="AJ1050" t="str">
        <f t="shared" si="66"/>
        <v/>
      </c>
      <c r="AK1050" t="str">
        <f>IF(AJ1050="","",MAX($AF$1:$AF1050))</f>
        <v/>
      </c>
      <c r="AL1050" t="str">
        <f t="shared" si="67"/>
        <v/>
      </c>
      <c r="AM1050" t="str">
        <f>IF(AL1050="","",MAX($AF$1:$AF1050))</f>
        <v/>
      </c>
    </row>
    <row r="1051" spans="1:39" ht="13.5" customHeight="1" x14ac:dyDescent="0.3">
      <c r="A1051" s="8" t="s">
        <v>226</v>
      </c>
      <c r="B1051" s="9"/>
      <c r="C1051" s="10">
        <v>7</v>
      </c>
      <c r="D1051" s="11"/>
      <c r="AB1051" t="str" cm="1">
        <f t="array" ref="AB1051:AC1051">_xlfn._xlws.FILTER(A1051:Z1051,A1051:Z1051&lt;&gt;"","")</f>
        <v>PHY</v>
      </c>
      <c r="AC1051">
        <v>7</v>
      </c>
      <c r="AD1051" t="str">
        <v/>
      </c>
      <c r="AE1051" t="str">
        <v/>
      </c>
      <c r="AF1051" t="str" cm="1">
        <f t="array" ref="AF1051">IF(AD1051="","",SUMPRODUCT(IF(LEFT($AD$1:AD1051,2)="JS",1,0)))</f>
        <v/>
      </c>
      <c r="AG1051" t="b">
        <f t="shared" si="64"/>
        <v>1</v>
      </c>
      <c r="AH1051" t="str">
        <f t="shared" si="65"/>
        <v/>
      </c>
      <c r="AI1051" t="str">
        <f>IF(AH1051="","",MAX($AF$1:$AF1051))</f>
        <v/>
      </c>
      <c r="AJ1051" t="str">
        <f t="shared" si="66"/>
        <v>PHY</v>
      </c>
      <c r="AK1051">
        <f>IF(AJ1051="","",MAX($AF$1:$AF1051))</f>
        <v>21</v>
      </c>
      <c r="AL1051" t="str">
        <f t="shared" si="67"/>
        <v/>
      </c>
      <c r="AM1051" t="str">
        <f>IF(AL1051="","",MAX($AF$1:$AF1051))</f>
        <v/>
      </c>
    </row>
    <row r="1052" spans="1:39" ht="13.5" customHeight="1" x14ac:dyDescent="0.3">
      <c r="A1052" s="8" t="s">
        <v>18</v>
      </c>
      <c r="B1052" s="9"/>
      <c r="C1052" s="10">
        <v>7</v>
      </c>
      <c r="D1052" s="11"/>
      <c r="AB1052" t="str" cm="1">
        <f t="array" ref="AB1052:AC1052">_xlfn._xlws.FILTER(A1052:Z1052,A1052:Z1052&lt;&gt;"","")</f>
        <v>Technology and Living (Fashion, Clothing and Textiles)</v>
      </c>
      <c r="AC1052">
        <v>7</v>
      </c>
      <c r="AD1052" t="str">
        <v/>
      </c>
      <c r="AE1052" t="str">
        <v/>
      </c>
      <c r="AF1052" t="str" cm="1">
        <f t="array" ref="AF1052">IF(AD1052="","",SUMPRODUCT(IF(LEFT($AD$1:AD1052,2)="JS",1,0)))</f>
        <v/>
      </c>
      <c r="AG1052" t="str">
        <f t="shared" si="64"/>
        <v/>
      </c>
      <c r="AH1052" t="str">
        <f t="shared" si="65"/>
        <v/>
      </c>
      <c r="AI1052" t="str">
        <f>IF(AH1052="","",MAX($AF$1:$AF1052))</f>
        <v/>
      </c>
      <c r="AJ1052" t="str">
        <f t="shared" si="66"/>
        <v/>
      </c>
      <c r="AK1052" t="str">
        <f>IF(AJ1052="","",MAX($AF$1:$AF1052))</f>
        <v/>
      </c>
      <c r="AL1052" t="str">
        <f t="shared" si="67"/>
        <v/>
      </c>
      <c r="AM1052" t="str">
        <f>IF(AL1052="","",MAX($AF$1:$AF1052))</f>
        <v/>
      </c>
    </row>
    <row r="1053" spans="1:39" ht="13.5" customHeight="1" x14ac:dyDescent="0.3">
      <c r="A1053" s="8" t="s">
        <v>19</v>
      </c>
      <c r="B1053" s="9"/>
      <c r="C1053" s="10">
        <v>7</v>
      </c>
      <c r="D1053" s="11"/>
      <c r="AB1053" t="str" cm="1">
        <f t="array" ref="AB1053:AC1053">_xlfn._xlws.FILTER(A1053:Z1053,A1053:Z1053&lt;&gt;"","")</f>
        <v>Technology and Living (Food Science and Technology)</v>
      </c>
      <c r="AC1053">
        <v>7</v>
      </c>
      <c r="AD1053" t="str">
        <v/>
      </c>
      <c r="AE1053" t="str">
        <v/>
      </c>
      <c r="AF1053" t="str" cm="1">
        <f t="array" ref="AF1053">IF(AD1053="","",SUMPRODUCT(IF(LEFT($AD$1:AD1053,2)="JS",1,0)))</f>
        <v/>
      </c>
      <c r="AG1053" t="str">
        <f t="shared" si="64"/>
        <v/>
      </c>
      <c r="AH1053" t="str">
        <f t="shared" si="65"/>
        <v/>
      </c>
      <c r="AI1053" t="str">
        <f>IF(AH1053="","",MAX($AF$1:$AF1053))</f>
        <v/>
      </c>
      <c r="AJ1053" t="str">
        <f t="shared" si="66"/>
        <v/>
      </c>
      <c r="AK1053" t="str">
        <f>IF(AJ1053="","",MAX($AF$1:$AF1053))</f>
        <v/>
      </c>
      <c r="AL1053" t="str">
        <f t="shared" si="67"/>
        <v/>
      </c>
      <c r="AM1053" t="str">
        <f>IF(AL1053="","",MAX($AF$1:$AF1053))</f>
        <v/>
      </c>
    </row>
    <row r="1054" spans="1:39" ht="13.5" customHeight="1" x14ac:dyDescent="0.3">
      <c r="A1054" s="8" t="s">
        <v>20</v>
      </c>
      <c r="B1054" s="9"/>
      <c r="C1054" s="10">
        <v>7</v>
      </c>
      <c r="D1054" s="11"/>
      <c r="AB1054" t="str" cm="1">
        <f t="array" ref="AB1054:AC1054">_xlfn._xlws.FILTER(A1054:Z1054,A1054:Z1054&lt;&gt;"","")</f>
        <v>Tourism and Hospitality Studies</v>
      </c>
      <c r="AC1054">
        <v>7</v>
      </c>
      <c r="AD1054" t="str">
        <v/>
      </c>
      <c r="AE1054" t="str">
        <v/>
      </c>
      <c r="AF1054" t="str" cm="1">
        <f t="array" ref="AF1054">IF(AD1054="","",SUMPRODUCT(IF(LEFT($AD$1:AD1054,2)="JS",1,0)))</f>
        <v/>
      </c>
      <c r="AG1054" t="str">
        <f t="shared" si="64"/>
        <v/>
      </c>
      <c r="AH1054" t="str">
        <f t="shared" si="65"/>
        <v/>
      </c>
      <c r="AI1054" t="str">
        <f>IF(AH1054="","",MAX($AF$1:$AF1054))</f>
        <v/>
      </c>
      <c r="AJ1054" t="str">
        <f t="shared" si="66"/>
        <v/>
      </c>
      <c r="AK1054" t="str">
        <f>IF(AJ1054="","",MAX($AF$1:$AF1054))</f>
        <v/>
      </c>
      <c r="AL1054" t="str">
        <f t="shared" si="67"/>
        <v/>
      </c>
      <c r="AM1054" t="str">
        <f>IF(AL1054="","",MAX($AF$1:$AF1054))</f>
        <v/>
      </c>
    </row>
    <row r="1055" spans="1:39" ht="13.5" customHeight="1" x14ac:dyDescent="0.3">
      <c r="A1055" s="8" t="s">
        <v>210</v>
      </c>
      <c r="B1055" s="9"/>
      <c r="C1055" s="10">
        <v>7</v>
      </c>
      <c r="D1055" s="11"/>
      <c r="AB1055" t="str" cm="1">
        <f t="array" ref="AB1055:AC1055">_xlfn._xlws.FILTER(A1055:Z1055,A1055:Z1055&lt;&gt;"","")</f>
        <v>VA</v>
      </c>
      <c r="AC1055">
        <v>7</v>
      </c>
      <c r="AD1055" t="str">
        <v/>
      </c>
      <c r="AE1055" t="str">
        <v/>
      </c>
      <c r="AF1055" t="str" cm="1">
        <f t="array" ref="AF1055">IF(AD1055="","",SUMPRODUCT(IF(LEFT($AD$1:AD1055,2)="JS",1,0)))</f>
        <v/>
      </c>
      <c r="AG1055" t="b">
        <f t="shared" si="64"/>
        <v>1</v>
      </c>
      <c r="AH1055" t="str">
        <f t="shared" si="65"/>
        <v/>
      </c>
      <c r="AI1055" t="str">
        <f>IF(AH1055="","",MAX($AF$1:$AF1055))</f>
        <v/>
      </c>
      <c r="AJ1055" t="str">
        <f t="shared" si="66"/>
        <v>VA</v>
      </c>
      <c r="AK1055">
        <f>IF(AJ1055="","",MAX($AF$1:$AF1055))</f>
        <v>21</v>
      </c>
      <c r="AL1055" t="str">
        <f t="shared" si="67"/>
        <v/>
      </c>
      <c r="AM1055" t="str">
        <f>IF(AL1055="","",MAX($AF$1:$AF1055))</f>
        <v/>
      </c>
    </row>
    <row r="1056" spans="1:39" ht="14.5" customHeight="1" x14ac:dyDescent="0.3">
      <c r="A1056" s="12"/>
      <c r="B1056" s="12"/>
      <c r="C1056" s="2"/>
      <c r="D1056" s="2"/>
      <c r="AB1056" t="str" cm="1">
        <f t="array" ref="AB1056">_xlfn._xlws.FILTER(A1056:Z1056,A1056:Z1056&lt;&gt;"","")</f>
        <v/>
      </c>
      <c r="AD1056" t="str">
        <v/>
      </c>
      <c r="AE1056" t="str">
        <v/>
      </c>
      <c r="AF1056" t="str" cm="1">
        <f t="array" ref="AF1056">IF(AD1056="","",SUMPRODUCT(IF(LEFT($AD$1:AD1056,2)="JS",1,0)))</f>
        <v/>
      </c>
      <c r="AG1056" t="str">
        <f t="shared" si="64"/>
        <v/>
      </c>
      <c r="AH1056" t="str">
        <f t="shared" si="65"/>
        <v/>
      </c>
      <c r="AI1056" t="str">
        <f>IF(AH1056="","",MAX($AF$1:$AF1056))</f>
        <v/>
      </c>
      <c r="AJ1056" t="str">
        <f t="shared" si="66"/>
        <v/>
      </c>
      <c r="AK1056" t="str">
        <f>IF(AJ1056="","",MAX($AF$1:$AF1056))</f>
        <v/>
      </c>
      <c r="AL1056" t="str">
        <f t="shared" si="67"/>
        <v/>
      </c>
      <c r="AM1056" t="str">
        <f>IF(AL1056="","",MAX($AF$1:$AF1056))</f>
        <v/>
      </c>
    </row>
    <row r="1057" spans="1:39" ht="13.5" customHeight="1" x14ac:dyDescent="0.3">
      <c r="A1057" s="13" t="s">
        <v>34</v>
      </c>
      <c r="B1057" s="13"/>
      <c r="C1057" s="13"/>
      <c r="D1057" s="13"/>
      <c r="AB1057" t="str" cm="1">
        <f t="array" ref="AB1057">_xlfn._xlws.FILTER(A1057:Z1057,A1057:Z1057&lt;&gt;"","")</f>
        <v>Category C: Other Language Subjects</v>
      </c>
      <c r="AD1057" t="str">
        <v/>
      </c>
      <c r="AE1057" t="str">
        <v/>
      </c>
      <c r="AF1057" t="str" cm="1">
        <f t="array" ref="AF1057">IF(AD1057="","",SUMPRODUCT(IF(LEFT($AD$1:AD1057,2)="JS",1,0)))</f>
        <v/>
      </c>
      <c r="AG1057" t="str">
        <f t="shared" si="64"/>
        <v/>
      </c>
      <c r="AH1057" t="str">
        <f t="shared" si="65"/>
        <v/>
      </c>
      <c r="AI1057" t="str">
        <f>IF(AH1057="","",MAX($AF$1:$AF1057))</f>
        <v/>
      </c>
      <c r="AJ1057" t="str">
        <f t="shared" si="66"/>
        <v/>
      </c>
      <c r="AK1057" t="str">
        <f>IF(AJ1057="","",MAX($AF$1:$AF1057))</f>
        <v/>
      </c>
      <c r="AL1057" t="str">
        <f t="shared" si="67"/>
        <v/>
      </c>
      <c r="AM1057" t="str">
        <f>IF(AL1057="","",MAX($AF$1:$AF1057))</f>
        <v/>
      </c>
    </row>
    <row r="1058" spans="1:39" ht="13.5" customHeight="1" x14ac:dyDescent="0.3">
      <c r="A1058" s="14" t="s">
        <v>3</v>
      </c>
      <c r="B1058" s="15"/>
      <c r="C1058" s="16" t="s">
        <v>4</v>
      </c>
      <c r="D1058" s="17"/>
      <c r="AB1058" t="str" cm="1">
        <f t="array" ref="AB1058:AC1058">_xlfn._xlws.FILTER(A1058:Z1058,A1058:Z1058&lt;&gt;"","")</f>
        <v>Subject Name</v>
      </c>
      <c r="AC1058" t="str">
        <v>Subject Weighting for 2023/24 Admission Exercise *</v>
      </c>
      <c r="AD1058" t="str">
        <v/>
      </c>
      <c r="AE1058" t="str">
        <v/>
      </c>
      <c r="AF1058" t="str" cm="1">
        <f t="array" ref="AF1058">IF(AD1058="","",SUMPRODUCT(IF(LEFT($AD$1:AD1058,2)="JS",1,0)))</f>
        <v/>
      </c>
      <c r="AG1058" t="str">
        <f t="shared" si="64"/>
        <v/>
      </c>
      <c r="AH1058" t="str">
        <f t="shared" si="65"/>
        <v/>
      </c>
      <c r="AI1058" t="str">
        <f>IF(AH1058="","",MAX($AF$1:$AF1058))</f>
        <v/>
      </c>
      <c r="AJ1058" t="str">
        <f t="shared" si="66"/>
        <v/>
      </c>
      <c r="AK1058" t="str">
        <f>IF(AJ1058="","",MAX($AF$1:$AF1058))</f>
        <v/>
      </c>
      <c r="AL1058" t="str">
        <f t="shared" si="67"/>
        <v/>
      </c>
      <c r="AM1058" t="str">
        <f>IF(AL1058="","",MAX($AF$1:$AF1058))</f>
        <v/>
      </c>
    </row>
    <row r="1059" spans="1:39" ht="13.5" customHeight="1" x14ac:dyDescent="0.3">
      <c r="A1059" s="8" t="s">
        <v>35</v>
      </c>
      <c r="B1059" s="9"/>
      <c r="C1059" s="10">
        <v>5</v>
      </c>
      <c r="D1059" s="11"/>
      <c r="AB1059" t="str" cm="1">
        <f t="array" ref="AB1059:AC1059">_xlfn._xlws.FILTER(A1059:Z1059,A1059:Z1059&lt;&gt;"","")</f>
        <v>French</v>
      </c>
      <c r="AC1059">
        <v>5</v>
      </c>
      <c r="AD1059" t="str">
        <v/>
      </c>
      <c r="AE1059" t="str">
        <v/>
      </c>
      <c r="AF1059" t="str" cm="1">
        <f t="array" ref="AF1059">IF(AD1059="","",SUMPRODUCT(IF(LEFT($AD$1:AD1059,2)="JS",1,0)))</f>
        <v/>
      </c>
      <c r="AG1059" t="str">
        <f t="shared" si="64"/>
        <v/>
      </c>
      <c r="AH1059" t="str">
        <f t="shared" si="65"/>
        <v/>
      </c>
      <c r="AI1059" t="str">
        <f>IF(AH1059="","",MAX($AF$1:$AF1059))</f>
        <v/>
      </c>
      <c r="AJ1059" t="str">
        <f t="shared" si="66"/>
        <v/>
      </c>
      <c r="AK1059" t="str">
        <f>IF(AJ1059="","",MAX($AF$1:$AF1059))</f>
        <v/>
      </c>
      <c r="AL1059" t="str">
        <f t="shared" si="67"/>
        <v/>
      </c>
      <c r="AM1059" t="str">
        <f>IF(AL1059="","",MAX($AF$1:$AF1059))</f>
        <v/>
      </c>
    </row>
    <row r="1060" spans="1:39" ht="13.5" customHeight="1" x14ac:dyDescent="0.3">
      <c r="A1060" s="8" t="s">
        <v>36</v>
      </c>
      <c r="B1060" s="9"/>
      <c r="C1060" s="10">
        <v>5</v>
      </c>
      <c r="D1060" s="11"/>
      <c r="AB1060" t="str" cm="1">
        <f t="array" ref="AB1060:AC1060">_xlfn._xlws.FILTER(A1060:Z1060,A1060:Z1060&lt;&gt;"","")</f>
        <v>German</v>
      </c>
      <c r="AC1060">
        <v>5</v>
      </c>
      <c r="AD1060" t="str">
        <v/>
      </c>
      <c r="AE1060" t="str">
        <v/>
      </c>
      <c r="AF1060" t="str" cm="1">
        <f t="array" ref="AF1060">IF(AD1060="","",SUMPRODUCT(IF(LEFT($AD$1:AD1060,2)="JS",1,0)))</f>
        <v/>
      </c>
      <c r="AG1060" t="str">
        <f t="shared" si="64"/>
        <v/>
      </c>
      <c r="AH1060" t="str">
        <f t="shared" si="65"/>
        <v/>
      </c>
      <c r="AI1060" t="str">
        <f>IF(AH1060="","",MAX($AF$1:$AF1060))</f>
        <v/>
      </c>
      <c r="AJ1060" t="str">
        <f t="shared" si="66"/>
        <v/>
      </c>
      <c r="AK1060" t="str">
        <f>IF(AJ1060="","",MAX($AF$1:$AF1060))</f>
        <v/>
      </c>
      <c r="AL1060" t="str">
        <f t="shared" si="67"/>
        <v/>
      </c>
      <c r="AM1060" t="str">
        <f>IF(AL1060="","",MAX($AF$1:$AF1060))</f>
        <v/>
      </c>
    </row>
    <row r="1061" spans="1:39" ht="13.5" customHeight="1" x14ac:dyDescent="0.3">
      <c r="A1061" s="8" t="s">
        <v>37</v>
      </c>
      <c r="B1061" s="9"/>
      <c r="C1061" s="10">
        <v>5</v>
      </c>
      <c r="D1061" s="11"/>
      <c r="AB1061" t="str" cm="1">
        <f t="array" ref="AB1061:AC1061">_xlfn._xlws.FILTER(A1061:Z1061,A1061:Z1061&lt;&gt;"","")</f>
        <v>Hindi</v>
      </c>
      <c r="AC1061">
        <v>5</v>
      </c>
      <c r="AD1061" t="str">
        <v/>
      </c>
      <c r="AE1061" t="str">
        <v/>
      </c>
      <c r="AF1061" t="str" cm="1">
        <f t="array" ref="AF1061">IF(AD1061="","",SUMPRODUCT(IF(LEFT($AD$1:AD1061,2)="JS",1,0)))</f>
        <v/>
      </c>
      <c r="AG1061" t="str">
        <f t="shared" si="64"/>
        <v/>
      </c>
      <c r="AH1061" t="str">
        <f t="shared" si="65"/>
        <v/>
      </c>
      <c r="AI1061" t="str">
        <f>IF(AH1061="","",MAX($AF$1:$AF1061))</f>
        <v/>
      </c>
      <c r="AJ1061" t="str">
        <f t="shared" si="66"/>
        <v/>
      </c>
      <c r="AK1061" t="str">
        <f>IF(AJ1061="","",MAX($AF$1:$AF1061))</f>
        <v/>
      </c>
      <c r="AL1061" t="str">
        <f t="shared" si="67"/>
        <v/>
      </c>
      <c r="AM1061" t="str">
        <f>IF(AL1061="","",MAX($AF$1:$AF1061))</f>
        <v/>
      </c>
    </row>
    <row r="1062" spans="1:39" ht="13.5" customHeight="1" x14ac:dyDescent="0.3">
      <c r="A1062" s="8" t="s">
        <v>38</v>
      </c>
      <c r="B1062" s="9"/>
      <c r="C1062" s="10">
        <v>5</v>
      </c>
      <c r="D1062" s="11"/>
      <c r="AB1062" t="str" cm="1">
        <f t="array" ref="AB1062:AC1062">_xlfn._xlws.FILTER(A1062:Z1062,A1062:Z1062&lt;&gt;"","")</f>
        <v>Japanese</v>
      </c>
      <c r="AC1062">
        <v>5</v>
      </c>
      <c r="AD1062" t="str">
        <v/>
      </c>
      <c r="AE1062" t="str">
        <v/>
      </c>
      <c r="AF1062" t="str" cm="1">
        <f t="array" ref="AF1062">IF(AD1062="","",SUMPRODUCT(IF(LEFT($AD$1:AD1062,2)="JS",1,0)))</f>
        <v/>
      </c>
      <c r="AG1062" t="str">
        <f t="shared" si="64"/>
        <v/>
      </c>
      <c r="AH1062" t="str">
        <f t="shared" si="65"/>
        <v/>
      </c>
      <c r="AI1062" t="str">
        <f>IF(AH1062="","",MAX($AF$1:$AF1062))</f>
        <v/>
      </c>
      <c r="AJ1062" t="str">
        <f t="shared" si="66"/>
        <v/>
      </c>
      <c r="AK1062" t="str">
        <f>IF(AJ1062="","",MAX($AF$1:$AF1062))</f>
        <v/>
      </c>
      <c r="AL1062" t="str">
        <f t="shared" si="67"/>
        <v/>
      </c>
      <c r="AM1062" t="str">
        <f>IF(AL1062="","",MAX($AF$1:$AF1062))</f>
        <v/>
      </c>
    </row>
    <row r="1063" spans="1:39" ht="13.5" customHeight="1" x14ac:dyDescent="0.3">
      <c r="A1063" s="8" t="s">
        <v>39</v>
      </c>
      <c r="B1063" s="9"/>
      <c r="C1063" s="10">
        <v>5</v>
      </c>
      <c r="D1063" s="11"/>
      <c r="AB1063" t="str" cm="1">
        <f t="array" ref="AB1063:AC1063">_xlfn._xlws.FILTER(A1063:Z1063,A1063:Z1063&lt;&gt;"","")</f>
        <v>Spanish</v>
      </c>
      <c r="AC1063">
        <v>5</v>
      </c>
      <c r="AD1063" t="str">
        <v/>
      </c>
      <c r="AE1063" t="str">
        <v/>
      </c>
      <c r="AF1063" t="str" cm="1">
        <f t="array" ref="AF1063">IF(AD1063="","",SUMPRODUCT(IF(LEFT($AD$1:AD1063,2)="JS",1,0)))</f>
        <v/>
      </c>
      <c r="AG1063" t="str">
        <f t="shared" si="64"/>
        <v/>
      </c>
      <c r="AH1063" t="str">
        <f t="shared" si="65"/>
        <v/>
      </c>
      <c r="AI1063" t="str">
        <f>IF(AH1063="","",MAX($AF$1:$AF1063))</f>
        <v/>
      </c>
      <c r="AJ1063" t="str">
        <f t="shared" si="66"/>
        <v/>
      </c>
      <c r="AK1063" t="str">
        <f>IF(AJ1063="","",MAX($AF$1:$AF1063))</f>
        <v/>
      </c>
      <c r="AL1063" t="str">
        <f t="shared" si="67"/>
        <v/>
      </c>
      <c r="AM1063" t="str">
        <f>IF(AL1063="","",MAX($AF$1:$AF1063))</f>
        <v/>
      </c>
    </row>
    <row r="1064" spans="1:39" ht="13.5" customHeight="1" x14ac:dyDescent="0.3">
      <c r="A1064" s="8" t="s">
        <v>40</v>
      </c>
      <c r="B1064" s="9"/>
      <c r="C1064" s="10">
        <v>5</v>
      </c>
      <c r="D1064" s="11"/>
      <c r="AB1064" t="str" cm="1">
        <f t="array" ref="AB1064:AC1064">_xlfn._xlws.FILTER(A1064:Z1064,A1064:Z1064&lt;&gt;"","")</f>
        <v>Urdu</v>
      </c>
      <c r="AC1064">
        <v>5</v>
      </c>
      <c r="AD1064" t="str">
        <v/>
      </c>
      <c r="AE1064" t="str">
        <v/>
      </c>
      <c r="AF1064" t="str" cm="1">
        <f t="array" ref="AF1064">IF(AD1064="","",SUMPRODUCT(IF(LEFT($AD$1:AD1064,2)="JS",1,0)))</f>
        <v/>
      </c>
      <c r="AG1064" t="str">
        <f t="shared" si="64"/>
        <v/>
      </c>
      <c r="AH1064" t="str">
        <f t="shared" si="65"/>
        <v/>
      </c>
      <c r="AI1064" t="str">
        <f>IF(AH1064="","",MAX($AF$1:$AF1064))</f>
        <v/>
      </c>
      <c r="AJ1064" t="str">
        <f t="shared" si="66"/>
        <v/>
      </c>
      <c r="AK1064" t="str">
        <f>IF(AJ1064="","",MAX($AF$1:$AF1064))</f>
        <v/>
      </c>
      <c r="AL1064" t="str">
        <f t="shared" si="67"/>
        <v/>
      </c>
      <c r="AM1064" t="str">
        <f>IF(AL1064="","",MAX($AF$1:$AF1064))</f>
        <v/>
      </c>
    </row>
    <row r="1065" spans="1:39" ht="15" customHeight="1" x14ac:dyDescent="0.3">
      <c r="A1065" s="18" t="s">
        <v>170</v>
      </c>
      <c r="B1065" s="18"/>
      <c r="C1065" s="18"/>
      <c r="D1065" s="1"/>
      <c r="AB1065" t="str" cm="1">
        <f t="array" ref="AB1065">_xlfn._xlws.FILTER(A1065:Z1065,A1065:Z1065&lt;&gt;"","")</f>
        <v>JUPAS Code: JS3478</v>
      </c>
      <c r="AD1065" t="str">
        <v>JS3478</v>
      </c>
      <c r="AE1065" t="str">
        <v/>
      </c>
      <c r="AF1065" cm="1">
        <f t="array" ref="AF1065">IF(AD1065="","",SUMPRODUCT(IF(LEFT($AD$1:AD1065,2)="JS",1,0)))</f>
        <v>22</v>
      </c>
      <c r="AG1065" t="str">
        <f t="shared" si="64"/>
        <v/>
      </c>
      <c r="AH1065" t="str">
        <f t="shared" si="65"/>
        <v/>
      </c>
      <c r="AI1065" t="str">
        <f>IF(AH1065="","",MAX($AF$1:$AF1065))</f>
        <v/>
      </c>
      <c r="AJ1065" t="str">
        <f t="shared" si="66"/>
        <v/>
      </c>
      <c r="AK1065" t="str">
        <f>IF(AJ1065="","",MAX($AF$1:$AF1065))</f>
        <v/>
      </c>
      <c r="AL1065" t="str">
        <f t="shared" si="67"/>
        <v/>
      </c>
      <c r="AM1065" t="str">
        <f>IF(AL1065="","",MAX($AF$1:$AF1065))</f>
        <v/>
      </c>
    </row>
    <row r="1066" spans="1:39" ht="13.5" customHeight="1" x14ac:dyDescent="0.3">
      <c r="A1066" s="18" t="s">
        <v>171</v>
      </c>
      <c r="B1066" s="18"/>
      <c r="C1066" s="18"/>
      <c r="D1066" s="1"/>
      <c r="AB1066" t="str" cm="1">
        <f t="array" ref="AB1066">_xlfn._xlws.FILTER(A1066:Z1066,A1066:Z1066&lt;&gt;"","")</f>
        <v>Programme Title: BSc (Hons) Scheme in Medical Laboratory Science and Radiography - Medical Laboratory Science</v>
      </c>
      <c r="AD1066" t="str">
        <v/>
      </c>
      <c r="AE1066" t="str">
        <v>BSc (Hons) Scheme in Medical Laboratory Science and Radiography - Medical Laboratory Science</v>
      </c>
      <c r="AF1066" t="str" cm="1">
        <f t="array" ref="AF1066">IF(AD1066="","",SUMPRODUCT(IF(LEFT($AD$1:AD1066,2)="JS",1,0)))</f>
        <v/>
      </c>
      <c r="AG1066" t="str">
        <f t="shared" si="64"/>
        <v/>
      </c>
      <c r="AH1066" t="str">
        <f t="shared" si="65"/>
        <v/>
      </c>
      <c r="AI1066" t="str">
        <f>IF(AH1066="","",MAX($AF$1:$AF1066))</f>
        <v/>
      </c>
      <c r="AJ1066" t="str">
        <f t="shared" si="66"/>
        <v/>
      </c>
      <c r="AK1066" t="str">
        <f>IF(AJ1066="","",MAX($AF$1:$AF1066))</f>
        <v/>
      </c>
      <c r="AL1066" t="str">
        <f t="shared" si="67"/>
        <v/>
      </c>
      <c r="AM1066" t="str">
        <f>IF(AL1066="","",MAX($AF$1:$AF1066))</f>
        <v/>
      </c>
    </row>
    <row r="1067" spans="1:39" ht="14.5" customHeight="1" x14ac:dyDescent="0.3">
      <c r="A1067" s="12"/>
      <c r="B1067" s="12"/>
      <c r="C1067" s="2"/>
      <c r="D1067" s="2"/>
      <c r="AB1067" t="str" cm="1">
        <f t="array" ref="AB1067">_xlfn._xlws.FILTER(A1067:Z1067,A1067:Z1067&lt;&gt;"","")</f>
        <v/>
      </c>
      <c r="AD1067" t="str">
        <v/>
      </c>
      <c r="AE1067" t="str">
        <v/>
      </c>
      <c r="AF1067" t="str" cm="1">
        <f t="array" ref="AF1067">IF(AD1067="","",SUMPRODUCT(IF(LEFT($AD$1:AD1067,2)="JS",1,0)))</f>
        <v/>
      </c>
      <c r="AG1067" t="str">
        <f t="shared" si="64"/>
        <v/>
      </c>
      <c r="AH1067" t="str">
        <f t="shared" si="65"/>
        <v/>
      </c>
      <c r="AI1067" t="str">
        <f>IF(AH1067="","",MAX($AF$1:$AF1067))</f>
        <v/>
      </c>
      <c r="AJ1067" t="str">
        <f t="shared" si="66"/>
        <v/>
      </c>
      <c r="AK1067" t="str">
        <f>IF(AJ1067="","",MAX($AF$1:$AF1067))</f>
        <v/>
      </c>
      <c r="AL1067" t="str">
        <f t="shared" si="67"/>
        <v/>
      </c>
      <c r="AM1067" t="str">
        <f>IF(AL1067="","",MAX($AF$1:$AF1067))</f>
        <v/>
      </c>
    </row>
    <row r="1068" spans="1:39" ht="13.5" customHeight="1" x14ac:dyDescent="0.3">
      <c r="A1068" s="13" t="s">
        <v>2</v>
      </c>
      <c r="B1068" s="13"/>
      <c r="C1068" s="13"/>
      <c r="D1068" s="13"/>
      <c r="AB1068" t="str" cm="1">
        <f t="array" ref="AB1068">_xlfn._xlws.FILTER(A1068:Z1068,A1068:Z1068&lt;&gt;"","")</f>
        <v>Category A: Core and Elective Subjects</v>
      </c>
      <c r="AD1068" t="str">
        <v/>
      </c>
      <c r="AE1068" t="str">
        <v/>
      </c>
      <c r="AF1068" t="str" cm="1">
        <f t="array" ref="AF1068">IF(AD1068="","",SUMPRODUCT(IF(LEFT($AD$1:AD1068,2)="JS",1,0)))</f>
        <v/>
      </c>
      <c r="AG1068" t="str">
        <f t="shared" si="64"/>
        <v/>
      </c>
      <c r="AH1068" t="str">
        <f t="shared" si="65"/>
        <v/>
      </c>
      <c r="AI1068" t="str">
        <f>IF(AH1068="","",MAX($AF$1:$AF1068))</f>
        <v/>
      </c>
      <c r="AJ1068" t="str">
        <f t="shared" si="66"/>
        <v/>
      </c>
      <c r="AK1068" t="str">
        <f>IF(AJ1068="","",MAX($AF$1:$AF1068))</f>
        <v/>
      </c>
      <c r="AL1068" t="str">
        <f t="shared" si="67"/>
        <v/>
      </c>
      <c r="AM1068" t="str">
        <f>IF(AL1068="","",MAX($AF$1:$AF1068))</f>
        <v/>
      </c>
    </row>
    <row r="1069" spans="1:39" ht="13.5" customHeight="1" x14ac:dyDescent="0.3">
      <c r="A1069" s="14" t="s">
        <v>3</v>
      </c>
      <c r="B1069" s="15"/>
      <c r="C1069" s="16" t="s">
        <v>4</v>
      </c>
      <c r="D1069" s="17"/>
      <c r="AB1069" t="str" cm="1">
        <f t="array" ref="AB1069:AC1069">_xlfn._xlws.FILTER(A1069:Z1069,A1069:Z1069&lt;&gt;"","")</f>
        <v>Subject Name</v>
      </c>
      <c r="AC1069" t="str">
        <v>Subject Weighting for 2023/24 Admission Exercise *</v>
      </c>
      <c r="AD1069" t="str">
        <v/>
      </c>
      <c r="AE1069" t="str">
        <v/>
      </c>
      <c r="AF1069" t="str" cm="1">
        <f t="array" ref="AF1069">IF(AD1069="","",SUMPRODUCT(IF(LEFT($AD$1:AD1069,2)="JS",1,0)))</f>
        <v/>
      </c>
      <c r="AG1069" t="str">
        <f t="shared" si="64"/>
        <v/>
      </c>
      <c r="AH1069" t="str">
        <f t="shared" si="65"/>
        <v/>
      </c>
      <c r="AI1069" t="str">
        <f>IF(AH1069="","",MAX($AF$1:$AF1069))</f>
        <v/>
      </c>
      <c r="AJ1069" t="str">
        <f t="shared" si="66"/>
        <v/>
      </c>
      <c r="AK1069" t="str">
        <f>IF(AJ1069="","",MAX($AF$1:$AF1069))</f>
        <v/>
      </c>
      <c r="AL1069" t="str">
        <f t="shared" si="67"/>
        <v/>
      </c>
      <c r="AM1069" t="str">
        <f>IF(AL1069="","",MAX($AF$1:$AF1069))</f>
        <v/>
      </c>
    </row>
    <row r="1070" spans="1:39" ht="13.5" customHeight="1" x14ac:dyDescent="0.3">
      <c r="A1070" s="8" t="s">
        <v>211</v>
      </c>
      <c r="B1070" s="9"/>
      <c r="C1070" s="10">
        <v>10</v>
      </c>
      <c r="D1070" s="11"/>
      <c r="AB1070" t="str" cm="1">
        <f t="array" ref="AB1070:AC1070">_xlfn._xlws.FILTER(A1070:Z1070,A1070:Z1070&lt;&gt;"","")</f>
        <v>BIO</v>
      </c>
      <c r="AC1070">
        <v>10</v>
      </c>
      <c r="AD1070" t="str">
        <v/>
      </c>
      <c r="AE1070" t="str">
        <v/>
      </c>
      <c r="AF1070" t="str" cm="1">
        <f t="array" ref="AF1070">IF(AD1070="","",SUMPRODUCT(IF(LEFT($AD$1:AD1070,2)="JS",1,0)))</f>
        <v/>
      </c>
      <c r="AG1070" t="b">
        <f t="shared" si="64"/>
        <v>1</v>
      </c>
      <c r="AH1070" t="str">
        <f t="shared" si="65"/>
        <v>BIO</v>
      </c>
      <c r="AI1070">
        <f>IF(AH1070="","",MAX($AF$1:$AF1070))</f>
        <v>22</v>
      </c>
      <c r="AJ1070" t="str">
        <f t="shared" si="66"/>
        <v/>
      </c>
      <c r="AK1070" t="str">
        <f>IF(AJ1070="","",MAX($AF$1:$AF1070))</f>
        <v/>
      </c>
      <c r="AL1070" t="str">
        <f t="shared" si="67"/>
        <v/>
      </c>
      <c r="AM1070" t="str">
        <f>IF(AL1070="","",MAX($AF$1:$AF1070))</f>
        <v/>
      </c>
    </row>
    <row r="1071" spans="1:39" ht="13.5" customHeight="1" x14ac:dyDescent="0.3">
      <c r="A1071" s="8" t="s">
        <v>213</v>
      </c>
      <c r="B1071" s="9"/>
      <c r="C1071" s="10">
        <v>5</v>
      </c>
      <c r="D1071" s="11"/>
      <c r="AB1071" t="str" cm="1">
        <f t="array" ref="AB1071:AC1071">_xlfn._xlws.FILTER(A1071:Z1071,A1071:Z1071&lt;&gt;"","")</f>
        <v>BAFS</v>
      </c>
      <c r="AC1071">
        <v>5</v>
      </c>
      <c r="AD1071" t="str">
        <v/>
      </c>
      <c r="AE1071" t="str">
        <v/>
      </c>
      <c r="AF1071" t="str" cm="1">
        <f t="array" ref="AF1071">IF(AD1071="","",SUMPRODUCT(IF(LEFT($AD$1:AD1071,2)="JS",1,0)))</f>
        <v/>
      </c>
      <c r="AG1071" t="b">
        <f t="shared" si="64"/>
        <v>1</v>
      </c>
      <c r="AH1071" t="str">
        <f t="shared" si="65"/>
        <v/>
      </c>
      <c r="AI1071" t="str">
        <f>IF(AH1071="","",MAX($AF$1:$AF1071))</f>
        <v/>
      </c>
      <c r="AJ1071" t="str">
        <f t="shared" si="66"/>
        <v/>
      </c>
      <c r="AK1071" t="str">
        <f>IF(AJ1071="","",MAX($AF$1:$AF1071))</f>
        <v/>
      </c>
      <c r="AL1071" t="str">
        <f t="shared" si="67"/>
        <v>BAFS</v>
      </c>
      <c r="AM1071">
        <f>IF(AL1071="","",MAX($AF$1:$AF1071))</f>
        <v>22</v>
      </c>
    </row>
    <row r="1072" spans="1:39" ht="13.5" customHeight="1" x14ac:dyDescent="0.3">
      <c r="A1072" s="8" t="s">
        <v>5</v>
      </c>
      <c r="B1072" s="9"/>
      <c r="C1072" s="10">
        <v>5</v>
      </c>
      <c r="D1072" s="11"/>
      <c r="AB1072" t="str" cm="1">
        <f t="array" ref="AB1072:AC1072">_xlfn._xlws.FILTER(A1072:Z1072,A1072:Z1072&lt;&gt;"","")</f>
        <v>Business, Accounting and Financial Studies (Accounting)</v>
      </c>
      <c r="AC1072">
        <v>5</v>
      </c>
      <c r="AD1072" t="str">
        <v/>
      </c>
      <c r="AE1072" t="str">
        <v/>
      </c>
      <c r="AF1072" t="str" cm="1">
        <f t="array" ref="AF1072">IF(AD1072="","",SUMPRODUCT(IF(LEFT($AD$1:AD1072,2)="JS",1,0)))</f>
        <v/>
      </c>
      <c r="AG1072" t="str">
        <f t="shared" si="64"/>
        <v/>
      </c>
      <c r="AH1072" t="str">
        <f t="shared" si="65"/>
        <v/>
      </c>
      <c r="AI1072" t="str">
        <f>IF(AH1072="","",MAX($AF$1:$AF1072))</f>
        <v/>
      </c>
      <c r="AJ1072" t="str">
        <f t="shared" si="66"/>
        <v/>
      </c>
      <c r="AK1072" t="str">
        <f>IF(AJ1072="","",MAX($AF$1:$AF1072))</f>
        <v/>
      </c>
      <c r="AL1072" t="str">
        <f t="shared" si="67"/>
        <v/>
      </c>
      <c r="AM1072" t="str">
        <f>IF(AL1072="","",MAX($AF$1:$AF1072))</f>
        <v/>
      </c>
    </row>
    <row r="1073" spans="1:39" ht="13.5" customHeight="1" x14ac:dyDescent="0.3">
      <c r="A1073" s="8" t="s">
        <v>6</v>
      </c>
      <c r="B1073" s="9"/>
      <c r="C1073" s="10">
        <v>5</v>
      </c>
      <c r="D1073" s="11"/>
      <c r="AB1073" t="str" cm="1">
        <f t="array" ref="AB1073:AC1073">_xlfn._xlws.FILTER(A1073:Z1073,A1073:Z1073&lt;&gt;"","")</f>
        <v>Business, Accounting and Financial Studies (Business Management)</v>
      </c>
      <c r="AC1073">
        <v>5</v>
      </c>
      <c r="AD1073" t="str">
        <v/>
      </c>
      <c r="AE1073" t="str">
        <v/>
      </c>
      <c r="AF1073" t="str" cm="1">
        <f t="array" ref="AF1073">IF(AD1073="","",SUMPRODUCT(IF(LEFT($AD$1:AD1073,2)="JS",1,0)))</f>
        <v/>
      </c>
      <c r="AG1073" t="str">
        <f t="shared" si="64"/>
        <v/>
      </c>
      <c r="AH1073" t="str">
        <f t="shared" si="65"/>
        <v/>
      </c>
      <c r="AI1073" t="str">
        <f>IF(AH1073="","",MAX($AF$1:$AF1073))</f>
        <v/>
      </c>
      <c r="AJ1073" t="str">
        <f t="shared" si="66"/>
        <v/>
      </c>
      <c r="AK1073" t="str">
        <f>IF(AJ1073="","",MAX($AF$1:$AF1073))</f>
        <v/>
      </c>
      <c r="AL1073" t="str">
        <f t="shared" si="67"/>
        <v/>
      </c>
      <c r="AM1073" t="str">
        <f>IF(AL1073="","",MAX($AF$1:$AF1073))</f>
        <v/>
      </c>
    </row>
    <row r="1074" spans="1:39" ht="13.5" customHeight="1" x14ac:dyDescent="0.3">
      <c r="A1074" s="8" t="s">
        <v>212</v>
      </c>
      <c r="B1074" s="9"/>
      <c r="C1074" s="10">
        <v>10</v>
      </c>
      <c r="D1074" s="11"/>
      <c r="AB1074" t="str" cm="1">
        <f t="array" ref="AB1074:AC1074">_xlfn._xlws.FILTER(A1074:Z1074,A1074:Z1074&lt;&gt;"","")</f>
        <v>CHEM</v>
      </c>
      <c r="AC1074">
        <v>10</v>
      </c>
      <c r="AD1074" t="str">
        <v/>
      </c>
      <c r="AE1074" t="str">
        <v/>
      </c>
      <c r="AF1074" t="str" cm="1">
        <f t="array" ref="AF1074">IF(AD1074="","",SUMPRODUCT(IF(LEFT($AD$1:AD1074,2)="JS",1,0)))</f>
        <v/>
      </c>
      <c r="AG1074" t="b">
        <f t="shared" si="64"/>
        <v>1</v>
      </c>
      <c r="AH1074" t="str">
        <f t="shared" si="65"/>
        <v>CHEM</v>
      </c>
      <c r="AI1074">
        <f>IF(AH1074="","",MAX($AF$1:$AF1074))</f>
        <v>22</v>
      </c>
      <c r="AJ1074" t="str">
        <f t="shared" si="66"/>
        <v/>
      </c>
      <c r="AK1074" t="str">
        <f>IF(AJ1074="","",MAX($AF$1:$AF1074))</f>
        <v/>
      </c>
      <c r="AL1074" t="str">
        <f t="shared" si="67"/>
        <v/>
      </c>
      <c r="AM1074" t="str">
        <f>IF(AL1074="","",MAX($AF$1:$AF1074))</f>
        <v/>
      </c>
    </row>
    <row r="1075" spans="1:39" ht="13.5" customHeight="1" x14ac:dyDescent="0.3">
      <c r="A1075" s="8" t="s">
        <v>214</v>
      </c>
      <c r="B1075" s="9"/>
      <c r="C1075" s="10">
        <v>5</v>
      </c>
      <c r="D1075" s="11"/>
      <c r="AB1075" t="str" cm="1">
        <f t="array" ref="AB1075:AC1075">_xlfn._xlws.FILTER(A1075:Z1075,A1075:Z1075&lt;&gt;"","")</f>
        <v>中史</v>
      </c>
      <c r="AC1075">
        <v>5</v>
      </c>
      <c r="AD1075" t="str">
        <v/>
      </c>
      <c r="AE1075" t="str">
        <v/>
      </c>
      <c r="AF1075" t="str" cm="1">
        <f t="array" ref="AF1075">IF(AD1075="","",SUMPRODUCT(IF(LEFT($AD$1:AD1075,2)="JS",1,0)))</f>
        <v/>
      </c>
      <c r="AG1075" t="b">
        <f t="shared" si="64"/>
        <v>1</v>
      </c>
      <c r="AH1075" t="str">
        <f t="shared" si="65"/>
        <v/>
      </c>
      <c r="AI1075" t="str">
        <f>IF(AH1075="","",MAX($AF$1:$AF1075))</f>
        <v/>
      </c>
      <c r="AJ1075" t="str">
        <f t="shared" si="66"/>
        <v/>
      </c>
      <c r="AK1075" t="str">
        <f>IF(AJ1075="","",MAX($AF$1:$AF1075))</f>
        <v/>
      </c>
      <c r="AL1075" t="str">
        <f t="shared" si="67"/>
        <v>中史</v>
      </c>
      <c r="AM1075">
        <f>IF(AL1075="","",MAX($AF$1:$AF1075))</f>
        <v>22</v>
      </c>
    </row>
    <row r="1076" spans="1:39" ht="13.5" customHeight="1" x14ac:dyDescent="0.3">
      <c r="A1076" s="8" t="s">
        <v>216</v>
      </c>
      <c r="B1076" s="9"/>
      <c r="C1076" s="10">
        <v>10</v>
      </c>
      <c r="D1076" s="11"/>
      <c r="AB1076" t="str" cm="1">
        <f t="array" ref="AB1076:AC1076">_xlfn._xlws.FILTER(A1076:Z1076,A1076:Z1076&lt;&gt;"","")</f>
        <v>中文</v>
      </c>
      <c r="AC1076">
        <v>10</v>
      </c>
      <c r="AD1076" t="str">
        <v/>
      </c>
      <c r="AE1076" t="str">
        <v/>
      </c>
      <c r="AF1076" t="str" cm="1">
        <f t="array" ref="AF1076">IF(AD1076="","",SUMPRODUCT(IF(LEFT($AD$1:AD1076,2)="JS",1,0)))</f>
        <v/>
      </c>
      <c r="AG1076" t="b">
        <f t="shared" si="64"/>
        <v>1</v>
      </c>
      <c r="AH1076" t="str">
        <f t="shared" si="65"/>
        <v>中文</v>
      </c>
      <c r="AI1076">
        <f>IF(AH1076="","",MAX($AF$1:$AF1076))</f>
        <v>22</v>
      </c>
      <c r="AJ1076" t="str">
        <f t="shared" si="66"/>
        <v/>
      </c>
      <c r="AK1076" t="str">
        <f>IF(AJ1076="","",MAX($AF$1:$AF1076))</f>
        <v/>
      </c>
      <c r="AL1076" t="str">
        <f t="shared" si="67"/>
        <v/>
      </c>
      <c r="AM1076" t="str">
        <f>IF(AL1076="","",MAX($AF$1:$AF1076))</f>
        <v/>
      </c>
    </row>
    <row r="1077" spans="1:39" ht="13.5" customHeight="1" x14ac:dyDescent="0.3">
      <c r="A1077" s="8" t="s">
        <v>7</v>
      </c>
      <c r="B1077" s="9"/>
      <c r="C1077" s="10">
        <v>5</v>
      </c>
      <c r="D1077" s="11"/>
      <c r="AB1077" t="str" cm="1">
        <f t="array" ref="AB1077:AC1077">_xlfn._xlws.FILTER(A1077:Z1077,A1077:Z1077&lt;&gt;"","")</f>
        <v>Chinese Literature</v>
      </c>
      <c r="AC1077">
        <v>5</v>
      </c>
      <c r="AD1077" t="str">
        <v/>
      </c>
      <c r="AE1077" t="str">
        <v/>
      </c>
      <c r="AF1077" t="str" cm="1">
        <f t="array" ref="AF1077">IF(AD1077="","",SUMPRODUCT(IF(LEFT($AD$1:AD1077,2)="JS",1,0)))</f>
        <v/>
      </c>
      <c r="AG1077" t="str">
        <f t="shared" si="64"/>
        <v/>
      </c>
      <c r="AH1077" t="str">
        <f t="shared" si="65"/>
        <v/>
      </c>
      <c r="AI1077" t="str">
        <f>IF(AH1077="","",MAX($AF$1:$AF1077))</f>
        <v/>
      </c>
      <c r="AJ1077" t="str">
        <f t="shared" si="66"/>
        <v/>
      </c>
      <c r="AK1077" t="str">
        <f>IF(AJ1077="","",MAX($AF$1:$AF1077))</f>
        <v/>
      </c>
      <c r="AL1077" t="str">
        <f t="shared" si="67"/>
        <v/>
      </c>
      <c r="AM1077" t="str">
        <f>IF(AL1077="","",MAX($AF$1:$AF1077))</f>
        <v/>
      </c>
    </row>
    <row r="1078" spans="1:39" ht="13.5" customHeight="1" x14ac:dyDescent="0.3">
      <c r="A1078" s="8" t="s">
        <v>8</v>
      </c>
      <c r="B1078" s="9"/>
      <c r="C1078" s="10">
        <v>10</v>
      </c>
      <c r="D1078" s="11"/>
      <c r="AB1078" t="str" cm="1">
        <f t="array" ref="AB1078:AC1078">_xlfn._xlws.FILTER(A1078:Z1078,A1078:Z1078&lt;&gt;"","")</f>
        <v>Combined Science: Biology + Chemistry</v>
      </c>
      <c r="AC1078">
        <v>10</v>
      </c>
      <c r="AD1078" t="str">
        <v/>
      </c>
      <c r="AE1078" t="str">
        <v/>
      </c>
      <c r="AF1078" t="str" cm="1">
        <f t="array" ref="AF1078">IF(AD1078="","",SUMPRODUCT(IF(LEFT($AD$1:AD1078,2)="JS",1,0)))</f>
        <v/>
      </c>
      <c r="AG1078" t="str">
        <f t="shared" si="64"/>
        <v/>
      </c>
      <c r="AH1078" t="str">
        <f t="shared" si="65"/>
        <v/>
      </c>
      <c r="AI1078" t="str">
        <f>IF(AH1078="","",MAX($AF$1:$AF1078))</f>
        <v/>
      </c>
      <c r="AJ1078" t="str">
        <f t="shared" si="66"/>
        <v/>
      </c>
      <c r="AK1078" t="str">
        <f>IF(AJ1078="","",MAX($AF$1:$AF1078))</f>
        <v/>
      </c>
      <c r="AL1078" t="str">
        <f t="shared" si="67"/>
        <v/>
      </c>
      <c r="AM1078" t="str">
        <f>IF(AL1078="","",MAX($AF$1:$AF1078))</f>
        <v/>
      </c>
    </row>
    <row r="1079" spans="1:39" ht="13.5" customHeight="1" x14ac:dyDescent="0.3">
      <c r="A1079" s="8" t="s">
        <v>9</v>
      </c>
      <c r="B1079" s="9"/>
      <c r="C1079" s="10">
        <v>7</v>
      </c>
      <c r="D1079" s="11"/>
      <c r="AB1079" t="str" cm="1">
        <f t="array" ref="AB1079:AC1079">_xlfn._xlws.FILTER(A1079:Z1079,A1079:Z1079&lt;&gt;"","")</f>
        <v>Combined Science: Biology + Physics</v>
      </c>
      <c r="AC1079">
        <v>7</v>
      </c>
      <c r="AD1079" t="str">
        <v/>
      </c>
      <c r="AE1079" t="str">
        <v/>
      </c>
      <c r="AF1079" t="str" cm="1">
        <f t="array" ref="AF1079">IF(AD1079="","",SUMPRODUCT(IF(LEFT($AD$1:AD1079,2)="JS",1,0)))</f>
        <v/>
      </c>
      <c r="AG1079" t="str">
        <f t="shared" si="64"/>
        <v/>
      </c>
      <c r="AH1079" t="str">
        <f t="shared" si="65"/>
        <v/>
      </c>
      <c r="AI1079" t="str">
        <f>IF(AH1079="","",MAX($AF$1:$AF1079))</f>
        <v/>
      </c>
      <c r="AJ1079" t="str">
        <f t="shared" si="66"/>
        <v/>
      </c>
      <c r="AK1079" t="str">
        <f>IF(AJ1079="","",MAX($AF$1:$AF1079))</f>
        <v/>
      </c>
      <c r="AL1079" t="str">
        <f t="shared" si="67"/>
        <v/>
      </c>
      <c r="AM1079" t="str">
        <f>IF(AL1079="","",MAX($AF$1:$AF1079))</f>
        <v/>
      </c>
    </row>
    <row r="1080" spans="1:39" ht="13.5" customHeight="1" x14ac:dyDescent="0.3">
      <c r="A1080" s="8" t="s">
        <v>10</v>
      </c>
      <c r="B1080" s="9"/>
      <c r="C1080" s="10">
        <v>7</v>
      </c>
      <c r="D1080" s="11"/>
      <c r="AB1080" t="str" cm="1">
        <f t="array" ref="AB1080:AC1080">_xlfn._xlws.FILTER(A1080:Z1080,A1080:Z1080&lt;&gt;"","")</f>
        <v>Combined Science: Physics + Chemistry</v>
      </c>
      <c r="AC1080">
        <v>7</v>
      </c>
      <c r="AD1080" t="str">
        <v/>
      </c>
      <c r="AE1080" t="str">
        <v/>
      </c>
      <c r="AF1080" t="str" cm="1">
        <f t="array" ref="AF1080">IF(AD1080="","",SUMPRODUCT(IF(LEFT($AD$1:AD1080,2)="JS",1,0)))</f>
        <v/>
      </c>
      <c r="AG1080" t="str">
        <f t="shared" si="64"/>
        <v/>
      </c>
      <c r="AH1080" t="str">
        <f t="shared" si="65"/>
        <v/>
      </c>
      <c r="AI1080" t="str">
        <f>IF(AH1080="","",MAX($AF$1:$AF1080))</f>
        <v/>
      </c>
      <c r="AJ1080" t="str">
        <f t="shared" si="66"/>
        <v/>
      </c>
      <c r="AK1080" t="str">
        <f>IF(AJ1080="","",MAX($AF$1:$AF1080))</f>
        <v/>
      </c>
      <c r="AL1080" t="str">
        <f t="shared" si="67"/>
        <v/>
      </c>
      <c r="AM1080" t="str">
        <f>IF(AL1080="","",MAX($AF$1:$AF1080))</f>
        <v/>
      </c>
    </row>
    <row r="1081" spans="1:39" ht="13.5" customHeight="1" x14ac:dyDescent="0.3">
      <c r="A1081" s="8" t="s">
        <v>11</v>
      </c>
      <c r="B1081" s="9"/>
      <c r="C1081" s="10">
        <v>5</v>
      </c>
      <c r="D1081" s="11"/>
      <c r="AB1081" t="str" cm="1">
        <f t="array" ref="AB1081:AC1081">_xlfn._xlws.FILTER(A1081:Z1081,A1081:Z1081&lt;&gt;"","")</f>
        <v>Design and Applied Technology</v>
      </c>
      <c r="AC1081">
        <v>5</v>
      </c>
      <c r="AD1081" t="str">
        <v/>
      </c>
      <c r="AE1081" t="str">
        <v/>
      </c>
      <c r="AF1081" t="str" cm="1">
        <f t="array" ref="AF1081">IF(AD1081="","",SUMPRODUCT(IF(LEFT($AD$1:AD1081,2)="JS",1,0)))</f>
        <v/>
      </c>
      <c r="AG1081" t="str">
        <f t="shared" si="64"/>
        <v/>
      </c>
      <c r="AH1081" t="str">
        <f t="shared" si="65"/>
        <v/>
      </c>
      <c r="AI1081" t="str">
        <f>IF(AH1081="","",MAX($AF$1:$AF1081))</f>
        <v/>
      </c>
      <c r="AJ1081" t="str">
        <f t="shared" si="66"/>
        <v/>
      </c>
      <c r="AK1081" t="str">
        <f>IF(AJ1081="","",MAX($AF$1:$AF1081))</f>
        <v/>
      </c>
      <c r="AL1081" t="str">
        <f t="shared" si="67"/>
        <v/>
      </c>
      <c r="AM1081" t="str">
        <f>IF(AL1081="","",MAX($AF$1:$AF1081))</f>
        <v/>
      </c>
    </row>
    <row r="1082" spans="1:39" ht="13.5" customHeight="1" x14ac:dyDescent="0.3">
      <c r="A1082" s="8" t="s">
        <v>217</v>
      </c>
      <c r="B1082" s="9"/>
      <c r="C1082" s="10">
        <v>5</v>
      </c>
      <c r="D1082" s="11"/>
      <c r="AB1082" t="str" cm="1">
        <f t="array" ref="AB1082:AC1082">_xlfn._xlws.FILTER(A1082:Z1082,A1082:Z1082&lt;&gt;"","")</f>
        <v>ECON</v>
      </c>
      <c r="AC1082">
        <v>5</v>
      </c>
      <c r="AD1082" t="str">
        <v/>
      </c>
      <c r="AE1082" t="str">
        <v/>
      </c>
      <c r="AF1082" t="str" cm="1">
        <f t="array" ref="AF1082">IF(AD1082="","",SUMPRODUCT(IF(LEFT($AD$1:AD1082,2)="JS",1,0)))</f>
        <v/>
      </c>
      <c r="AG1082" t="b">
        <f t="shared" si="64"/>
        <v>1</v>
      </c>
      <c r="AH1082" t="str">
        <f t="shared" si="65"/>
        <v/>
      </c>
      <c r="AI1082" t="str">
        <f>IF(AH1082="","",MAX($AF$1:$AF1082))</f>
        <v/>
      </c>
      <c r="AJ1082" t="str">
        <f t="shared" si="66"/>
        <v/>
      </c>
      <c r="AK1082" t="str">
        <f>IF(AJ1082="","",MAX($AF$1:$AF1082))</f>
        <v/>
      </c>
      <c r="AL1082" t="str">
        <f t="shared" si="67"/>
        <v>ECON</v>
      </c>
      <c r="AM1082">
        <f>IF(AL1082="","",MAX($AF$1:$AF1082))</f>
        <v>22</v>
      </c>
    </row>
    <row r="1083" spans="1:39" ht="13.5" customHeight="1" x14ac:dyDescent="0.3">
      <c r="A1083" s="8" t="s">
        <v>218</v>
      </c>
      <c r="B1083" s="9"/>
      <c r="C1083" s="10">
        <v>10</v>
      </c>
      <c r="D1083" s="11"/>
      <c r="AB1083" t="str" cm="1">
        <f t="array" ref="AB1083:AC1083">_xlfn._xlws.FILTER(A1083:Z1083,A1083:Z1083&lt;&gt;"","")</f>
        <v>ENG</v>
      </c>
      <c r="AC1083">
        <v>10</v>
      </c>
      <c r="AD1083" t="str">
        <v/>
      </c>
      <c r="AE1083" t="str">
        <v/>
      </c>
      <c r="AF1083" t="str" cm="1">
        <f t="array" ref="AF1083">IF(AD1083="","",SUMPRODUCT(IF(LEFT($AD$1:AD1083,2)="JS",1,0)))</f>
        <v/>
      </c>
      <c r="AG1083" t="b">
        <f t="shared" si="64"/>
        <v>1</v>
      </c>
      <c r="AH1083" t="str">
        <f t="shared" si="65"/>
        <v>ENG</v>
      </c>
      <c r="AI1083">
        <f>IF(AH1083="","",MAX($AF$1:$AF1083))</f>
        <v>22</v>
      </c>
      <c r="AJ1083" t="str">
        <f t="shared" si="66"/>
        <v/>
      </c>
      <c r="AK1083" t="str">
        <f>IF(AJ1083="","",MAX($AF$1:$AF1083))</f>
        <v/>
      </c>
      <c r="AL1083" t="str">
        <f t="shared" si="67"/>
        <v/>
      </c>
      <c r="AM1083" t="str">
        <f>IF(AL1083="","",MAX($AF$1:$AF1083))</f>
        <v/>
      </c>
    </row>
    <row r="1084" spans="1:39" ht="13.5" customHeight="1" x14ac:dyDescent="0.3">
      <c r="A1084" s="8" t="s">
        <v>12</v>
      </c>
      <c r="B1084" s="9"/>
      <c r="C1084" s="10">
        <v>5</v>
      </c>
      <c r="D1084" s="11"/>
      <c r="AB1084" t="str" cm="1">
        <f t="array" ref="AB1084:AC1084">_xlfn._xlws.FILTER(A1084:Z1084,A1084:Z1084&lt;&gt;"","")</f>
        <v>Ethics and Religious Studies</v>
      </c>
      <c r="AC1084">
        <v>5</v>
      </c>
      <c r="AD1084" t="str">
        <v/>
      </c>
      <c r="AE1084" t="str">
        <v/>
      </c>
      <c r="AF1084" t="str" cm="1">
        <f t="array" ref="AF1084">IF(AD1084="","",SUMPRODUCT(IF(LEFT($AD$1:AD1084,2)="JS",1,0)))</f>
        <v/>
      </c>
      <c r="AG1084" t="str">
        <f t="shared" si="64"/>
        <v/>
      </c>
      <c r="AH1084" t="str">
        <f t="shared" si="65"/>
        <v/>
      </c>
      <c r="AI1084" t="str">
        <f>IF(AH1084="","",MAX($AF$1:$AF1084))</f>
        <v/>
      </c>
      <c r="AJ1084" t="str">
        <f t="shared" si="66"/>
        <v/>
      </c>
      <c r="AK1084" t="str">
        <f>IF(AJ1084="","",MAX($AF$1:$AF1084))</f>
        <v/>
      </c>
      <c r="AL1084" t="str">
        <f t="shared" si="67"/>
        <v/>
      </c>
      <c r="AM1084" t="str">
        <f>IF(AL1084="","",MAX($AF$1:$AF1084))</f>
        <v/>
      </c>
    </row>
    <row r="1085" spans="1:39" ht="13.5" customHeight="1" x14ac:dyDescent="0.3">
      <c r="A1085" s="8" t="s">
        <v>219</v>
      </c>
      <c r="B1085" s="9"/>
      <c r="C1085" s="10">
        <v>5</v>
      </c>
      <c r="D1085" s="11"/>
      <c r="AB1085" t="str" cm="1">
        <f t="array" ref="AB1085:AC1085">_xlfn._xlws.FILTER(A1085:Z1085,A1085:Z1085&lt;&gt;"","")</f>
        <v>GEOG</v>
      </c>
      <c r="AC1085">
        <v>5</v>
      </c>
      <c r="AD1085" t="str">
        <v/>
      </c>
      <c r="AE1085" t="str">
        <v/>
      </c>
      <c r="AF1085" t="str" cm="1">
        <f t="array" ref="AF1085">IF(AD1085="","",SUMPRODUCT(IF(LEFT($AD$1:AD1085,2)="JS",1,0)))</f>
        <v/>
      </c>
      <c r="AG1085" t="b">
        <f t="shared" si="64"/>
        <v>1</v>
      </c>
      <c r="AH1085" t="str">
        <f t="shared" si="65"/>
        <v/>
      </c>
      <c r="AI1085" t="str">
        <f>IF(AH1085="","",MAX($AF$1:$AF1085))</f>
        <v/>
      </c>
      <c r="AJ1085" t="str">
        <f t="shared" si="66"/>
        <v/>
      </c>
      <c r="AK1085" t="str">
        <f>IF(AJ1085="","",MAX($AF$1:$AF1085))</f>
        <v/>
      </c>
      <c r="AL1085" t="str">
        <f t="shared" si="67"/>
        <v>GEOG</v>
      </c>
      <c r="AM1085">
        <f>IF(AL1085="","",MAX($AF$1:$AF1085))</f>
        <v>22</v>
      </c>
    </row>
    <row r="1086" spans="1:39" ht="13.5" customHeight="1" x14ac:dyDescent="0.3">
      <c r="A1086" s="8" t="s">
        <v>220</v>
      </c>
      <c r="B1086" s="9"/>
      <c r="C1086" s="10">
        <v>5</v>
      </c>
      <c r="D1086" s="11"/>
      <c r="AB1086" t="str" cm="1">
        <f t="array" ref="AB1086:AC1086">_xlfn._xlws.FILTER(A1086:Z1086,A1086:Z1086&lt;&gt;"","")</f>
        <v>HMSC</v>
      </c>
      <c r="AC1086">
        <v>5</v>
      </c>
      <c r="AD1086" t="str">
        <v/>
      </c>
      <c r="AE1086" t="str">
        <v/>
      </c>
      <c r="AF1086" t="str" cm="1">
        <f t="array" ref="AF1086">IF(AD1086="","",SUMPRODUCT(IF(LEFT($AD$1:AD1086,2)="JS",1,0)))</f>
        <v/>
      </c>
      <c r="AG1086" t="b">
        <f t="shared" si="64"/>
        <v>1</v>
      </c>
      <c r="AH1086" t="str">
        <f t="shared" si="65"/>
        <v/>
      </c>
      <c r="AI1086" t="str">
        <f>IF(AH1086="","",MAX($AF$1:$AF1086))</f>
        <v/>
      </c>
      <c r="AJ1086" t="str">
        <f t="shared" si="66"/>
        <v/>
      </c>
      <c r="AK1086" t="str">
        <f>IF(AJ1086="","",MAX($AF$1:$AF1086))</f>
        <v/>
      </c>
      <c r="AL1086" t="str">
        <f t="shared" si="67"/>
        <v>HMSC</v>
      </c>
      <c r="AM1086">
        <f>IF(AL1086="","",MAX($AF$1:$AF1086))</f>
        <v>22</v>
      </c>
    </row>
    <row r="1087" spans="1:39" ht="13.5" customHeight="1" x14ac:dyDescent="0.3">
      <c r="A1087" s="8" t="s">
        <v>221</v>
      </c>
      <c r="B1087" s="9"/>
      <c r="C1087" s="10">
        <v>5</v>
      </c>
      <c r="D1087" s="11"/>
      <c r="AB1087" t="str" cm="1">
        <f t="array" ref="AB1087:AC1087">_xlfn._xlws.FILTER(A1087:Z1087,A1087:Z1087&lt;&gt;"","")</f>
        <v>HIST</v>
      </c>
      <c r="AC1087">
        <v>5</v>
      </c>
      <c r="AD1087" t="str">
        <v/>
      </c>
      <c r="AE1087" t="str">
        <v/>
      </c>
      <c r="AF1087" t="str" cm="1">
        <f t="array" ref="AF1087">IF(AD1087="","",SUMPRODUCT(IF(LEFT($AD$1:AD1087,2)="JS",1,0)))</f>
        <v/>
      </c>
      <c r="AG1087" t="b">
        <f t="shared" si="64"/>
        <v>1</v>
      </c>
      <c r="AH1087" t="str">
        <f t="shared" si="65"/>
        <v/>
      </c>
      <c r="AI1087" t="str">
        <f>IF(AH1087="","",MAX($AF$1:$AF1087))</f>
        <v/>
      </c>
      <c r="AJ1087" t="str">
        <f t="shared" si="66"/>
        <v/>
      </c>
      <c r="AK1087" t="str">
        <f>IF(AJ1087="","",MAX($AF$1:$AF1087))</f>
        <v/>
      </c>
      <c r="AL1087" t="str">
        <f t="shared" si="67"/>
        <v>HIST</v>
      </c>
      <c r="AM1087">
        <f>IF(AL1087="","",MAX($AF$1:$AF1087))</f>
        <v>22</v>
      </c>
    </row>
    <row r="1088" spans="1:39" ht="13.5" customHeight="1" x14ac:dyDescent="0.3">
      <c r="A1088" s="8" t="s">
        <v>222</v>
      </c>
      <c r="B1088" s="9"/>
      <c r="C1088" s="10">
        <v>5</v>
      </c>
      <c r="D1088" s="11"/>
      <c r="AB1088" t="str" cm="1">
        <f t="array" ref="AB1088:AC1088">_xlfn._xlws.FILTER(A1088:Z1088,A1088:Z1088&lt;&gt;"","")</f>
        <v>ICT</v>
      </c>
      <c r="AC1088">
        <v>5</v>
      </c>
      <c r="AD1088" t="str">
        <v/>
      </c>
      <c r="AE1088" t="str">
        <v/>
      </c>
      <c r="AF1088" t="str" cm="1">
        <f t="array" ref="AF1088">IF(AD1088="","",SUMPRODUCT(IF(LEFT($AD$1:AD1088,2)="JS",1,0)))</f>
        <v/>
      </c>
      <c r="AG1088" t="b">
        <f t="shared" si="64"/>
        <v>1</v>
      </c>
      <c r="AH1088" t="str">
        <f t="shared" si="65"/>
        <v/>
      </c>
      <c r="AI1088" t="str">
        <f>IF(AH1088="","",MAX($AF$1:$AF1088))</f>
        <v/>
      </c>
      <c r="AJ1088" t="str">
        <f t="shared" si="66"/>
        <v/>
      </c>
      <c r="AK1088" t="str">
        <f>IF(AJ1088="","",MAX($AF$1:$AF1088))</f>
        <v/>
      </c>
      <c r="AL1088" t="str">
        <f t="shared" si="67"/>
        <v>ICT</v>
      </c>
      <c r="AM1088">
        <f>IF(AL1088="","",MAX($AF$1:$AF1088))</f>
        <v>22</v>
      </c>
    </row>
    <row r="1089" spans="1:39" ht="13.5" customHeight="1" x14ac:dyDescent="0.3">
      <c r="A1089" s="8" t="s">
        <v>13</v>
      </c>
      <c r="B1089" s="9"/>
      <c r="C1089" s="10">
        <v>5</v>
      </c>
      <c r="D1089" s="11"/>
      <c r="AB1089" t="str" cm="1">
        <f t="array" ref="AB1089:AC1089">_xlfn._xlws.FILTER(A1089:Z1089,A1089:Z1089&lt;&gt;"","")</f>
        <v>Integrated Science</v>
      </c>
      <c r="AC1089">
        <v>5</v>
      </c>
      <c r="AD1089" t="str">
        <v/>
      </c>
      <c r="AE1089" t="str">
        <v/>
      </c>
      <c r="AF1089" t="str" cm="1">
        <f t="array" ref="AF1089">IF(AD1089="","",SUMPRODUCT(IF(LEFT($AD$1:AD1089,2)="JS",1,0)))</f>
        <v/>
      </c>
      <c r="AG1089" t="str">
        <f t="shared" ref="AG1089:AG1152" si="68">IF(ISNUMBER(MATCH(AB1089,$AV$3:$AV$18,0)),TRUE,"")</f>
        <v/>
      </c>
      <c r="AH1089" t="str">
        <f t="shared" si="65"/>
        <v/>
      </c>
      <c r="AI1089" t="str">
        <f>IF(AH1089="","",MAX($AF$1:$AF1089))</f>
        <v/>
      </c>
      <c r="AJ1089" t="str">
        <f t="shared" si="66"/>
        <v/>
      </c>
      <c r="AK1089" t="str">
        <f>IF(AJ1089="","",MAX($AF$1:$AF1089))</f>
        <v/>
      </c>
      <c r="AL1089" t="str">
        <f t="shared" si="67"/>
        <v/>
      </c>
      <c r="AM1089" t="str">
        <f>IF(AL1089="","",MAX($AF$1:$AF1089))</f>
        <v/>
      </c>
    </row>
    <row r="1090" spans="1:39" ht="13.5" customHeight="1" x14ac:dyDescent="0.3">
      <c r="A1090" s="8" t="s">
        <v>223</v>
      </c>
      <c r="B1090" s="9"/>
      <c r="C1090" s="10">
        <v>7</v>
      </c>
      <c r="D1090" s="11"/>
      <c r="AB1090" t="str" cm="1">
        <f t="array" ref="AB1090:AC1090">_xlfn._xlws.FILTER(A1090:Z1090,A1090:Z1090&lt;&gt;"","")</f>
        <v>通</v>
      </c>
      <c r="AC1090">
        <v>7</v>
      </c>
      <c r="AD1090" t="str">
        <v/>
      </c>
      <c r="AE1090" t="str">
        <v/>
      </c>
      <c r="AF1090" t="str" cm="1">
        <f t="array" ref="AF1090">IF(AD1090="","",SUMPRODUCT(IF(LEFT($AD$1:AD1090,2)="JS",1,0)))</f>
        <v/>
      </c>
      <c r="AG1090" t="b">
        <f t="shared" si="68"/>
        <v>1</v>
      </c>
      <c r="AH1090" t="str">
        <f t="shared" ref="AH1090:AH1153" si="69">IF(AND(AC1090=10,AG1090=TRUE),AB1090,"")</f>
        <v/>
      </c>
      <c r="AI1090" t="str">
        <f>IF(AH1090="","",MAX($AF$1:$AF1090))</f>
        <v/>
      </c>
      <c r="AJ1090" t="str">
        <f t="shared" ref="AJ1090:AJ1153" si="70">IF(AND(AC1090=7,AG1090=TRUE),AB1090,"")</f>
        <v>通</v>
      </c>
      <c r="AK1090">
        <f>IF(AJ1090="","",MAX($AF$1:$AF1090))</f>
        <v>22</v>
      </c>
      <c r="AL1090" t="str">
        <f t="shared" ref="AL1090:AL1153" si="71">IF(AND(AC1090=5,AG1090=TRUE),AB1090,"")</f>
        <v/>
      </c>
      <c r="AM1090" t="str">
        <f>IF(AL1090="","",MAX($AF$1:$AF1090))</f>
        <v/>
      </c>
    </row>
    <row r="1091" spans="1:39" ht="13.5" customHeight="1" x14ac:dyDescent="0.3">
      <c r="A1091" s="8" t="s">
        <v>14</v>
      </c>
      <c r="B1091" s="9"/>
      <c r="C1091" s="10">
        <v>5</v>
      </c>
      <c r="D1091" s="11"/>
      <c r="AB1091" t="str" cm="1">
        <f t="array" ref="AB1091:AC1091">_xlfn._xlws.FILTER(A1091:Z1091,A1091:Z1091&lt;&gt;"","")</f>
        <v>Literature in English</v>
      </c>
      <c r="AC1091">
        <v>5</v>
      </c>
      <c r="AD1091" t="str">
        <v/>
      </c>
      <c r="AE1091" t="str">
        <v/>
      </c>
      <c r="AF1091" t="str" cm="1">
        <f t="array" ref="AF1091">IF(AD1091="","",SUMPRODUCT(IF(LEFT($AD$1:AD1091,2)="JS",1,0)))</f>
        <v/>
      </c>
      <c r="AG1091" t="str">
        <f t="shared" si="68"/>
        <v/>
      </c>
      <c r="AH1091" t="str">
        <f t="shared" si="69"/>
        <v/>
      </c>
      <c r="AI1091" t="str">
        <f>IF(AH1091="","",MAX($AF$1:$AF1091))</f>
        <v/>
      </c>
      <c r="AJ1091" t="str">
        <f t="shared" si="70"/>
        <v/>
      </c>
      <c r="AK1091" t="str">
        <f>IF(AJ1091="","",MAX($AF$1:$AF1091))</f>
        <v/>
      </c>
      <c r="AL1091" t="str">
        <f t="shared" si="71"/>
        <v/>
      </c>
      <c r="AM1091" t="str">
        <f>IF(AL1091="","",MAX($AF$1:$AF1091))</f>
        <v/>
      </c>
    </row>
    <row r="1092" spans="1:39" ht="13.5" customHeight="1" x14ac:dyDescent="0.3">
      <c r="A1092" s="8" t="s">
        <v>224</v>
      </c>
      <c r="B1092" s="9"/>
      <c r="C1092" s="10">
        <v>10</v>
      </c>
      <c r="D1092" s="11"/>
      <c r="AB1092" t="str" cm="1">
        <f t="array" ref="AB1092:AC1092">_xlfn._xlws.FILTER(A1092:Z1092,A1092:Z1092&lt;&gt;"","")</f>
        <v>MATH</v>
      </c>
      <c r="AC1092">
        <v>10</v>
      </c>
      <c r="AD1092" t="str">
        <v/>
      </c>
      <c r="AE1092" t="str">
        <v/>
      </c>
      <c r="AF1092" t="str" cm="1">
        <f t="array" ref="AF1092">IF(AD1092="","",SUMPRODUCT(IF(LEFT($AD$1:AD1092,2)="JS",1,0)))</f>
        <v/>
      </c>
      <c r="AG1092" t="b">
        <f t="shared" si="68"/>
        <v>1</v>
      </c>
      <c r="AH1092" t="str">
        <f t="shared" si="69"/>
        <v>MATH</v>
      </c>
      <c r="AI1092">
        <f>IF(AH1092="","",MAX($AF$1:$AF1092))</f>
        <v>22</v>
      </c>
      <c r="AJ1092" t="str">
        <f t="shared" si="70"/>
        <v/>
      </c>
      <c r="AK1092" t="str">
        <f>IF(AJ1092="","",MAX($AF$1:$AF1092))</f>
        <v/>
      </c>
      <c r="AL1092" t="str">
        <f t="shared" si="71"/>
        <v/>
      </c>
      <c r="AM1092" t="str">
        <f>IF(AL1092="","",MAX($AF$1:$AF1092))</f>
        <v/>
      </c>
    </row>
    <row r="1093" spans="1:39" ht="13.5" customHeight="1" x14ac:dyDescent="0.3">
      <c r="A1093" s="8" t="s">
        <v>225</v>
      </c>
      <c r="B1093" s="9"/>
      <c r="C1093" s="10">
        <v>10</v>
      </c>
      <c r="D1093" s="11"/>
      <c r="AB1093" t="str" cm="1">
        <f t="array" ref="AB1093:AC1093">_xlfn._xlws.FILTER(A1093:Z1093,A1093:Z1093&lt;&gt;"","")</f>
        <v>M2</v>
      </c>
      <c r="AC1093">
        <v>10</v>
      </c>
      <c r="AD1093" t="str">
        <v/>
      </c>
      <c r="AE1093" t="str">
        <v/>
      </c>
      <c r="AF1093" t="str" cm="1">
        <f t="array" ref="AF1093">IF(AD1093="","",SUMPRODUCT(IF(LEFT($AD$1:AD1093,2)="JS",1,0)))</f>
        <v/>
      </c>
      <c r="AG1093" t="b">
        <f t="shared" si="68"/>
        <v>1</v>
      </c>
      <c r="AH1093" t="str">
        <f t="shared" si="69"/>
        <v>M2</v>
      </c>
      <c r="AI1093">
        <f>IF(AH1093="","",MAX($AF$1:$AF1093))</f>
        <v>22</v>
      </c>
      <c r="AJ1093" t="str">
        <f t="shared" si="70"/>
        <v/>
      </c>
      <c r="AK1093" t="str">
        <f>IF(AJ1093="","",MAX($AF$1:$AF1093))</f>
        <v/>
      </c>
      <c r="AL1093" t="str">
        <f t="shared" si="71"/>
        <v/>
      </c>
      <c r="AM1093" t="str">
        <f>IF(AL1093="","",MAX($AF$1:$AF1093))</f>
        <v/>
      </c>
    </row>
    <row r="1094" spans="1:39" ht="13.5" customHeight="1" x14ac:dyDescent="0.3">
      <c r="A1094" s="8" t="s">
        <v>15</v>
      </c>
      <c r="B1094" s="9"/>
      <c r="C1094" s="10">
        <v>10</v>
      </c>
      <c r="D1094" s="11"/>
      <c r="AB1094" t="str" cm="1">
        <f t="array" ref="AB1094:AC1094">_xlfn._xlws.FILTER(A1094:Z1094,A1094:Z1094&lt;&gt;"","")</f>
        <v>Mathematics (Extended part - Calculus and Statistics)</v>
      </c>
      <c r="AC1094">
        <v>10</v>
      </c>
      <c r="AD1094" t="str">
        <v/>
      </c>
      <c r="AE1094" t="str">
        <v/>
      </c>
      <c r="AF1094" t="str" cm="1">
        <f t="array" ref="AF1094">IF(AD1094="","",SUMPRODUCT(IF(LEFT($AD$1:AD1094,2)="JS",1,0)))</f>
        <v/>
      </c>
      <c r="AG1094" t="str">
        <f t="shared" si="68"/>
        <v/>
      </c>
      <c r="AH1094" t="str">
        <f t="shared" si="69"/>
        <v/>
      </c>
      <c r="AI1094" t="str">
        <f>IF(AH1094="","",MAX($AF$1:$AF1094))</f>
        <v/>
      </c>
      <c r="AJ1094" t="str">
        <f t="shared" si="70"/>
        <v/>
      </c>
      <c r="AK1094" t="str">
        <f>IF(AJ1094="","",MAX($AF$1:$AF1094))</f>
        <v/>
      </c>
      <c r="AL1094" t="str">
        <f t="shared" si="71"/>
        <v/>
      </c>
      <c r="AM1094" t="str">
        <f>IF(AL1094="","",MAX($AF$1:$AF1094))</f>
        <v/>
      </c>
    </row>
    <row r="1095" spans="1:39" ht="13.5" customHeight="1" x14ac:dyDescent="0.3">
      <c r="A1095" s="8" t="s">
        <v>16</v>
      </c>
      <c r="B1095" s="9"/>
      <c r="C1095" s="10">
        <v>5</v>
      </c>
      <c r="D1095" s="11"/>
      <c r="AB1095" t="str" cm="1">
        <f t="array" ref="AB1095:AC1095">_xlfn._xlws.FILTER(A1095:Z1095,A1095:Z1095&lt;&gt;"","")</f>
        <v>Music</v>
      </c>
      <c r="AC1095">
        <v>5</v>
      </c>
      <c r="AD1095" t="str">
        <v/>
      </c>
      <c r="AE1095" t="str">
        <v/>
      </c>
      <c r="AF1095" t="str" cm="1">
        <f t="array" ref="AF1095">IF(AD1095="","",SUMPRODUCT(IF(LEFT($AD$1:AD1095,2)="JS",1,0)))</f>
        <v/>
      </c>
      <c r="AG1095" t="str">
        <f t="shared" si="68"/>
        <v/>
      </c>
      <c r="AH1095" t="str">
        <f t="shared" si="69"/>
        <v/>
      </c>
      <c r="AI1095" t="str">
        <f>IF(AH1095="","",MAX($AF$1:$AF1095))</f>
        <v/>
      </c>
      <c r="AJ1095" t="str">
        <f t="shared" si="70"/>
        <v/>
      </c>
      <c r="AK1095" t="str">
        <f>IF(AJ1095="","",MAX($AF$1:$AF1095))</f>
        <v/>
      </c>
      <c r="AL1095" t="str">
        <f t="shared" si="71"/>
        <v/>
      </c>
      <c r="AM1095" t="str">
        <f>IF(AL1095="","",MAX($AF$1:$AF1095))</f>
        <v/>
      </c>
    </row>
    <row r="1096" spans="1:39" ht="13.5" customHeight="1" x14ac:dyDescent="0.3">
      <c r="A1096" s="8" t="s">
        <v>17</v>
      </c>
      <c r="B1096" s="9"/>
      <c r="C1096" s="10">
        <v>5</v>
      </c>
      <c r="D1096" s="11"/>
      <c r="AB1096" t="str" cm="1">
        <f t="array" ref="AB1096:AC1096">_xlfn._xlws.FILTER(A1096:Z1096,A1096:Z1096&lt;&gt;"","")</f>
        <v>Physical Education</v>
      </c>
      <c r="AC1096">
        <v>5</v>
      </c>
      <c r="AD1096" t="str">
        <v/>
      </c>
      <c r="AE1096" t="str">
        <v/>
      </c>
      <c r="AF1096" t="str" cm="1">
        <f t="array" ref="AF1096">IF(AD1096="","",SUMPRODUCT(IF(LEFT($AD$1:AD1096,2)="JS",1,0)))</f>
        <v/>
      </c>
      <c r="AG1096" t="str">
        <f t="shared" si="68"/>
        <v/>
      </c>
      <c r="AH1096" t="str">
        <f t="shared" si="69"/>
        <v/>
      </c>
      <c r="AI1096" t="str">
        <f>IF(AH1096="","",MAX($AF$1:$AF1096))</f>
        <v/>
      </c>
      <c r="AJ1096" t="str">
        <f t="shared" si="70"/>
        <v/>
      </c>
      <c r="AK1096" t="str">
        <f>IF(AJ1096="","",MAX($AF$1:$AF1096))</f>
        <v/>
      </c>
      <c r="AL1096" t="str">
        <f t="shared" si="71"/>
        <v/>
      </c>
      <c r="AM1096" t="str">
        <f>IF(AL1096="","",MAX($AF$1:$AF1096))</f>
        <v/>
      </c>
    </row>
    <row r="1097" spans="1:39" ht="13.5" customHeight="1" x14ac:dyDescent="0.3">
      <c r="A1097" s="8" t="s">
        <v>226</v>
      </c>
      <c r="B1097" s="9"/>
      <c r="C1097" s="10">
        <v>7</v>
      </c>
      <c r="D1097" s="11"/>
      <c r="AB1097" t="str" cm="1">
        <f t="array" ref="AB1097:AC1097">_xlfn._xlws.FILTER(A1097:Z1097,A1097:Z1097&lt;&gt;"","")</f>
        <v>PHY</v>
      </c>
      <c r="AC1097">
        <v>7</v>
      </c>
      <c r="AD1097" t="str">
        <v/>
      </c>
      <c r="AE1097" t="str">
        <v/>
      </c>
      <c r="AF1097" t="str" cm="1">
        <f t="array" ref="AF1097">IF(AD1097="","",SUMPRODUCT(IF(LEFT($AD$1:AD1097,2)="JS",1,0)))</f>
        <v/>
      </c>
      <c r="AG1097" t="b">
        <f t="shared" si="68"/>
        <v>1</v>
      </c>
      <c r="AH1097" t="str">
        <f t="shared" si="69"/>
        <v/>
      </c>
      <c r="AI1097" t="str">
        <f>IF(AH1097="","",MAX($AF$1:$AF1097))</f>
        <v/>
      </c>
      <c r="AJ1097" t="str">
        <f t="shared" si="70"/>
        <v>PHY</v>
      </c>
      <c r="AK1097">
        <f>IF(AJ1097="","",MAX($AF$1:$AF1097))</f>
        <v>22</v>
      </c>
      <c r="AL1097" t="str">
        <f t="shared" si="71"/>
        <v/>
      </c>
      <c r="AM1097" t="str">
        <f>IF(AL1097="","",MAX($AF$1:$AF1097))</f>
        <v/>
      </c>
    </row>
    <row r="1098" spans="1:39" ht="13.5" customHeight="1" x14ac:dyDescent="0.3">
      <c r="A1098" s="8" t="s">
        <v>18</v>
      </c>
      <c r="B1098" s="9"/>
      <c r="C1098" s="10">
        <v>5</v>
      </c>
      <c r="D1098" s="11"/>
      <c r="AB1098" t="str" cm="1">
        <f t="array" ref="AB1098:AC1098">_xlfn._xlws.FILTER(A1098:Z1098,A1098:Z1098&lt;&gt;"","")</f>
        <v>Technology and Living (Fashion, Clothing and Textiles)</v>
      </c>
      <c r="AC1098">
        <v>5</v>
      </c>
      <c r="AD1098" t="str">
        <v/>
      </c>
      <c r="AE1098" t="str">
        <v/>
      </c>
      <c r="AF1098" t="str" cm="1">
        <f t="array" ref="AF1098">IF(AD1098="","",SUMPRODUCT(IF(LEFT($AD$1:AD1098,2)="JS",1,0)))</f>
        <v/>
      </c>
      <c r="AG1098" t="str">
        <f t="shared" si="68"/>
        <v/>
      </c>
      <c r="AH1098" t="str">
        <f t="shared" si="69"/>
        <v/>
      </c>
      <c r="AI1098" t="str">
        <f>IF(AH1098="","",MAX($AF$1:$AF1098))</f>
        <v/>
      </c>
      <c r="AJ1098" t="str">
        <f t="shared" si="70"/>
        <v/>
      </c>
      <c r="AK1098" t="str">
        <f>IF(AJ1098="","",MAX($AF$1:$AF1098))</f>
        <v/>
      </c>
      <c r="AL1098" t="str">
        <f t="shared" si="71"/>
        <v/>
      </c>
      <c r="AM1098" t="str">
        <f>IF(AL1098="","",MAX($AF$1:$AF1098))</f>
        <v/>
      </c>
    </row>
    <row r="1099" spans="1:39" ht="13.5" customHeight="1" x14ac:dyDescent="0.3">
      <c r="A1099" s="8" t="s">
        <v>19</v>
      </c>
      <c r="B1099" s="9"/>
      <c r="C1099" s="10">
        <v>5</v>
      </c>
      <c r="D1099" s="11"/>
      <c r="AB1099" t="str" cm="1">
        <f t="array" ref="AB1099:AC1099">_xlfn._xlws.FILTER(A1099:Z1099,A1099:Z1099&lt;&gt;"","")</f>
        <v>Technology and Living (Food Science and Technology)</v>
      </c>
      <c r="AC1099">
        <v>5</v>
      </c>
      <c r="AD1099" t="str">
        <v/>
      </c>
      <c r="AE1099" t="str">
        <v/>
      </c>
      <c r="AF1099" t="str" cm="1">
        <f t="array" ref="AF1099">IF(AD1099="","",SUMPRODUCT(IF(LEFT($AD$1:AD1099,2)="JS",1,0)))</f>
        <v/>
      </c>
      <c r="AG1099" t="str">
        <f t="shared" si="68"/>
        <v/>
      </c>
      <c r="AH1099" t="str">
        <f t="shared" si="69"/>
        <v/>
      </c>
      <c r="AI1099" t="str">
        <f>IF(AH1099="","",MAX($AF$1:$AF1099))</f>
        <v/>
      </c>
      <c r="AJ1099" t="str">
        <f t="shared" si="70"/>
        <v/>
      </c>
      <c r="AK1099" t="str">
        <f>IF(AJ1099="","",MAX($AF$1:$AF1099))</f>
        <v/>
      </c>
      <c r="AL1099" t="str">
        <f t="shared" si="71"/>
        <v/>
      </c>
      <c r="AM1099" t="str">
        <f>IF(AL1099="","",MAX($AF$1:$AF1099))</f>
        <v/>
      </c>
    </row>
    <row r="1100" spans="1:39" ht="13.5" customHeight="1" x14ac:dyDescent="0.3">
      <c r="A1100" s="8" t="s">
        <v>20</v>
      </c>
      <c r="B1100" s="9"/>
      <c r="C1100" s="10">
        <v>5</v>
      </c>
      <c r="D1100" s="11"/>
      <c r="AB1100" t="str" cm="1">
        <f t="array" ref="AB1100:AC1100">_xlfn._xlws.FILTER(A1100:Z1100,A1100:Z1100&lt;&gt;"","")</f>
        <v>Tourism and Hospitality Studies</v>
      </c>
      <c r="AC1100">
        <v>5</v>
      </c>
      <c r="AD1100" t="str">
        <v/>
      </c>
      <c r="AE1100" t="str">
        <v/>
      </c>
      <c r="AF1100" t="str" cm="1">
        <f t="array" ref="AF1100">IF(AD1100="","",SUMPRODUCT(IF(LEFT($AD$1:AD1100,2)="JS",1,0)))</f>
        <v/>
      </c>
      <c r="AG1100" t="str">
        <f t="shared" si="68"/>
        <v/>
      </c>
      <c r="AH1100" t="str">
        <f t="shared" si="69"/>
        <v/>
      </c>
      <c r="AI1100" t="str">
        <f>IF(AH1100="","",MAX($AF$1:$AF1100))</f>
        <v/>
      </c>
      <c r="AJ1100" t="str">
        <f t="shared" si="70"/>
        <v/>
      </c>
      <c r="AK1100" t="str">
        <f>IF(AJ1100="","",MAX($AF$1:$AF1100))</f>
        <v/>
      </c>
      <c r="AL1100" t="str">
        <f t="shared" si="71"/>
        <v/>
      </c>
      <c r="AM1100" t="str">
        <f>IF(AL1100="","",MAX($AF$1:$AF1100))</f>
        <v/>
      </c>
    </row>
    <row r="1101" spans="1:39" ht="13.5" customHeight="1" x14ac:dyDescent="0.3">
      <c r="A1101" s="8" t="s">
        <v>210</v>
      </c>
      <c r="B1101" s="9"/>
      <c r="C1101" s="10">
        <v>5</v>
      </c>
      <c r="D1101" s="11"/>
      <c r="AB1101" t="str" cm="1">
        <f t="array" ref="AB1101:AC1101">_xlfn._xlws.FILTER(A1101:Z1101,A1101:Z1101&lt;&gt;"","")</f>
        <v>VA</v>
      </c>
      <c r="AC1101">
        <v>5</v>
      </c>
      <c r="AD1101" t="str">
        <v/>
      </c>
      <c r="AE1101" t="str">
        <v/>
      </c>
      <c r="AF1101" t="str" cm="1">
        <f t="array" ref="AF1101">IF(AD1101="","",SUMPRODUCT(IF(LEFT($AD$1:AD1101,2)="JS",1,0)))</f>
        <v/>
      </c>
      <c r="AG1101" t="b">
        <f t="shared" si="68"/>
        <v>1</v>
      </c>
      <c r="AH1101" t="str">
        <f t="shared" si="69"/>
        <v/>
      </c>
      <c r="AI1101" t="str">
        <f>IF(AH1101="","",MAX($AF$1:$AF1101))</f>
        <v/>
      </c>
      <c r="AJ1101" t="str">
        <f t="shared" si="70"/>
        <v/>
      </c>
      <c r="AK1101" t="str">
        <f>IF(AJ1101="","",MAX($AF$1:$AF1101))</f>
        <v/>
      </c>
      <c r="AL1101" t="str">
        <f t="shared" si="71"/>
        <v>VA</v>
      </c>
      <c r="AM1101">
        <f>IF(AL1101="","",MAX($AF$1:$AF1101))</f>
        <v>22</v>
      </c>
    </row>
    <row r="1102" spans="1:39" ht="14.5" customHeight="1" x14ac:dyDescent="0.3">
      <c r="A1102" s="12"/>
      <c r="B1102" s="12"/>
      <c r="C1102" s="2"/>
      <c r="D1102" s="2"/>
      <c r="AB1102" t="str" cm="1">
        <f t="array" ref="AB1102">_xlfn._xlws.FILTER(A1102:Z1102,A1102:Z1102&lt;&gt;"","")</f>
        <v/>
      </c>
      <c r="AD1102" t="str">
        <v/>
      </c>
      <c r="AE1102" t="str">
        <v/>
      </c>
      <c r="AF1102" t="str" cm="1">
        <f t="array" ref="AF1102">IF(AD1102="","",SUMPRODUCT(IF(LEFT($AD$1:AD1102,2)="JS",1,0)))</f>
        <v/>
      </c>
      <c r="AG1102" t="str">
        <f t="shared" si="68"/>
        <v/>
      </c>
      <c r="AH1102" t="str">
        <f t="shared" si="69"/>
        <v/>
      </c>
      <c r="AI1102" t="str">
        <f>IF(AH1102="","",MAX($AF$1:$AF1102))</f>
        <v/>
      </c>
      <c r="AJ1102" t="str">
        <f t="shared" si="70"/>
        <v/>
      </c>
      <c r="AK1102" t="str">
        <f>IF(AJ1102="","",MAX($AF$1:$AF1102))</f>
        <v/>
      </c>
      <c r="AL1102" t="str">
        <f t="shared" si="71"/>
        <v/>
      </c>
      <c r="AM1102" t="str">
        <f>IF(AL1102="","",MAX($AF$1:$AF1102))</f>
        <v/>
      </c>
    </row>
    <row r="1103" spans="1:39" ht="13.5" customHeight="1" x14ac:dyDescent="0.3">
      <c r="A1103" s="13" t="s">
        <v>34</v>
      </c>
      <c r="B1103" s="13"/>
      <c r="C1103" s="13"/>
      <c r="D1103" s="13"/>
      <c r="AB1103" t="str" cm="1">
        <f t="array" ref="AB1103">_xlfn._xlws.FILTER(A1103:Z1103,A1103:Z1103&lt;&gt;"","")</f>
        <v>Category C: Other Language Subjects</v>
      </c>
      <c r="AD1103" t="str">
        <v/>
      </c>
      <c r="AE1103" t="str">
        <v/>
      </c>
      <c r="AF1103" t="str" cm="1">
        <f t="array" ref="AF1103">IF(AD1103="","",SUMPRODUCT(IF(LEFT($AD$1:AD1103,2)="JS",1,0)))</f>
        <v/>
      </c>
      <c r="AG1103" t="str">
        <f t="shared" si="68"/>
        <v/>
      </c>
      <c r="AH1103" t="str">
        <f t="shared" si="69"/>
        <v/>
      </c>
      <c r="AI1103" t="str">
        <f>IF(AH1103="","",MAX($AF$1:$AF1103))</f>
        <v/>
      </c>
      <c r="AJ1103" t="str">
        <f t="shared" si="70"/>
        <v/>
      </c>
      <c r="AK1103" t="str">
        <f>IF(AJ1103="","",MAX($AF$1:$AF1103))</f>
        <v/>
      </c>
      <c r="AL1103" t="str">
        <f t="shared" si="71"/>
        <v/>
      </c>
      <c r="AM1103" t="str">
        <f>IF(AL1103="","",MAX($AF$1:$AF1103))</f>
        <v/>
      </c>
    </row>
    <row r="1104" spans="1:39" ht="13.5" customHeight="1" x14ac:dyDescent="0.3">
      <c r="A1104" s="14" t="s">
        <v>3</v>
      </c>
      <c r="B1104" s="15"/>
      <c r="C1104" s="16" t="s">
        <v>4</v>
      </c>
      <c r="D1104" s="17"/>
      <c r="AB1104" t="str" cm="1">
        <f t="array" ref="AB1104:AC1104">_xlfn._xlws.FILTER(A1104:Z1104,A1104:Z1104&lt;&gt;"","")</f>
        <v>Subject Name</v>
      </c>
      <c r="AC1104" t="str">
        <v>Subject Weighting for 2023/24 Admission Exercise *</v>
      </c>
      <c r="AD1104" t="str">
        <v/>
      </c>
      <c r="AE1104" t="str">
        <v/>
      </c>
      <c r="AF1104" t="str" cm="1">
        <f t="array" ref="AF1104">IF(AD1104="","",SUMPRODUCT(IF(LEFT($AD$1:AD1104,2)="JS",1,0)))</f>
        <v/>
      </c>
      <c r="AG1104" t="str">
        <f t="shared" si="68"/>
        <v/>
      </c>
      <c r="AH1104" t="str">
        <f t="shared" si="69"/>
        <v/>
      </c>
      <c r="AI1104" t="str">
        <f>IF(AH1104="","",MAX($AF$1:$AF1104))</f>
        <v/>
      </c>
      <c r="AJ1104" t="str">
        <f t="shared" si="70"/>
        <v/>
      </c>
      <c r="AK1104" t="str">
        <f>IF(AJ1104="","",MAX($AF$1:$AF1104))</f>
        <v/>
      </c>
      <c r="AL1104" t="str">
        <f t="shared" si="71"/>
        <v/>
      </c>
      <c r="AM1104" t="str">
        <f>IF(AL1104="","",MAX($AF$1:$AF1104))</f>
        <v/>
      </c>
    </row>
    <row r="1105" spans="1:39" ht="13.5" customHeight="1" x14ac:dyDescent="0.3">
      <c r="A1105" s="8" t="s">
        <v>35</v>
      </c>
      <c r="B1105" s="9"/>
      <c r="C1105" s="10">
        <v>5</v>
      </c>
      <c r="D1105" s="11"/>
      <c r="AB1105" t="str" cm="1">
        <f t="array" ref="AB1105:AC1105">_xlfn._xlws.FILTER(A1105:Z1105,A1105:Z1105&lt;&gt;"","")</f>
        <v>French</v>
      </c>
      <c r="AC1105">
        <v>5</v>
      </c>
      <c r="AD1105" t="str">
        <v/>
      </c>
      <c r="AE1105" t="str">
        <v/>
      </c>
      <c r="AF1105" t="str" cm="1">
        <f t="array" ref="AF1105">IF(AD1105="","",SUMPRODUCT(IF(LEFT($AD$1:AD1105,2)="JS",1,0)))</f>
        <v/>
      </c>
      <c r="AG1105" t="str">
        <f t="shared" si="68"/>
        <v/>
      </c>
      <c r="AH1105" t="str">
        <f t="shared" si="69"/>
        <v/>
      </c>
      <c r="AI1105" t="str">
        <f>IF(AH1105="","",MAX($AF$1:$AF1105))</f>
        <v/>
      </c>
      <c r="AJ1105" t="str">
        <f t="shared" si="70"/>
        <v/>
      </c>
      <c r="AK1105" t="str">
        <f>IF(AJ1105="","",MAX($AF$1:$AF1105))</f>
        <v/>
      </c>
      <c r="AL1105" t="str">
        <f t="shared" si="71"/>
        <v/>
      </c>
      <c r="AM1105" t="str">
        <f>IF(AL1105="","",MAX($AF$1:$AF1105))</f>
        <v/>
      </c>
    </row>
    <row r="1106" spans="1:39" ht="13.5" customHeight="1" x14ac:dyDescent="0.3">
      <c r="A1106" s="8" t="s">
        <v>36</v>
      </c>
      <c r="B1106" s="9"/>
      <c r="C1106" s="10">
        <v>5</v>
      </c>
      <c r="D1106" s="11"/>
      <c r="AB1106" t="str" cm="1">
        <f t="array" ref="AB1106:AC1106">_xlfn._xlws.FILTER(A1106:Z1106,A1106:Z1106&lt;&gt;"","")</f>
        <v>German</v>
      </c>
      <c r="AC1106">
        <v>5</v>
      </c>
      <c r="AD1106" t="str">
        <v/>
      </c>
      <c r="AE1106" t="str">
        <v/>
      </c>
      <c r="AF1106" t="str" cm="1">
        <f t="array" ref="AF1106">IF(AD1106="","",SUMPRODUCT(IF(LEFT($AD$1:AD1106,2)="JS",1,0)))</f>
        <v/>
      </c>
      <c r="AG1106" t="str">
        <f t="shared" si="68"/>
        <v/>
      </c>
      <c r="AH1106" t="str">
        <f t="shared" si="69"/>
        <v/>
      </c>
      <c r="AI1106" t="str">
        <f>IF(AH1106="","",MAX($AF$1:$AF1106))</f>
        <v/>
      </c>
      <c r="AJ1106" t="str">
        <f t="shared" si="70"/>
        <v/>
      </c>
      <c r="AK1106" t="str">
        <f>IF(AJ1106="","",MAX($AF$1:$AF1106))</f>
        <v/>
      </c>
      <c r="AL1106" t="str">
        <f t="shared" si="71"/>
        <v/>
      </c>
      <c r="AM1106" t="str">
        <f>IF(AL1106="","",MAX($AF$1:$AF1106))</f>
        <v/>
      </c>
    </row>
    <row r="1107" spans="1:39" ht="13.5" customHeight="1" x14ac:dyDescent="0.3">
      <c r="A1107" s="8" t="s">
        <v>37</v>
      </c>
      <c r="B1107" s="9"/>
      <c r="C1107" s="10">
        <v>5</v>
      </c>
      <c r="D1107" s="11"/>
      <c r="AB1107" t="str" cm="1">
        <f t="array" ref="AB1107:AC1107">_xlfn._xlws.FILTER(A1107:Z1107,A1107:Z1107&lt;&gt;"","")</f>
        <v>Hindi</v>
      </c>
      <c r="AC1107">
        <v>5</v>
      </c>
      <c r="AD1107" t="str">
        <v/>
      </c>
      <c r="AE1107" t="str">
        <v/>
      </c>
      <c r="AF1107" t="str" cm="1">
        <f t="array" ref="AF1107">IF(AD1107="","",SUMPRODUCT(IF(LEFT($AD$1:AD1107,2)="JS",1,0)))</f>
        <v/>
      </c>
      <c r="AG1107" t="str">
        <f t="shared" si="68"/>
        <v/>
      </c>
      <c r="AH1107" t="str">
        <f t="shared" si="69"/>
        <v/>
      </c>
      <c r="AI1107" t="str">
        <f>IF(AH1107="","",MAX($AF$1:$AF1107))</f>
        <v/>
      </c>
      <c r="AJ1107" t="str">
        <f t="shared" si="70"/>
        <v/>
      </c>
      <c r="AK1107" t="str">
        <f>IF(AJ1107="","",MAX($AF$1:$AF1107))</f>
        <v/>
      </c>
      <c r="AL1107" t="str">
        <f t="shared" si="71"/>
        <v/>
      </c>
      <c r="AM1107" t="str">
        <f>IF(AL1107="","",MAX($AF$1:$AF1107))</f>
        <v/>
      </c>
    </row>
    <row r="1108" spans="1:39" ht="13.5" customHeight="1" x14ac:dyDescent="0.3">
      <c r="A1108" s="8" t="s">
        <v>38</v>
      </c>
      <c r="B1108" s="9"/>
      <c r="C1108" s="10">
        <v>5</v>
      </c>
      <c r="D1108" s="11"/>
      <c r="AB1108" t="str" cm="1">
        <f t="array" ref="AB1108:AC1108">_xlfn._xlws.FILTER(A1108:Z1108,A1108:Z1108&lt;&gt;"","")</f>
        <v>Japanese</v>
      </c>
      <c r="AC1108">
        <v>5</v>
      </c>
      <c r="AD1108" t="str">
        <v/>
      </c>
      <c r="AE1108" t="str">
        <v/>
      </c>
      <c r="AF1108" t="str" cm="1">
        <f t="array" ref="AF1108">IF(AD1108="","",SUMPRODUCT(IF(LEFT($AD$1:AD1108,2)="JS",1,0)))</f>
        <v/>
      </c>
      <c r="AG1108" t="str">
        <f t="shared" si="68"/>
        <v/>
      </c>
      <c r="AH1108" t="str">
        <f t="shared" si="69"/>
        <v/>
      </c>
      <c r="AI1108" t="str">
        <f>IF(AH1108="","",MAX($AF$1:$AF1108))</f>
        <v/>
      </c>
      <c r="AJ1108" t="str">
        <f t="shared" si="70"/>
        <v/>
      </c>
      <c r="AK1108" t="str">
        <f>IF(AJ1108="","",MAX($AF$1:$AF1108))</f>
        <v/>
      </c>
      <c r="AL1108" t="str">
        <f t="shared" si="71"/>
        <v/>
      </c>
      <c r="AM1108" t="str">
        <f>IF(AL1108="","",MAX($AF$1:$AF1108))</f>
        <v/>
      </c>
    </row>
    <row r="1109" spans="1:39" ht="13.5" customHeight="1" x14ac:dyDescent="0.3">
      <c r="A1109" s="8" t="s">
        <v>39</v>
      </c>
      <c r="B1109" s="9"/>
      <c r="C1109" s="10">
        <v>5</v>
      </c>
      <c r="D1109" s="11"/>
      <c r="AB1109" t="str" cm="1">
        <f t="array" ref="AB1109:AC1109">_xlfn._xlws.FILTER(A1109:Z1109,A1109:Z1109&lt;&gt;"","")</f>
        <v>Spanish</v>
      </c>
      <c r="AC1109">
        <v>5</v>
      </c>
      <c r="AD1109" t="str">
        <v/>
      </c>
      <c r="AE1109" t="str">
        <v/>
      </c>
      <c r="AF1109" t="str" cm="1">
        <f t="array" ref="AF1109">IF(AD1109="","",SUMPRODUCT(IF(LEFT($AD$1:AD1109,2)="JS",1,0)))</f>
        <v/>
      </c>
      <c r="AG1109" t="str">
        <f t="shared" si="68"/>
        <v/>
      </c>
      <c r="AH1109" t="str">
        <f t="shared" si="69"/>
        <v/>
      </c>
      <c r="AI1109" t="str">
        <f>IF(AH1109="","",MAX($AF$1:$AF1109))</f>
        <v/>
      </c>
      <c r="AJ1109" t="str">
        <f t="shared" si="70"/>
        <v/>
      </c>
      <c r="AK1109" t="str">
        <f>IF(AJ1109="","",MAX($AF$1:$AF1109))</f>
        <v/>
      </c>
      <c r="AL1109" t="str">
        <f t="shared" si="71"/>
        <v/>
      </c>
      <c r="AM1109" t="str">
        <f>IF(AL1109="","",MAX($AF$1:$AF1109))</f>
        <v/>
      </c>
    </row>
    <row r="1110" spans="1:39" ht="13.5" customHeight="1" x14ac:dyDescent="0.3">
      <c r="A1110" s="8" t="s">
        <v>40</v>
      </c>
      <c r="B1110" s="9"/>
      <c r="C1110" s="10">
        <v>5</v>
      </c>
      <c r="D1110" s="11"/>
      <c r="AB1110" t="str" cm="1">
        <f t="array" ref="AB1110:AC1110">_xlfn._xlws.FILTER(A1110:Z1110,A1110:Z1110&lt;&gt;"","")</f>
        <v>Urdu</v>
      </c>
      <c r="AC1110">
        <v>5</v>
      </c>
      <c r="AD1110" t="str">
        <v/>
      </c>
      <c r="AE1110" t="str">
        <v/>
      </c>
      <c r="AF1110" t="str" cm="1">
        <f t="array" ref="AF1110">IF(AD1110="","",SUMPRODUCT(IF(LEFT($AD$1:AD1110,2)="JS",1,0)))</f>
        <v/>
      </c>
      <c r="AG1110" t="str">
        <f t="shared" si="68"/>
        <v/>
      </c>
      <c r="AH1110" t="str">
        <f t="shared" si="69"/>
        <v/>
      </c>
      <c r="AI1110" t="str">
        <f>IF(AH1110="","",MAX($AF$1:$AF1110))</f>
        <v/>
      </c>
      <c r="AJ1110" t="str">
        <f t="shared" si="70"/>
        <v/>
      </c>
      <c r="AK1110" t="str">
        <f>IF(AJ1110="","",MAX($AF$1:$AF1110))</f>
        <v/>
      </c>
      <c r="AL1110" t="str">
        <f t="shared" si="71"/>
        <v/>
      </c>
      <c r="AM1110" t="str">
        <f>IF(AL1110="","",MAX($AF$1:$AF1110))</f>
        <v/>
      </c>
    </row>
    <row r="1111" spans="1:39" ht="15" customHeight="1" x14ac:dyDescent="0.3">
      <c r="A1111" s="18" t="s">
        <v>172</v>
      </c>
      <c r="B1111" s="18"/>
      <c r="C1111" s="18"/>
      <c r="D1111" s="1"/>
      <c r="E1111" s="1"/>
      <c r="AB1111" t="str" cm="1">
        <f t="array" ref="AB1111">_xlfn._xlws.FILTER(A1111:Z1111,A1111:Z1111&lt;&gt;"","")</f>
        <v>JUPAS Code: JS3557</v>
      </c>
      <c r="AD1111" t="str">
        <v>JS3557</v>
      </c>
      <c r="AE1111" t="str">
        <v/>
      </c>
      <c r="AF1111" cm="1">
        <f t="array" ref="AF1111">IF(AD1111="","",SUMPRODUCT(IF(LEFT($AD$1:AD1111,2)="JS",1,0)))</f>
        <v>23</v>
      </c>
      <c r="AG1111" t="str">
        <f t="shared" si="68"/>
        <v/>
      </c>
      <c r="AH1111" t="str">
        <f t="shared" si="69"/>
        <v/>
      </c>
      <c r="AI1111" t="str">
        <f>IF(AH1111="","",MAX($AF$1:$AF1111))</f>
        <v/>
      </c>
      <c r="AJ1111" t="str">
        <f t="shared" si="70"/>
        <v/>
      </c>
      <c r="AK1111" t="str">
        <f>IF(AJ1111="","",MAX($AF$1:$AF1111))</f>
        <v/>
      </c>
      <c r="AL1111" t="str">
        <f t="shared" si="71"/>
        <v/>
      </c>
      <c r="AM1111" t="str">
        <f>IF(AL1111="","",MAX($AF$1:$AF1111))</f>
        <v/>
      </c>
    </row>
    <row r="1112" spans="1:39" ht="24" customHeight="1" x14ac:dyDescent="0.3">
      <c r="A1112" s="18" t="s">
        <v>173</v>
      </c>
      <c r="B1112" s="18"/>
      <c r="C1112" s="18"/>
      <c r="D1112" s="1"/>
      <c r="E1112" s="1"/>
      <c r="AB1112" t="str" cm="1">
        <f t="array" ref="AB1112">_xlfn._xlws.FILTER(A1112:Z1112,A1112:Z1112&lt;&gt;"","")</f>
        <v>Programme Title: BEng (Hons) Scheme in Product and Industrial Engineering</v>
      </c>
      <c r="AD1112" t="str">
        <v/>
      </c>
      <c r="AE1112" t="str">
        <v>BEng (Hons) Scheme in Product and Industrial Engineering</v>
      </c>
      <c r="AF1112" t="str" cm="1">
        <f t="array" ref="AF1112">IF(AD1112="","",SUMPRODUCT(IF(LEFT($AD$1:AD1112,2)="JS",1,0)))</f>
        <v/>
      </c>
      <c r="AG1112" t="str">
        <f t="shared" si="68"/>
        <v/>
      </c>
      <c r="AH1112" t="str">
        <f t="shared" si="69"/>
        <v/>
      </c>
      <c r="AI1112" t="str">
        <f>IF(AH1112="","",MAX($AF$1:$AF1112))</f>
        <v/>
      </c>
      <c r="AJ1112" t="str">
        <f t="shared" si="70"/>
        <v/>
      </c>
      <c r="AK1112" t="str">
        <f>IF(AJ1112="","",MAX($AF$1:$AF1112))</f>
        <v/>
      </c>
      <c r="AL1112" t="str">
        <f t="shared" si="71"/>
        <v/>
      </c>
      <c r="AM1112" t="str">
        <f>IF(AL1112="","",MAX($AF$1:$AF1112))</f>
        <v/>
      </c>
    </row>
    <row r="1113" spans="1:39" ht="13.5" customHeight="1" x14ac:dyDescent="0.3">
      <c r="A1113" s="13" t="s">
        <v>2</v>
      </c>
      <c r="B1113" s="13"/>
      <c r="C1113" s="13"/>
      <c r="D1113" s="13"/>
      <c r="E1113" s="1"/>
      <c r="AB1113" t="str" cm="1">
        <f t="array" ref="AB1113">_xlfn._xlws.FILTER(A1113:Z1113,A1113:Z1113&lt;&gt;"","")</f>
        <v>Category A: Core and Elective Subjects</v>
      </c>
      <c r="AD1113" t="str">
        <v/>
      </c>
      <c r="AE1113" t="str">
        <v/>
      </c>
      <c r="AF1113" t="str" cm="1">
        <f t="array" ref="AF1113">IF(AD1113="","",SUMPRODUCT(IF(LEFT($AD$1:AD1113,2)="JS",1,0)))</f>
        <v/>
      </c>
      <c r="AG1113" t="str">
        <f t="shared" si="68"/>
        <v/>
      </c>
      <c r="AH1113" t="str">
        <f t="shared" si="69"/>
        <v/>
      </c>
      <c r="AI1113" t="str">
        <f>IF(AH1113="","",MAX($AF$1:$AF1113))</f>
        <v/>
      </c>
      <c r="AJ1113" t="str">
        <f t="shared" si="70"/>
        <v/>
      </c>
      <c r="AK1113" t="str">
        <f>IF(AJ1113="","",MAX($AF$1:$AF1113))</f>
        <v/>
      </c>
      <c r="AL1113" t="str">
        <f t="shared" si="71"/>
        <v/>
      </c>
      <c r="AM1113" t="str">
        <f>IF(AL1113="","",MAX($AF$1:$AF1113))</f>
        <v/>
      </c>
    </row>
    <row r="1114" spans="1:39" ht="13.5" customHeight="1" x14ac:dyDescent="0.3">
      <c r="A1114" s="14" t="s">
        <v>3</v>
      </c>
      <c r="B1114" s="15"/>
      <c r="C1114" s="16" t="s">
        <v>4</v>
      </c>
      <c r="D1114" s="17"/>
      <c r="E1114" s="2"/>
      <c r="AB1114" t="str" cm="1">
        <f t="array" ref="AB1114:AC1114">_xlfn._xlws.FILTER(A1114:Z1114,A1114:Z1114&lt;&gt;"","")</f>
        <v>Subject Name</v>
      </c>
      <c r="AC1114" t="str">
        <v>Subject Weighting for 2023/24 Admission Exercise *</v>
      </c>
      <c r="AD1114" t="str">
        <v/>
      </c>
      <c r="AE1114" t="str">
        <v/>
      </c>
      <c r="AF1114" t="str" cm="1">
        <f t="array" ref="AF1114">IF(AD1114="","",SUMPRODUCT(IF(LEFT($AD$1:AD1114,2)="JS",1,0)))</f>
        <v/>
      </c>
      <c r="AG1114" t="str">
        <f t="shared" si="68"/>
        <v/>
      </c>
      <c r="AH1114" t="str">
        <f t="shared" si="69"/>
        <v/>
      </c>
      <c r="AI1114" t="str">
        <f>IF(AH1114="","",MAX($AF$1:$AF1114))</f>
        <v/>
      </c>
      <c r="AJ1114" t="str">
        <f t="shared" si="70"/>
        <v/>
      </c>
      <c r="AK1114" t="str">
        <f>IF(AJ1114="","",MAX($AF$1:$AF1114))</f>
        <v/>
      </c>
      <c r="AL1114" t="str">
        <f t="shared" si="71"/>
        <v/>
      </c>
      <c r="AM1114" t="str">
        <f>IF(AL1114="","",MAX($AF$1:$AF1114))</f>
        <v/>
      </c>
    </row>
    <row r="1115" spans="1:39" ht="13.5" customHeight="1" x14ac:dyDescent="0.3">
      <c r="A1115" s="8" t="s">
        <v>211</v>
      </c>
      <c r="B1115" s="9"/>
      <c r="C1115" s="10">
        <v>5</v>
      </c>
      <c r="D1115" s="11"/>
      <c r="E1115" s="2"/>
      <c r="AB1115" t="str" cm="1">
        <f t="array" ref="AB1115:AC1115">_xlfn._xlws.FILTER(A1115:Z1115,A1115:Z1115&lt;&gt;"","")</f>
        <v>BIO</v>
      </c>
      <c r="AC1115">
        <v>5</v>
      </c>
      <c r="AD1115" t="str">
        <v/>
      </c>
      <c r="AE1115" t="str">
        <v/>
      </c>
      <c r="AF1115" t="str" cm="1">
        <f t="array" ref="AF1115">IF(AD1115="","",SUMPRODUCT(IF(LEFT($AD$1:AD1115,2)="JS",1,0)))</f>
        <v/>
      </c>
      <c r="AG1115" t="b">
        <f t="shared" si="68"/>
        <v>1</v>
      </c>
      <c r="AH1115" t="str">
        <f t="shared" si="69"/>
        <v/>
      </c>
      <c r="AI1115" t="str">
        <f>IF(AH1115="","",MAX($AF$1:$AF1115))</f>
        <v/>
      </c>
      <c r="AJ1115" t="str">
        <f t="shared" si="70"/>
        <v/>
      </c>
      <c r="AK1115" t="str">
        <f>IF(AJ1115="","",MAX($AF$1:$AF1115))</f>
        <v/>
      </c>
      <c r="AL1115" t="str">
        <f t="shared" si="71"/>
        <v>BIO</v>
      </c>
      <c r="AM1115">
        <f>IF(AL1115="","",MAX($AF$1:$AF1115))</f>
        <v>23</v>
      </c>
    </row>
    <row r="1116" spans="1:39" ht="13.5" customHeight="1" x14ac:dyDescent="0.3">
      <c r="A1116" s="8" t="s">
        <v>213</v>
      </c>
      <c r="B1116" s="9"/>
      <c r="C1116" s="10">
        <v>5</v>
      </c>
      <c r="D1116" s="11"/>
      <c r="E1116" s="2"/>
      <c r="AB1116" t="str" cm="1">
        <f t="array" ref="AB1116:AC1116">_xlfn._xlws.FILTER(A1116:Z1116,A1116:Z1116&lt;&gt;"","")</f>
        <v>BAFS</v>
      </c>
      <c r="AC1116">
        <v>5</v>
      </c>
      <c r="AD1116" t="str">
        <v/>
      </c>
      <c r="AE1116" t="str">
        <v/>
      </c>
      <c r="AF1116" t="str" cm="1">
        <f t="array" ref="AF1116">IF(AD1116="","",SUMPRODUCT(IF(LEFT($AD$1:AD1116,2)="JS",1,0)))</f>
        <v/>
      </c>
      <c r="AG1116" t="b">
        <f t="shared" si="68"/>
        <v>1</v>
      </c>
      <c r="AH1116" t="str">
        <f t="shared" si="69"/>
        <v/>
      </c>
      <c r="AI1116" t="str">
        <f>IF(AH1116="","",MAX($AF$1:$AF1116))</f>
        <v/>
      </c>
      <c r="AJ1116" t="str">
        <f t="shared" si="70"/>
        <v/>
      </c>
      <c r="AK1116" t="str">
        <f>IF(AJ1116="","",MAX($AF$1:$AF1116))</f>
        <v/>
      </c>
      <c r="AL1116" t="str">
        <f t="shared" si="71"/>
        <v>BAFS</v>
      </c>
      <c r="AM1116">
        <f>IF(AL1116="","",MAX($AF$1:$AF1116))</f>
        <v>23</v>
      </c>
    </row>
    <row r="1117" spans="1:39" ht="13.5" customHeight="1" x14ac:dyDescent="0.3">
      <c r="A1117" s="8" t="s">
        <v>5</v>
      </c>
      <c r="B1117" s="9"/>
      <c r="C1117" s="10">
        <v>5</v>
      </c>
      <c r="D1117" s="11"/>
      <c r="E1117" s="2"/>
      <c r="AB1117" t="str" cm="1">
        <f t="array" ref="AB1117:AC1117">_xlfn._xlws.FILTER(A1117:Z1117,A1117:Z1117&lt;&gt;"","")</f>
        <v>Business, Accounting and Financial Studies (Accounting)</v>
      </c>
      <c r="AC1117">
        <v>5</v>
      </c>
      <c r="AD1117" t="str">
        <v/>
      </c>
      <c r="AE1117" t="str">
        <v/>
      </c>
      <c r="AF1117" t="str" cm="1">
        <f t="array" ref="AF1117">IF(AD1117="","",SUMPRODUCT(IF(LEFT($AD$1:AD1117,2)="JS",1,0)))</f>
        <v/>
      </c>
      <c r="AG1117" t="str">
        <f t="shared" si="68"/>
        <v/>
      </c>
      <c r="AH1117" t="str">
        <f t="shared" si="69"/>
        <v/>
      </c>
      <c r="AI1117" t="str">
        <f>IF(AH1117="","",MAX($AF$1:$AF1117))</f>
        <v/>
      </c>
      <c r="AJ1117" t="str">
        <f t="shared" si="70"/>
        <v/>
      </c>
      <c r="AK1117" t="str">
        <f>IF(AJ1117="","",MAX($AF$1:$AF1117))</f>
        <v/>
      </c>
      <c r="AL1117" t="str">
        <f t="shared" si="71"/>
        <v/>
      </c>
      <c r="AM1117" t="str">
        <f>IF(AL1117="","",MAX($AF$1:$AF1117))</f>
        <v/>
      </c>
    </row>
    <row r="1118" spans="1:39" ht="13.5" customHeight="1" x14ac:dyDescent="0.3">
      <c r="A1118" s="8" t="s">
        <v>6</v>
      </c>
      <c r="B1118" s="9"/>
      <c r="C1118" s="10">
        <v>5</v>
      </c>
      <c r="D1118" s="11"/>
      <c r="E1118" s="2"/>
      <c r="AB1118" t="str" cm="1">
        <f t="array" ref="AB1118:AC1118">_xlfn._xlws.FILTER(A1118:Z1118,A1118:Z1118&lt;&gt;"","")</f>
        <v>Business, Accounting and Financial Studies (Business Management)</v>
      </c>
      <c r="AC1118">
        <v>5</v>
      </c>
      <c r="AD1118" t="str">
        <v/>
      </c>
      <c r="AE1118" t="str">
        <v/>
      </c>
      <c r="AF1118" t="str" cm="1">
        <f t="array" ref="AF1118">IF(AD1118="","",SUMPRODUCT(IF(LEFT($AD$1:AD1118,2)="JS",1,0)))</f>
        <v/>
      </c>
      <c r="AG1118" t="str">
        <f t="shared" si="68"/>
        <v/>
      </c>
      <c r="AH1118" t="str">
        <f t="shared" si="69"/>
        <v/>
      </c>
      <c r="AI1118" t="str">
        <f>IF(AH1118="","",MAX($AF$1:$AF1118))</f>
        <v/>
      </c>
      <c r="AJ1118" t="str">
        <f t="shared" si="70"/>
        <v/>
      </c>
      <c r="AK1118" t="str">
        <f>IF(AJ1118="","",MAX($AF$1:$AF1118))</f>
        <v/>
      </c>
      <c r="AL1118" t="str">
        <f t="shared" si="71"/>
        <v/>
      </c>
      <c r="AM1118" t="str">
        <f>IF(AL1118="","",MAX($AF$1:$AF1118))</f>
        <v/>
      </c>
    </row>
    <row r="1119" spans="1:39" ht="13.5" customHeight="1" x14ac:dyDescent="0.3">
      <c r="A1119" s="8" t="s">
        <v>212</v>
      </c>
      <c r="B1119" s="9"/>
      <c r="C1119" s="10">
        <v>5</v>
      </c>
      <c r="D1119" s="11"/>
      <c r="E1119" s="2"/>
      <c r="AB1119" t="str" cm="1">
        <f t="array" ref="AB1119:AC1119">_xlfn._xlws.FILTER(A1119:Z1119,A1119:Z1119&lt;&gt;"","")</f>
        <v>CHEM</v>
      </c>
      <c r="AC1119">
        <v>5</v>
      </c>
      <c r="AD1119" t="str">
        <v/>
      </c>
      <c r="AE1119" t="str">
        <v/>
      </c>
      <c r="AF1119" t="str" cm="1">
        <f t="array" ref="AF1119">IF(AD1119="","",SUMPRODUCT(IF(LEFT($AD$1:AD1119,2)="JS",1,0)))</f>
        <v/>
      </c>
      <c r="AG1119" t="b">
        <f t="shared" si="68"/>
        <v>1</v>
      </c>
      <c r="AH1119" t="str">
        <f t="shared" si="69"/>
        <v/>
      </c>
      <c r="AI1119" t="str">
        <f>IF(AH1119="","",MAX($AF$1:$AF1119))</f>
        <v/>
      </c>
      <c r="AJ1119" t="str">
        <f t="shared" si="70"/>
        <v/>
      </c>
      <c r="AK1119" t="str">
        <f>IF(AJ1119="","",MAX($AF$1:$AF1119))</f>
        <v/>
      </c>
      <c r="AL1119" t="str">
        <f t="shared" si="71"/>
        <v>CHEM</v>
      </c>
      <c r="AM1119">
        <f>IF(AL1119="","",MAX($AF$1:$AF1119))</f>
        <v>23</v>
      </c>
    </row>
    <row r="1120" spans="1:39" ht="13.5" customHeight="1" x14ac:dyDescent="0.3">
      <c r="A1120" s="8" t="s">
        <v>214</v>
      </c>
      <c r="B1120" s="9"/>
      <c r="C1120" s="10">
        <v>5</v>
      </c>
      <c r="D1120" s="11"/>
      <c r="E1120" s="2"/>
      <c r="AB1120" t="str" cm="1">
        <f t="array" ref="AB1120:AC1120">_xlfn._xlws.FILTER(A1120:Z1120,A1120:Z1120&lt;&gt;"","")</f>
        <v>中史</v>
      </c>
      <c r="AC1120">
        <v>5</v>
      </c>
      <c r="AD1120" t="str">
        <v/>
      </c>
      <c r="AE1120" t="str">
        <v/>
      </c>
      <c r="AF1120" t="str" cm="1">
        <f t="array" ref="AF1120">IF(AD1120="","",SUMPRODUCT(IF(LEFT($AD$1:AD1120,2)="JS",1,0)))</f>
        <v/>
      </c>
      <c r="AG1120" t="b">
        <f t="shared" si="68"/>
        <v>1</v>
      </c>
      <c r="AH1120" t="str">
        <f t="shared" si="69"/>
        <v/>
      </c>
      <c r="AI1120" t="str">
        <f>IF(AH1120="","",MAX($AF$1:$AF1120))</f>
        <v/>
      </c>
      <c r="AJ1120" t="str">
        <f t="shared" si="70"/>
        <v/>
      </c>
      <c r="AK1120" t="str">
        <f>IF(AJ1120="","",MAX($AF$1:$AF1120))</f>
        <v/>
      </c>
      <c r="AL1120" t="str">
        <f t="shared" si="71"/>
        <v>中史</v>
      </c>
      <c r="AM1120">
        <f>IF(AL1120="","",MAX($AF$1:$AF1120))</f>
        <v>23</v>
      </c>
    </row>
    <row r="1121" spans="1:39" ht="13.5" customHeight="1" x14ac:dyDescent="0.3">
      <c r="A1121" s="8" t="s">
        <v>216</v>
      </c>
      <c r="B1121" s="9"/>
      <c r="C1121" s="10">
        <v>7</v>
      </c>
      <c r="D1121" s="11"/>
      <c r="E1121" s="2"/>
      <c r="AB1121" t="str" cm="1">
        <f t="array" ref="AB1121:AC1121">_xlfn._xlws.FILTER(A1121:Z1121,A1121:Z1121&lt;&gt;"","")</f>
        <v>中文</v>
      </c>
      <c r="AC1121">
        <v>7</v>
      </c>
      <c r="AD1121" t="str">
        <v/>
      </c>
      <c r="AE1121" t="str">
        <v/>
      </c>
      <c r="AF1121" t="str" cm="1">
        <f t="array" ref="AF1121">IF(AD1121="","",SUMPRODUCT(IF(LEFT($AD$1:AD1121,2)="JS",1,0)))</f>
        <v/>
      </c>
      <c r="AG1121" t="b">
        <f t="shared" si="68"/>
        <v>1</v>
      </c>
      <c r="AH1121" t="str">
        <f t="shared" si="69"/>
        <v/>
      </c>
      <c r="AI1121" t="str">
        <f>IF(AH1121="","",MAX($AF$1:$AF1121))</f>
        <v/>
      </c>
      <c r="AJ1121" t="str">
        <f t="shared" si="70"/>
        <v>中文</v>
      </c>
      <c r="AK1121">
        <f>IF(AJ1121="","",MAX($AF$1:$AF1121))</f>
        <v>23</v>
      </c>
      <c r="AL1121" t="str">
        <f t="shared" si="71"/>
        <v/>
      </c>
      <c r="AM1121" t="str">
        <f>IF(AL1121="","",MAX($AF$1:$AF1121))</f>
        <v/>
      </c>
    </row>
    <row r="1122" spans="1:39" ht="13.5" customHeight="1" x14ac:dyDescent="0.3">
      <c r="A1122" s="8" t="s">
        <v>7</v>
      </c>
      <c r="B1122" s="9"/>
      <c r="C1122" s="10">
        <v>5</v>
      </c>
      <c r="D1122" s="11"/>
      <c r="E1122" s="2"/>
      <c r="AB1122" t="str" cm="1">
        <f t="array" ref="AB1122:AC1122">_xlfn._xlws.FILTER(A1122:Z1122,A1122:Z1122&lt;&gt;"","")</f>
        <v>Chinese Literature</v>
      </c>
      <c r="AC1122">
        <v>5</v>
      </c>
      <c r="AD1122" t="str">
        <v/>
      </c>
      <c r="AE1122" t="str">
        <v/>
      </c>
      <c r="AF1122" t="str" cm="1">
        <f t="array" ref="AF1122">IF(AD1122="","",SUMPRODUCT(IF(LEFT($AD$1:AD1122,2)="JS",1,0)))</f>
        <v/>
      </c>
      <c r="AG1122" t="str">
        <f t="shared" si="68"/>
        <v/>
      </c>
      <c r="AH1122" t="str">
        <f t="shared" si="69"/>
        <v/>
      </c>
      <c r="AI1122" t="str">
        <f>IF(AH1122="","",MAX($AF$1:$AF1122))</f>
        <v/>
      </c>
      <c r="AJ1122" t="str">
        <f t="shared" si="70"/>
        <v/>
      </c>
      <c r="AK1122" t="str">
        <f>IF(AJ1122="","",MAX($AF$1:$AF1122))</f>
        <v/>
      </c>
      <c r="AL1122" t="str">
        <f t="shared" si="71"/>
        <v/>
      </c>
      <c r="AM1122" t="str">
        <f>IF(AL1122="","",MAX($AF$1:$AF1122))</f>
        <v/>
      </c>
    </row>
    <row r="1123" spans="1:39" ht="13.5" customHeight="1" x14ac:dyDescent="0.3">
      <c r="A1123" s="8" t="s">
        <v>8</v>
      </c>
      <c r="B1123" s="9"/>
      <c r="C1123" s="10">
        <v>5</v>
      </c>
      <c r="D1123" s="11"/>
      <c r="E1123" s="2"/>
      <c r="AB1123" t="str" cm="1">
        <f t="array" ref="AB1123:AC1123">_xlfn._xlws.FILTER(A1123:Z1123,A1123:Z1123&lt;&gt;"","")</f>
        <v>Combined Science: Biology + Chemistry</v>
      </c>
      <c r="AC1123">
        <v>5</v>
      </c>
      <c r="AD1123" t="str">
        <v/>
      </c>
      <c r="AE1123" t="str">
        <v/>
      </c>
      <c r="AF1123" t="str" cm="1">
        <f t="array" ref="AF1123">IF(AD1123="","",SUMPRODUCT(IF(LEFT($AD$1:AD1123,2)="JS",1,0)))</f>
        <v/>
      </c>
      <c r="AG1123" t="str">
        <f t="shared" si="68"/>
        <v/>
      </c>
      <c r="AH1123" t="str">
        <f t="shared" si="69"/>
        <v/>
      </c>
      <c r="AI1123" t="str">
        <f>IF(AH1123="","",MAX($AF$1:$AF1123))</f>
        <v/>
      </c>
      <c r="AJ1123" t="str">
        <f t="shared" si="70"/>
        <v/>
      </c>
      <c r="AK1123" t="str">
        <f>IF(AJ1123="","",MAX($AF$1:$AF1123))</f>
        <v/>
      </c>
      <c r="AL1123" t="str">
        <f t="shared" si="71"/>
        <v/>
      </c>
      <c r="AM1123" t="str">
        <f>IF(AL1123="","",MAX($AF$1:$AF1123))</f>
        <v/>
      </c>
    </row>
    <row r="1124" spans="1:39" ht="13.5" customHeight="1" x14ac:dyDescent="0.3">
      <c r="A1124" s="8" t="s">
        <v>9</v>
      </c>
      <c r="B1124" s="9"/>
      <c r="C1124" s="10">
        <v>5</v>
      </c>
      <c r="D1124" s="11"/>
      <c r="E1124" s="2"/>
      <c r="AB1124" t="str" cm="1">
        <f t="array" ref="AB1124:AC1124">_xlfn._xlws.FILTER(A1124:Z1124,A1124:Z1124&lt;&gt;"","")</f>
        <v>Combined Science: Biology + Physics</v>
      </c>
      <c r="AC1124">
        <v>5</v>
      </c>
      <c r="AD1124" t="str">
        <v/>
      </c>
      <c r="AE1124" t="str">
        <v/>
      </c>
      <c r="AF1124" t="str" cm="1">
        <f t="array" ref="AF1124">IF(AD1124="","",SUMPRODUCT(IF(LEFT($AD$1:AD1124,2)="JS",1,0)))</f>
        <v/>
      </c>
      <c r="AG1124" t="str">
        <f t="shared" si="68"/>
        <v/>
      </c>
      <c r="AH1124" t="str">
        <f t="shared" si="69"/>
        <v/>
      </c>
      <c r="AI1124" t="str">
        <f>IF(AH1124="","",MAX($AF$1:$AF1124))</f>
        <v/>
      </c>
      <c r="AJ1124" t="str">
        <f t="shared" si="70"/>
        <v/>
      </c>
      <c r="AK1124" t="str">
        <f>IF(AJ1124="","",MAX($AF$1:$AF1124))</f>
        <v/>
      </c>
      <c r="AL1124" t="str">
        <f t="shared" si="71"/>
        <v/>
      </c>
      <c r="AM1124" t="str">
        <f>IF(AL1124="","",MAX($AF$1:$AF1124))</f>
        <v/>
      </c>
    </row>
    <row r="1125" spans="1:39" ht="13.5" customHeight="1" x14ac:dyDescent="0.3">
      <c r="A1125" s="8" t="s">
        <v>10</v>
      </c>
      <c r="B1125" s="9"/>
      <c r="C1125" s="10">
        <v>5</v>
      </c>
      <c r="D1125" s="11"/>
      <c r="E1125" s="2"/>
      <c r="AB1125" t="str" cm="1">
        <f t="array" ref="AB1125:AC1125">_xlfn._xlws.FILTER(A1125:Z1125,A1125:Z1125&lt;&gt;"","")</f>
        <v>Combined Science: Physics + Chemistry</v>
      </c>
      <c r="AC1125">
        <v>5</v>
      </c>
      <c r="AD1125" t="str">
        <v/>
      </c>
      <c r="AE1125" t="str">
        <v/>
      </c>
      <c r="AF1125" t="str" cm="1">
        <f t="array" ref="AF1125">IF(AD1125="","",SUMPRODUCT(IF(LEFT($AD$1:AD1125,2)="JS",1,0)))</f>
        <v/>
      </c>
      <c r="AG1125" t="str">
        <f t="shared" si="68"/>
        <v/>
      </c>
      <c r="AH1125" t="str">
        <f t="shared" si="69"/>
        <v/>
      </c>
      <c r="AI1125" t="str">
        <f>IF(AH1125="","",MAX($AF$1:$AF1125))</f>
        <v/>
      </c>
      <c r="AJ1125" t="str">
        <f t="shared" si="70"/>
        <v/>
      </c>
      <c r="AK1125" t="str">
        <f>IF(AJ1125="","",MAX($AF$1:$AF1125))</f>
        <v/>
      </c>
      <c r="AL1125" t="str">
        <f t="shared" si="71"/>
        <v/>
      </c>
      <c r="AM1125" t="str">
        <f>IF(AL1125="","",MAX($AF$1:$AF1125))</f>
        <v/>
      </c>
    </row>
    <row r="1126" spans="1:39" ht="13.5" customHeight="1" x14ac:dyDescent="0.3">
      <c r="A1126" s="8" t="s">
        <v>11</v>
      </c>
      <c r="B1126" s="9"/>
      <c r="C1126" s="10">
        <v>5</v>
      </c>
      <c r="D1126" s="11"/>
      <c r="E1126" s="2"/>
      <c r="AB1126" t="str" cm="1">
        <f t="array" ref="AB1126:AC1126">_xlfn._xlws.FILTER(A1126:Z1126,A1126:Z1126&lt;&gt;"","")</f>
        <v>Design and Applied Technology</v>
      </c>
      <c r="AC1126">
        <v>5</v>
      </c>
      <c r="AD1126" t="str">
        <v/>
      </c>
      <c r="AE1126" t="str">
        <v/>
      </c>
      <c r="AF1126" t="str" cm="1">
        <f t="array" ref="AF1126">IF(AD1126="","",SUMPRODUCT(IF(LEFT($AD$1:AD1126,2)="JS",1,0)))</f>
        <v/>
      </c>
      <c r="AG1126" t="str">
        <f t="shared" si="68"/>
        <v/>
      </c>
      <c r="AH1126" t="str">
        <f t="shared" si="69"/>
        <v/>
      </c>
      <c r="AI1126" t="str">
        <f>IF(AH1126="","",MAX($AF$1:$AF1126))</f>
        <v/>
      </c>
      <c r="AJ1126" t="str">
        <f t="shared" si="70"/>
        <v/>
      </c>
      <c r="AK1126" t="str">
        <f>IF(AJ1126="","",MAX($AF$1:$AF1126))</f>
        <v/>
      </c>
      <c r="AL1126" t="str">
        <f t="shared" si="71"/>
        <v/>
      </c>
      <c r="AM1126" t="str">
        <f>IF(AL1126="","",MAX($AF$1:$AF1126))</f>
        <v/>
      </c>
    </row>
    <row r="1127" spans="1:39" ht="13.5" customHeight="1" x14ac:dyDescent="0.3">
      <c r="A1127" s="8" t="s">
        <v>217</v>
      </c>
      <c r="B1127" s="9"/>
      <c r="C1127" s="10">
        <v>5</v>
      </c>
      <c r="D1127" s="11"/>
      <c r="E1127" s="2"/>
      <c r="AB1127" t="str" cm="1">
        <f t="array" ref="AB1127:AC1127">_xlfn._xlws.FILTER(A1127:Z1127,A1127:Z1127&lt;&gt;"","")</f>
        <v>ECON</v>
      </c>
      <c r="AC1127">
        <v>5</v>
      </c>
      <c r="AD1127" t="str">
        <v/>
      </c>
      <c r="AE1127" t="str">
        <v/>
      </c>
      <c r="AF1127" t="str" cm="1">
        <f t="array" ref="AF1127">IF(AD1127="","",SUMPRODUCT(IF(LEFT($AD$1:AD1127,2)="JS",1,0)))</f>
        <v/>
      </c>
      <c r="AG1127" t="b">
        <f t="shared" si="68"/>
        <v>1</v>
      </c>
      <c r="AH1127" t="str">
        <f t="shared" si="69"/>
        <v/>
      </c>
      <c r="AI1127" t="str">
        <f>IF(AH1127="","",MAX($AF$1:$AF1127))</f>
        <v/>
      </c>
      <c r="AJ1127" t="str">
        <f t="shared" si="70"/>
        <v/>
      </c>
      <c r="AK1127" t="str">
        <f>IF(AJ1127="","",MAX($AF$1:$AF1127))</f>
        <v/>
      </c>
      <c r="AL1127" t="str">
        <f t="shared" si="71"/>
        <v>ECON</v>
      </c>
      <c r="AM1127">
        <f>IF(AL1127="","",MAX($AF$1:$AF1127))</f>
        <v>23</v>
      </c>
    </row>
    <row r="1128" spans="1:39" ht="13.5" customHeight="1" x14ac:dyDescent="0.3">
      <c r="A1128" s="8" t="s">
        <v>218</v>
      </c>
      <c r="B1128" s="9"/>
      <c r="C1128" s="10">
        <v>10</v>
      </c>
      <c r="D1128" s="11"/>
      <c r="E1128" s="2"/>
      <c r="AB1128" t="str" cm="1">
        <f t="array" ref="AB1128:AC1128">_xlfn._xlws.FILTER(A1128:Z1128,A1128:Z1128&lt;&gt;"","")</f>
        <v>ENG</v>
      </c>
      <c r="AC1128">
        <v>10</v>
      </c>
      <c r="AD1128" t="str">
        <v/>
      </c>
      <c r="AE1128" t="str">
        <v/>
      </c>
      <c r="AF1128" t="str" cm="1">
        <f t="array" ref="AF1128">IF(AD1128="","",SUMPRODUCT(IF(LEFT($AD$1:AD1128,2)="JS",1,0)))</f>
        <v/>
      </c>
      <c r="AG1128" t="b">
        <f t="shared" si="68"/>
        <v>1</v>
      </c>
      <c r="AH1128" t="str">
        <f t="shared" si="69"/>
        <v>ENG</v>
      </c>
      <c r="AI1128">
        <f>IF(AH1128="","",MAX($AF$1:$AF1128))</f>
        <v>23</v>
      </c>
      <c r="AJ1128" t="str">
        <f t="shared" si="70"/>
        <v/>
      </c>
      <c r="AK1128" t="str">
        <f>IF(AJ1128="","",MAX($AF$1:$AF1128))</f>
        <v/>
      </c>
      <c r="AL1128" t="str">
        <f t="shared" si="71"/>
        <v/>
      </c>
      <c r="AM1128" t="str">
        <f>IF(AL1128="","",MAX($AF$1:$AF1128))</f>
        <v/>
      </c>
    </row>
    <row r="1129" spans="1:39" ht="13.5" customHeight="1" x14ac:dyDescent="0.3">
      <c r="A1129" s="8" t="s">
        <v>12</v>
      </c>
      <c r="B1129" s="9"/>
      <c r="C1129" s="10">
        <v>5</v>
      </c>
      <c r="D1129" s="11"/>
      <c r="E1129" s="2"/>
      <c r="AB1129" t="str" cm="1">
        <f t="array" ref="AB1129:AC1129">_xlfn._xlws.FILTER(A1129:Z1129,A1129:Z1129&lt;&gt;"","")</f>
        <v>Ethics and Religious Studies</v>
      </c>
      <c r="AC1129">
        <v>5</v>
      </c>
      <c r="AD1129" t="str">
        <v/>
      </c>
      <c r="AE1129" t="str">
        <v/>
      </c>
      <c r="AF1129" t="str" cm="1">
        <f t="array" ref="AF1129">IF(AD1129="","",SUMPRODUCT(IF(LEFT($AD$1:AD1129,2)="JS",1,0)))</f>
        <v/>
      </c>
      <c r="AG1129" t="str">
        <f t="shared" si="68"/>
        <v/>
      </c>
      <c r="AH1129" t="str">
        <f t="shared" si="69"/>
        <v/>
      </c>
      <c r="AI1129" t="str">
        <f>IF(AH1129="","",MAX($AF$1:$AF1129))</f>
        <v/>
      </c>
      <c r="AJ1129" t="str">
        <f t="shared" si="70"/>
        <v/>
      </c>
      <c r="AK1129" t="str">
        <f>IF(AJ1129="","",MAX($AF$1:$AF1129))</f>
        <v/>
      </c>
      <c r="AL1129" t="str">
        <f t="shared" si="71"/>
        <v/>
      </c>
      <c r="AM1129" t="str">
        <f>IF(AL1129="","",MAX($AF$1:$AF1129))</f>
        <v/>
      </c>
    </row>
    <row r="1130" spans="1:39" ht="13.5" customHeight="1" x14ac:dyDescent="0.3">
      <c r="A1130" s="8" t="s">
        <v>219</v>
      </c>
      <c r="B1130" s="9"/>
      <c r="C1130" s="10">
        <v>5</v>
      </c>
      <c r="D1130" s="11"/>
      <c r="E1130" s="2"/>
      <c r="AB1130" t="str" cm="1">
        <f t="array" ref="AB1130:AC1130">_xlfn._xlws.FILTER(A1130:Z1130,A1130:Z1130&lt;&gt;"","")</f>
        <v>GEOG</v>
      </c>
      <c r="AC1130">
        <v>5</v>
      </c>
      <c r="AD1130" t="str">
        <v/>
      </c>
      <c r="AE1130" t="str">
        <v/>
      </c>
      <c r="AF1130" t="str" cm="1">
        <f t="array" ref="AF1130">IF(AD1130="","",SUMPRODUCT(IF(LEFT($AD$1:AD1130,2)="JS",1,0)))</f>
        <v/>
      </c>
      <c r="AG1130" t="b">
        <f t="shared" si="68"/>
        <v>1</v>
      </c>
      <c r="AH1130" t="str">
        <f t="shared" si="69"/>
        <v/>
      </c>
      <c r="AI1130" t="str">
        <f>IF(AH1130="","",MAX($AF$1:$AF1130))</f>
        <v/>
      </c>
      <c r="AJ1130" t="str">
        <f t="shared" si="70"/>
        <v/>
      </c>
      <c r="AK1130" t="str">
        <f>IF(AJ1130="","",MAX($AF$1:$AF1130))</f>
        <v/>
      </c>
      <c r="AL1130" t="str">
        <f t="shared" si="71"/>
        <v>GEOG</v>
      </c>
      <c r="AM1130">
        <f>IF(AL1130="","",MAX($AF$1:$AF1130))</f>
        <v>23</v>
      </c>
    </row>
    <row r="1131" spans="1:39" ht="13.5" customHeight="1" x14ac:dyDescent="0.3">
      <c r="A1131" s="8" t="s">
        <v>220</v>
      </c>
      <c r="B1131" s="9"/>
      <c r="C1131" s="10">
        <v>5</v>
      </c>
      <c r="D1131" s="11"/>
      <c r="E1131" s="2"/>
      <c r="AB1131" t="str" cm="1">
        <f t="array" ref="AB1131:AC1131">_xlfn._xlws.FILTER(A1131:Z1131,A1131:Z1131&lt;&gt;"","")</f>
        <v>HMSC</v>
      </c>
      <c r="AC1131">
        <v>5</v>
      </c>
      <c r="AD1131" t="str">
        <v/>
      </c>
      <c r="AE1131" t="str">
        <v/>
      </c>
      <c r="AF1131" t="str" cm="1">
        <f t="array" ref="AF1131">IF(AD1131="","",SUMPRODUCT(IF(LEFT($AD$1:AD1131,2)="JS",1,0)))</f>
        <v/>
      </c>
      <c r="AG1131" t="b">
        <f t="shared" si="68"/>
        <v>1</v>
      </c>
      <c r="AH1131" t="str">
        <f t="shared" si="69"/>
        <v/>
      </c>
      <c r="AI1131" t="str">
        <f>IF(AH1131="","",MAX($AF$1:$AF1131))</f>
        <v/>
      </c>
      <c r="AJ1131" t="str">
        <f t="shared" si="70"/>
        <v/>
      </c>
      <c r="AK1131" t="str">
        <f>IF(AJ1131="","",MAX($AF$1:$AF1131))</f>
        <v/>
      </c>
      <c r="AL1131" t="str">
        <f t="shared" si="71"/>
        <v>HMSC</v>
      </c>
      <c r="AM1131">
        <f>IF(AL1131="","",MAX($AF$1:$AF1131))</f>
        <v>23</v>
      </c>
    </row>
    <row r="1132" spans="1:39" ht="13.5" customHeight="1" x14ac:dyDescent="0.3">
      <c r="A1132" s="8" t="s">
        <v>221</v>
      </c>
      <c r="B1132" s="9"/>
      <c r="C1132" s="10">
        <v>5</v>
      </c>
      <c r="D1132" s="11"/>
      <c r="E1132" s="2"/>
      <c r="AB1132" t="str" cm="1">
        <f t="array" ref="AB1132:AC1132">_xlfn._xlws.FILTER(A1132:Z1132,A1132:Z1132&lt;&gt;"","")</f>
        <v>HIST</v>
      </c>
      <c r="AC1132">
        <v>5</v>
      </c>
      <c r="AD1132" t="str">
        <v/>
      </c>
      <c r="AE1132" t="str">
        <v/>
      </c>
      <c r="AF1132" t="str" cm="1">
        <f t="array" ref="AF1132">IF(AD1132="","",SUMPRODUCT(IF(LEFT($AD$1:AD1132,2)="JS",1,0)))</f>
        <v/>
      </c>
      <c r="AG1132" t="b">
        <f t="shared" si="68"/>
        <v>1</v>
      </c>
      <c r="AH1132" t="str">
        <f t="shared" si="69"/>
        <v/>
      </c>
      <c r="AI1132" t="str">
        <f>IF(AH1132="","",MAX($AF$1:$AF1132))</f>
        <v/>
      </c>
      <c r="AJ1132" t="str">
        <f t="shared" si="70"/>
        <v/>
      </c>
      <c r="AK1132" t="str">
        <f>IF(AJ1132="","",MAX($AF$1:$AF1132))</f>
        <v/>
      </c>
      <c r="AL1132" t="str">
        <f t="shared" si="71"/>
        <v>HIST</v>
      </c>
      <c r="AM1132">
        <f>IF(AL1132="","",MAX($AF$1:$AF1132))</f>
        <v>23</v>
      </c>
    </row>
    <row r="1133" spans="1:39" ht="13.5" customHeight="1" x14ac:dyDescent="0.3">
      <c r="A1133" s="8" t="s">
        <v>222</v>
      </c>
      <c r="B1133" s="9"/>
      <c r="C1133" s="10">
        <v>5</v>
      </c>
      <c r="D1133" s="11"/>
      <c r="E1133" s="2"/>
      <c r="AB1133" t="str" cm="1">
        <f t="array" ref="AB1133:AC1133">_xlfn._xlws.FILTER(A1133:Z1133,A1133:Z1133&lt;&gt;"","")</f>
        <v>ICT</v>
      </c>
      <c r="AC1133">
        <v>5</v>
      </c>
      <c r="AD1133" t="str">
        <v/>
      </c>
      <c r="AE1133" t="str">
        <v/>
      </c>
      <c r="AF1133" t="str" cm="1">
        <f t="array" ref="AF1133">IF(AD1133="","",SUMPRODUCT(IF(LEFT($AD$1:AD1133,2)="JS",1,0)))</f>
        <v/>
      </c>
      <c r="AG1133" t="b">
        <f t="shared" si="68"/>
        <v>1</v>
      </c>
      <c r="AH1133" t="str">
        <f t="shared" si="69"/>
        <v/>
      </c>
      <c r="AI1133" t="str">
        <f>IF(AH1133="","",MAX($AF$1:$AF1133))</f>
        <v/>
      </c>
      <c r="AJ1133" t="str">
        <f t="shared" si="70"/>
        <v/>
      </c>
      <c r="AK1133" t="str">
        <f>IF(AJ1133="","",MAX($AF$1:$AF1133))</f>
        <v/>
      </c>
      <c r="AL1133" t="str">
        <f t="shared" si="71"/>
        <v>ICT</v>
      </c>
      <c r="AM1133">
        <f>IF(AL1133="","",MAX($AF$1:$AF1133))</f>
        <v>23</v>
      </c>
    </row>
    <row r="1134" spans="1:39" ht="13.5" customHeight="1" x14ac:dyDescent="0.3">
      <c r="A1134" s="8" t="s">
        <v>13</v>
      </c>
      <c r="B1134" s="9"/>
      <c r="C1134" s="10">
        <v>5</v>
      </c>
      <c r="D1134" s="11"/>
      <c r="E1134" s="2"/>
      <c r="AB1134" t="str" cm="1">
        <f t="array" ref="AB1134:AC1134">_xlfn._xlws.FILTER(A1134:Z1134,A1134:Z1134&lt;&gt;"","")</f>
        <v>Integrated Science</v>
      </c>
      <c r="AC1134">
        <v>5</v>
      </c>
      <c r="AD1134" t="str">
        <v/>
      </c>
      <c r="AE1134" t="str">
        <v/>
      </c>
      <c r="AF1134" t="str" cm="1">
        <f t="array" ref="AF1134">IF(AD1134="","",SUMPRODUCT(IF(LEFT($AD$1:AD1134,2)="JS",1,0)))</f>
        <v/>
      </c>
      <c r="AG1134" t="str">
        <f t="shared" si="68"/>
        <v/>
      </c>
      <c r="AH1134" t="str">
        <f t="shared" si="69"/>
        <v/>
      </c>
      <c r="AI1134" t="str">
        <f>IF(AH1134="","",MAX($AF$1:$AF1134))</f>
        <v/>
      </c>
      <c r="AJ1134" t="str">
        <f t="shared" si="70"/>
        <v/>
      </c>
      <c r="AK1134" t="str">
        <f>IF(AJ1134="","",MAX($AF$1:$AF1134))</f>
        <v/>
      </c>
      <c r="AL1134" t="str">
        <f t="shared" si="71"/>
        <v/>
      </c>
      <c r="AM1134" t="str">
        <f>IF(AL1134="","",MAX($AF$1:$AF1134))</f>
        <v/>
      </c>
    </row>
    <row r="1135" spans="1:39" ht="13.5" customHeight="1" x14ac:dyDescent="0.3">
      <c r="A1135" s="8" t="s">
        <v>223</v>
      </c>
      <c r="B1135" s="9"/>
      <c r="C1135" s="10">
        <v>7</v>
      </c>
      <c r="D1135" s="11"/>
      <c r="E1135" s="2"/>
      <c r="AB1135" t="str" cm="1">
        <f t="array" ref="AB1135:AC1135">_xlfn._xlws.FILTER(A1135:Z1135,A1135:Z1135&lt;&gt;"","")</f>
        <v>通</v>
      </c>
      <c r="AC1135">
        <v>7</v>
      </c>
      <c r="AD1135" t="str">
        <v/>
      </c>
      <c r="AE1135" t="str">
        <v/>
      </c>
      <c r="AF1135" t="str" cm="1">
        <f t="array" ref="AF1135">IF(AD1135="","",SUMPRODUCT(IF(LEFT($AD$1:AD1135,2)="JS",1,0)))</f>
        <v/>
      </c>
      <c r="AG1135" t="b">
        <f t="shared" si="68"/>
        <v>1</v>
      </c>
      <c r="AH1135" t="str">
        <f t="shared" si="69"/>
        <v/>
      </c>
      <c r="AI1135" t="str">
        <f>IF(AH1135="","",MAX($AF$1:$AF1135))</f>
        <v/>
      </c>
      <c r="AJ1135" t="str">
        <f t="shared" si="70"/>
        <v>通</v>
      </c>
      <c r="AK1135">
        <f>IF(AJ1135="","",MAX($AF$1:$AF1135))</f>
        <v>23</v>
      </c>
      <c r="AL1135" t="str">
        <f t="shared" si="71"/>
        <v/>
      </c>
      <c r="AM1135" t="str">
        <f>IF(AL1135="","",MAX($AF$1:$AF1135))</f>
        <v/>
      </c>
    </row>
    <row r="1136" spans="1:39" ht="13.5" customHeight="1" x14ac:dyDescent="0.3">
      <c r="A1136" s="8" t="s">
        <v>14</v>
      </c>
      <c r="B1136" s="9"/>
      <c r="C1136" s="10">
        <v>5</v>
      </c>
      <c r="D1136" s="11"/>
      <c r="E1136" s="2"/>
      <c r="AB1136" t="str" cm="1">
        <f t="array" ref="AB1136:AC1136">_xlfn._xlws.FILTER(A1136:Z1136,A1136:Z1136&lt;&gt;"","")</f>
        <v>Literature in English</v>
      </c>
      <c r="AC1136">
        <v>5</v>
      </c>
      <c r="AD1136" t="str">
        <v/>
      </c>
      <c r="AE1136" t="str">
        <v/>
      </c>
      <c r="AF1136" t="str" cm="1">
        <f t="array" ref="AF1136">IF(AD1136="","",SUMPRODUCT(IF(LEFT($AD$1:AD1136,2)="JS",1,0)))</f>
        <v/>
      </c>
      <c r="AG1136" t="str">
        <f t="shared" si="68"/>
        <v/>
      </c>
      <c r="AH1136" t="str">
        <f t="shared" si="69"/>
        <v/>
      </c>
      <c r="AI1136" t="str">
        <f>IF(AH1136="","",MAX($AF$1:$AF1136))</f>
        <v/>
      </c>
      <c r="AJ1136" t="str">
        <f t="shared" si="70"/>
        <v/>
      </c>
      <c r="AK1136" t="str">
        <f>IF(AJ1136="","",MAX($AF$1:$AF1136))</f>
        <v/>
      </c>
      <c r="AL1136" t="str">
        <f t="shared" si="71"/>
        <v/>
      </c>
      <c r="AM1136" t="str">
        <f>IF(AL1136="","",MAX($AF$1:$AF1136))</f>
        <v/>
      </c>
    </row>
    <row r="1137" spans="1:39" ht="13.5" customHeight="1" x14ac:dyDescent="0.3">
      <c r="A1137" s="8" t="s">
        <v>224</v>
      </c>
      <c r="B1137" s="9"/>
      <c r="C1137" s="10">
        <v>10</v>
      </c>
      <c r="D1137" s="11"/>
      <c r="E1137" s="2"/>
      <c r="AB1137" t="str" cm="1">
        <f t="array" ref="AB1137:AC1137">_xlfn._xlws.FILTER(A1137:Z1137,A1137:Z1137&lt;&gt;"","")</f>
        <v>MATH</v>
      </c>
      <c r="AC1137">
        <v>10</v>
      </c>
      <c r="AD1137" t="str">
        <v/>
      </c>
      <c r="AE1137" t="str">
        <v/>
      </c>
      <c r="AF1137" t="str" cm="1">
        <f t="array" ref="AF1137">IF(AD1137="","",SUMPRODUCT(IF(LEFT($AD$1:AD1137,2)="JS",1,0)))</f>
        <v/>
      </c>
      <c r="AG1137" t="b">
        <f t="shared" si="68"/>
        <v>1</v>
      </c>
      <c r="AH1137" t="str">
        <f t="shared" si="69"/>
        <v>MATH</v>
      </c>
      <c r="AI1137">
        <f>IF(AH1137="","",MAX($AF$1:$AF1137))</f>
        <v>23</v>
      </c>
      <c r="AJ1137" t="str">
        <f t="shared" si="70"/>
        <v/>
      </c>
      <c r="AK1137" t="str">
        <f>IF(AJ1137="","",MAX($AF$1:$AF1137))</f>
        <v/>
      </c>
      <c r="AL1137" t="str">
        <f t="shared" si="71"/>
        <v/>
      </c>
      <c r="AM1137" t="str">
        <f>IF(AL1137="","",MAX($AF$1:$AF1137))</f>
        <v/>
      </c>
    </row>
    <row r="1138" spans="1:39" ht="13.5" customHeight="1" x14ac:dyDescent="0.3">
      <c r="A1138" s="8" t="s">
        <v>225</v>
      </c>
      <c r="B1138" s="9"/>
      <c r="C1138" s="10">
        <v>5</v>
      </c>
      <c r="D1138" s="11"/>
      <c r="E1138" s="2"/>
      <c r="AB1138" t="str" cm="1">
        <f t="array" ref="AB1138:AC1138">_xlfn._xlws.FILTER(A1138:Z1138,A1138:Z1138&lt;&gt;"","")</f>
        <v>M2</v>
      </c>
      <c r="AC1138">
        <v>5</v>
      </c>
      <c r="AD1138" t="str">
        <v/>
      </c>
      <c r="AE1138" t="str">
        <v/>
      </c>
      <c r="AF1138" t="str" cm="1">
        <f t="array" ref="AF1138">IF(AD1138="","",SUMPRODUCT(IF(LEFT($AD$1:AD1138,2)="JS",1,0)))</f>
        <v/>
      </c>
      <c r="AG1138" t="b">
        <f t="shared" si="68"/>
        <v>1</v>
      </c>
      <c r="AH1138" t="str">
        <f t="shared" si="69"/>
        <v/>
      </c>
      <c r="AI1138" t="str">
        <f>IF(AH1138="","",MAX($AF$1:$AF1138))</f>
        <v/>
      </c>
      <c r="AJ1138" t="str">
        <f t="shared" si="70"/>
        <v/>
      </c>
      <c r="AK1138" t="str">
        <f>IF(AJ1138="","",MAX($AF$1:$AF1138))</f>
        <v/>
      </c>
      <c r="AL1138" t="str">
        <f t="shared" si="71"/>
        <v>M2</v>
      </c>
      <c r="AM1138">
        <f>IF(AL1138="","",MAX($AF$1:$AF1138))</f>
        <v>23</v>
      </c>
    </row>
    <row r="1139" spans="1:39" ht="13.5" customHeight="1" x14ac:dyDescent="0.3">
      <c r="A1139" s="8" t="s">
        <v>15</v>
      </c>
      <c r="B1139" s="9"/>
      <c r="C1139" s="10">
        <v>5</v>
      </c>
      <c r="D1139" s="11"/>
      <c r="E1139" s="2"/>
      <c r="AB1139" t="str" cm="1">
        <f t="array" ref="AB1139:AC1139">_xlfn._xlws.FILTER(A1139:Z1139,A1139:Z1139&lt;&gt;"","")</f>
        <v>Mathematics (Extended part - Calculus and Statistics)</v>
      </c>
      <c r="AC1139">
        <v>5</v>
      </c>
      <c r="AD1139" t="str">
        <v/>
      </c>
      <c r="AE1139" t="str">
        <v/>
      </c>
      <c r="AF1139" t="str" cm="1">
        <f t="array" ref="AF1139">IF(AD1139="","",SUMPRODUCT(IF(LEFT($AD$1:AD1139,2)="JS",1,0)))</f>
        <v/>
      </c>
      <c r="AG1139" t="str">
        <f t="shared" si="68"/>
        <v/>
      </c>
      <c r="AH1139" t="str">
        <f t="shared" si="69"/>
        <v/>
      </c>
      <c r="AI1139" t="str">
        <f>IF(AH1139="","",MAX($AF$1:$AF1139))</f>
        <v/>
      </c>
      <c r="AJ1139" t="str">
        <f t="shared" si="70"/>
        <v/>
      </c>
      <c r="AK1139" t="str">
        <f>IF(AJ1139="","",MAX($AF$1:$AF1139))</f>
        <v/>
      </c>
      <c r="AL1139" t="str">
        <f t="shared" si="71"/>
        <v/>
      </c>
      <c r="AM1139" t="str">
        <f>IF(AL1139="","",MAX($AF$1:$AF1139))</f>
        <v/>
      </c>
    </row>
    <row r="1140" spans="1:39" ht="13.5" customHeight="1" x14ac:dyDescent="0.3">
      <c r="A1140" s="8" t="s">
        <v>16</v>
      </c>
      <c r="B1140" s="9"/>
      <c r="C1140" s="10">
        <v>5</v>
      </c>
      <c r="D1140" s="11"/>
      <c r="E1140" s="2"/>
      <c r="AB1140" t="str" cm="1">
        <f t="array" ref="AB1140:AC1140">_xlfn._xlws.FILTER(A1140:Z1140,A1140:Z1140&lt;&gt;"","")</f>
        <v>Music</v>
      </c>
      <c r="AC1140">
        <v>5</v>
      </c>
      <c r="AD1140" t="str">
        <v/>
      </c>
      <c r="AE1140" t="str">
        <v/>
      </c>
      <c r="AF1140" t="str" cm="1">
        <f t="array" ref="AF1140">IF(AD1140="","",SUMPRODUCT(IF(LEFT($AD$1:AD1140,2)="JS",1,0)))</f>
        <v/>
      </c>
      <c r="AG1140" t="str">
        <f t="shared" si="68"/>
        <v/>
      </c>
      <c r="AH1140" t="str">
        <f t="shared" si="69"/>
        <v/>
      </c>
      <c r="AI1140" t="str">
        <f>IF(AH1140="","",MAX($AF$1:$AF1140))</f>
        <v/>
      </c>
      <c r="AJ1140" t="str">
        <f t="shared" si="70"/>
        <v/>
      </c>
      <c r="AK1140" t="str">
        <f>IF(AJ1140="","",MAX($AF$1:$AF1140))</f>
        <v/>
      </c>
      <c r="AL1140" t="str">
        <f t="shared" si="71"/>
        <v/>
      </c>
      <c r="AM1140" t="str">
        <f>IF(AL1140="","",MAX($AF$1:$AF1140))</f>
        <v/>
      </c>
    </row>
    <row r="1141" spans="1:39" ht="13.5" customHeight="1" x14ac:dyDescent="0.3">
      <c r="A1141" s="8" t="s">
        <v>17</v>
      </c>
      <c r="B1141" s="9"/>
      <c r="C1141" s="10">
        <v>5</v>
      </c>
      <c r="D1141" s="11"/>
      <c r="E1141" s="2"/>
      <c r="AB1141" t="str" cm="1">
        <f t="array" ref="AB1141:AC1141">_xlfn._xlws.FILTER(A1141:Z1141,A1141:Z1141&lt;&gt;"","")</f>
        <v>Physical Education</v>
      </c>
      <c r="AC1141">
        <v>5</v>
      </c>
      <c r="AD1141" t="str">
        <v/>
      </c>
      <c r="AE1141" t="str">
        <v/>
      </c>
      <c r="AF1141" t="str" cm="1">
        <f t="array" ref="AF1141">IF(AD1141="","",SUMPRODUCT(IF(LEFT($AD$1:AD1141,2)="JS",1,0)))</f>
        <v/>
      </c>
      <c r="AG1141" t="str">
        <f t="shared" si="68"/>
        <v/>
      </c>
      <c r="AH1141" t="str">
        <f t="shared" si="69"/>
        <v/>
      </c>
      <c r="AI1141" t="str">
        <f>IF(AH1141="","",MAX($AF$1:$AF1141))</f>
        <v/>
      </c>
      <c r="AJ1141" t="str">
        <f t="shared" si="70"/>
        <v/>
      </c>
      <c r="AK1141" t="str">
        <f>IF(AJ1141="","",MAX($AF$1:$AF1141))</f>
        <v/>
      </c>
      <c r="AL1141" t="str">
        <f t="shared" si="71"/>
        <v/>
      </c>
      <c r="AM1141" t="str">
        <f>IF(AL1141="","",MAX($AF$1:$AF1141))</f>
        <v/>
      </c>
    </row>
    <row r="1142" spans="1:39" ht="13.5" customHeight="1" x14ac:dyDescent="0.3">
      <c r="A1142" s="8" t="s">
        <v>226</v>
      </c>
      <c r="B1142" s="9"/>
      <c r="C1142" s="10">
        <v>5</v>
      </c>
      <c r="D1142" s="11"/>
      <c r="E1142" s="2"/>
      <c r="AB1142" t="str" cm="1">
        <f t="array" ref="AB1142:AC1142">_xlfn._xlws.FILTER(A1142:Z1142,A1142:Z1142&lt;&gt;"","")</f>
        <v>PHY</v>
      </c>
      <c r="AC1142">
        <v>5</v>
      </c>
      <c r="AD1142" t="str">
        <v/>
      </c>
      <c r="AE1142" t="str">
        <v/>
      </c>
      <c r="AF1142" t="str" cm="1">
        <f t="array" ref="AF1142">IF(AD1142="","",SUMPRODUCT(IF(LEFT($AD$1:AD1142,2)="JS",1,0)))</f>
        <v/>
      </c>
      <c r="AG1142" t="b">
        <f t="shared" si="68"/>
        <v>1</v>
      </c>
      <c r="AH1142" t="str">
        <f t="shared" si="69"/>
        <v/>
      </c>
      <c r="AI1142" t="str">
        <f>IF(AH1142="","",MAX($AF$1:$AF1142))</f>
        <v/>
      </c>
      <c r="AJ1142" t="str">
        <f t="shared" si="70"/>
        <v/>
      </c>
      <c r="AK1142" t="str">
        <f>IF(AJ1142="","",MAX($AF$1:$AF1142))</f>
        <v/>
      </c>
      <c r="AL1142" t="str">
        <f t="shared" si="71"/>
        <v>PHY</v>
      </c>
      <c r="AM1142">
        <f>IF(AL1142="","",MAX($AF$1:$AF1142))</f>
        <v>23</v>
      </c>
    </row>
    <row r="1143" spans="1:39" ht="13.5" customHeight="1" x14ac:dyDescent="0.3">
      <c r="A1143" s="8" t="s">
        <v>18</v>
      </c>
      <c r="B1143" s="9"/>
      <c r="C1143" s="10">
        <v>5</v>
      </c>
      <c r="D1143" s="11"/>
      <c r="E1143" s="2"/>
      <c r="AB1143" t="str" cm="1">
        <f t="array" ref="AB1143:AC1143">_xlfn._xlws.FILTER(A1143:Z1143,A1143:Z1143&lt;&gt;"","")</f>
        <v>Technology and Living (Fashion, Clothing and Textiles)</v>
      </c>
      <c r="AC1143">
        <v>5</v>
      </c>
      <c r="AD1143" t="str">
        <v/>
      </c>
      <c r="AE1143" t="str">
        <v/>
      </c>
      <c r="AF1143" t="str" cm="1">
        <f t="array" ref="AF1143">IF(AD1143="","",SUMPRODUCT(IF(LEFT($AD$1:AD1143,2)="JS",1,0)))</f>
        <v/>
      </c>
      <c r="AG1143" t="str">
        <f t="shared" si="68"/>
        <v/>
      </c>
      <c r="AH1143" t="str">
        <f t="shared" si="69"/>
        <v/>
      </c>
      <c r="AI1143" t="str">
        <f>IF(AH1143="","",MAX($AF$1:$AF1143))</f>
        <v/>
      </c>
      <c r="AJ1143" t="str">
        <f t="shared" si="70"/>
        <v/>
      </c>
      <c r="AK1143" t="str">
        <f>IF(AJ1143="","",MAX($AF$1:$AF1143))</f>
        <v/>
      </c>
      <c r="AL1143" t="str">
        <f t="shared" si="71"/>
        <v/>
      </c>
      <c r="AM1143" t="str">
        <f>IF(AL1143="","",MAX($AF$1:$AF1143))</f>
        <v/>
      </c>
    </row>
    <row r="1144" spans="1:39" ht="13.5" customHeight="1" x14ac:dyDescent="0.3">
      <c r="A1144" s="8" t="s">
        <v>19</v>
      </c>
      <c r="B1144" s="9"/>
      <c r="C1144" s="10">
        <v>5</v>
      </c>
      <c r="D1144" s="11"/>
      <c r="E1144" s="2"/>
      <c r="AB1144" t="str" cm="1">
        <f t="array" ref="AB1144:AC1144">_xlfn._xlws.FILTER(A1144:Z1144,A1144:Z1144&lt;&gt;"","")</f>
        <v>Technology and Living (Food Science and Technology)</v>
      </c>
      <c r="AC1144">
        <v>5</v>
      </c>
      <c r="AD1144" t="str">
        <v/>
      </c>
      <c r="AE1144" t="str">
        <v/>
      </c>
      <c r="AF1144" t="str" cm="1">
        <f t="array" ref="AF1144">IF(AD1144="","",SUMPRODUCT(IF(LEFT($AD$1:AD1144,2)="JS",1,0)))</f>
        <v/>
      </c>
      <c r="AG1144" t="str">
        <f t="shared" si="68"/>
        <v/>
      </c>
      <c r="AH1144" t="str">
        <f t="shared" si="69"/>
        <v/>
      </c>
      <c r="AI1144" t="str">
        <f>IF(AH1144="","",MAX($AF$1:$AF1144))</f>
        <v/>
      </c>
      <c r="AJ1144" t="str">
        <f t="shared" si="70"/>
        <v/>
      </c>
      <c r="AK1144" t="str">
        <f>IF(AJ1144="","",MAX($AF$1:$AF1144))</f>
        <v/>
      </c>
      <c r="AL1144" t="str">
        <f t="shared" si="71"/>
        <v/>
      </c>
      <c r="AM1144" t="str">
        <f>IF(AL1144="","",MAX($AF$1:$AF1144))</f>
        <v/>
      </c>
    </row>
    <row r="1145" spans="1:39" ht="13.5" customHeight="1" x14ac:dyDescent="0.3">
      <c r="A1145" s="8" t="s">
        <v>20</v>
      </c>
      <c r="B1145" s="9"/>
      <c r="C1145" s="10">
        <v>5</v>
      </c>
      <c r="D1145" s="11"/>
      <c r="E1145" s="2"/>
      <c r="AB1145" t="str" cm="1">
        <f t="array" ref="AB1145:AC1145">_xlfn._xlws.FILTER(A1145:Z1145,A1145:Z1145&lt;&gt;"","")</f>
        <v>Tourism and Hospitality Studies</v>
      </c>
      <c r="AC1145">
        <v>5</v>
      </c>
      <c r="AD1145" t="str">
        <v/>
      </c>
      <c r="AE1145" t="str">
        <v/>
      </c>
      <c r="AF1145" t="str" cm="1">
        <f t="array" ref="AF1145">IF(AD1145="","",SUMPRODUCT(IF(LEFT($AD$1:AD1145,2)="JS",1,0)))</f>
        <v/>
      </c>
      <c r="AG1145" t="str">
        <f t="shared" si="68"/>
        <v/>
      </c>
      <c r="AH1145" t="str">
        <f t="shared" si="69"/>
        <v/>
      </c>
      <c r="AI1145" t="str">
        <f>IF(AH1145="","",MAX($AF$1:$AF1145))</f>
        <v/>
      </c>
      <c r="AJ1145" t="str">
        <f t="shared" si="70"/>
        <v/>
      </c>
      <c r="AK1145" t="str">
        <f>IF(AJ1145="","",MAX($AF$1:$AF1145))</f>
        <v/>
      </c>
      <c r="AL1145" t="str">
        <f t="shared" si="71"/>
        <v/>
      </c>
      <c r="AM1145" t="str">
        <f>IF(AL1145="","",MAX($AF$1:$AF1145))</f>
        <v/>
      </c>
    </row>
    <row r="1146" spans="1:39" ht="13.5" customHeight="1" x14ac:dyDescent="0.3">
      <c r="A1146" s="8" t="s">
        <v>210</v>
      </c>
      <c r="B1146" s="9"/>
      <c r="C1146" s="10">
        <v>5</v>
      </c>
      <c r="D1146" s="11"/>
      <c r="E1146" s="2"/>
      <c r="AB1146" t="str" cm="1">
        <f t="array" ref="AB1146:AC1146">_xlfn._xlws.FILTER(A1146:Z1146,A1146:Z1146&lt;&gt;"","")</f>
        <v>VA</v>
      </c>
      <c r="AC1146">
        <v>5</v>
      </c>
      <c r="AD1146" t="str">
        <v/>
      </c>
      <c r="AE1146" t="str">
        <v/>
      </c>
      <c r="AF1146" t="str" cm="1">
        <f t="array" ref="AF1146">IF(AD1146="","",SUMPRODUCT(IF(LEFT($AD$1:AD1146,2)="JS",1,0)))</f>
        <v/>
      </c>
      <c r="AG1146" t="b">
        <f t="shared" si="68"/>
        <v>1</v>
      </c>
      <c r="AH1146" t="str">
        <f t="shared" si="69"/>
        <v/>
      </c>
      <c r="AI1146" t="str">
        <f>IF(AH1146="","",MAX($AF$1:$AF1146))</f>
        <v/>
      </c>
      <c r="AJ1146" t="str">
        <f t="shared" si="70"/>
        <v/>
      </c>
      <c r="AK1146" t="str">
        <f>IF(AJ1146="","",MAX($AF$1:$AF1146))</f>
        <v/>
      </c>
      <c r="AL1146" t="str">
        <f t="shared" si="71"/>
        <v>VA</v>
      </c>
      <c r="AM1146">
        <f>IF(AL1146="","",MAX($AF$1:$AF1146))</f>
        <v>23</v>
      </c>
    </row>
    <row r="1147" spans="1:39" ht="26.25" customHeight="1" x14ac:dyDescent="0.3">
      <c r="A1147" s="29" t="s">
        <v>21</v>
      </c>
      <c r="B1147" s="29"/>
      <c r="C1147" s="29"/>
      <c r="D1147" s="29"/>
      <c r="E1147" s="1"/>
      <c r="AB1147" t="str" cm="1">
        <f t="array" ref="AB1147">_xlfn._xlws.FILTER(A1147:Z1147,A1147:Z1147&lt;&gt;"","")</f>
        <v>Category B: Applied Learning Subjects</v>
      </c>
      <c r="AD1147" t="str">
        <v/>
      </c>
      <c r="AE1147" t="str">
        <v/>
      </c>
      <c r="AF1147" t="str" cm="1">
        <f t="array" ref="AF1147">IF(AD1147="","",SUMPRODUCT(IF(LEFT($AD$1:AD1147,2)="JS",1,0)))</f>
        <v/>
      </c>
      <c r="AG1147" t="str">
        <f t="shared" si="68"/>
        <v/>
      </c>
      <c r="AH1147" t="str">
        <f t="shared" si="69"/>
        <v/>
      </c>
      <c r="AI1147" t="str">
        <f>IF(AH1147="","",MAX($AF$1:$AF1147))</f>
        <v/>
      </c>
      <c r="AJ1147" t="str">
        <f t="shared" si="70"/>
        <v/>
      </c>
      <c r="AK1147" t="str">
        <f>IF(AJ1147="","",MAX($AF$1:$AF1147))</f>
        <v/>
      </c>
      <c r="AL1147" t="str">
        <f t="shared" si="71"/>
        <v/>
      </c>
      <c r="AM1147" t="str">
        <f>IF(AL1147="","",MAX($AF$1:$AF1147))</f>
        <v/>
      </c>
    </row>
    <row r="1148" spans="1:39" ht="13.5" customHeight="1" x14ac:dyDescent="0.3">
      <c r="A1148" s="14" t="s">
        <v>3</v>
      </c>
      <c r="B1148" s="15"/>
      <c r="C1148" s="16" t="s">
        <v>4</v>
      </c>
      <c r="D1148" s="17"/>
      <c r="E1148" s="2"/>
      <c r="AB1148" t="str" cm="1">
        <f t="array" ref="AB1148:AC1148">_xlfn._xlws.FILTER(A1148:Z1148,A1148:Z1148&lt;&gt;"","")</f>
        <v>Subject Name</v>
      </c>
      <c r="AC1148" t="str">
        <v>Subject Weighting for 2023/24 Admission Exercise *</v>
      </c>
      <c r="AD1148" t="str">
        <v/>
      </c>
      <c r="AE1148" t="str">
        <v/>
      </c>
      <c r="AF1148" t="str" cm="1">
        <f t="array" ref="AF1148">IF(AD1148="","",SUMPRODUCT(IF(LEFT($AD$1:AD1148,2)="JS",1,0)))</f>
        <v/>
      </c>
      <c r="AG1148" t="str">
        <f t="shared" si="68"/>
        <v/>
      </c>
      <c r="AH1148" t="str">
        <f t="shared" si="69"/>
        <v/>
      </c>
      <c r="AI1148" t="str">
        <f>IF(AH1148="","",MAX($AF$1:$AF1148))</f>
        <v/>
      </c>
      <c r="AJ1148" t="str">
        <f t="shared" si="70"/>
        <v/>
      </c>
      <c r="AK1148" t="str">
        <f>IF(AJ1148="","",MAX($AF$1:$AF1148))</f>
        <v/>
      </c>
      <c r="AL1148" t="str">
        <f t="shared" si="71"/>
        <v/>
      </c>
      <c r="AM1148" t="str">
        <f>IF(AL1148="","",MAX($AF$1:$AF1148))</f>
        <v/>
      </c>
    </row>
    <row r="1149" spans="1:39" ht="13.5" customHeight="1" x14ac:dyDescent="0.3">
      <c r="A1149" s="8" t="s">
        <v>46</v>
      </c>
      <c r="B1149" s="9"/>
      <c r="C1149" s="10">
        <v>5</v>
      </c>
      <c r="D1149" s="11"/>
      <c r="E1149" s="2"/>
      <c r="AB1149" t="str" cm="1">
        <f t="array" ref="AB1149:AC1149">_xlfn._xlws.FILTER(A1149:Z1149,A1149:Z1149&lt;&gt;"","")</f>
        <v>Accounting for E-business</v>
      </c>
      <c r="AC1149">
        <v>5</v>
      </c>
      <c r="AD1149" t="str">
        <v/>
      </c>
      <c r="AE1149" t="str">
        <v/>
      </c>
      <c r="AF1149" t="str" cm="1">
        <f t="array" ref="AF1149">IF(AD1149="","",SUMPRODUCT(IF(LEFT($AD$1:AD1149,2)="JS",1,0)))</f>
        <v/>
      </c>
      <c r="AG1149" t="str">
        <f t="shared" si="68"/>
        <v/>
      </c>
      <c r="AH1149" t="str">
        <f t="shared" si="69"/>
        <v/>
      </c>
      <c r="AI1149" t="str">
        <f>IF(AH1149="","",MAX($AF$1:$AF1149))</f>
        <v/>
      </c>
      <c r="AJ1149" t="str">
        <f t="shared" si="70"/>
        <v/>
      </c>
      <c r="AK1149" t="str">
        <f>IF(AJ1149="","",MAX($AF$1:$AF1149))</f>
        <v/>
      </c>
      <c r="AL1149" t="str">
        <f t="shared" si="71"/>
        <v/>
      </c>
      <c r="AM1149" t="str">
        <f>IF(AL1149="","",MAX($AF$1:$AF1149))</f>
        <v/>
      </c>
    </row>
    <row r="1150" spans="1:39" ht="13.5" customHeight="1" x14ac:dyDescent="0.3">
      <c r="A1150" s="8" t="s">
        <v>47</v>
      </c>
      <c r="B1150" s="9"/>
      <c r="C1150" s="10">
        <v>5</v>
      </c>
      <c r="D1150" s="11"/>
      <c r="E1150" s="2"/>
      <c r="AB1150" t="str" cm="1">
        <f t="array" ref="AB1150:AC1150">_xlfn._xlws.FILTER(A1150:Z1150,A1150:Z1150&lt;&gt;"","")</f>
        <v>Accounting in Practice</v>
      </c>
      <c r="AC1150">
        <v>5</v>
      </c>
      <c r="AD1150" t="str">
        <v/>
      </c>
      <c r="AE1150" t="str">
        <v/>
      </c>
      <c r="AF1150" t="str" cm="1">
        <f t="array" ref="AF1150">IF(AD1150="","",SUMPRODUCT(IF(LEFT($AD$1:AD1150,2)="JS",1,0)))</f>
        <v/>
      </c>
      <c r="AG1150" t="str">
        <f t="shared" si="68"/>
        <v/>
      </c>
      <c r="AH1150" t="str">
        <f t="shared" si="69"/>
        <v/>
      </c>
      <c r="AI1150" t="str">
        <f>IF(AH1150="","",MAX($AF$1:$AF1150))</f>
        <v/>
      </c>
      <c r="AJ1150" t="str">
        <f t="shared" si="70"/>
        <v/>
      </c>
      <c r="AK1150" t="str">
        <f>IF(AJ1150="","",MAX($AF$1:$AF1150))</f>
        <v/>
      </c>
      <c r="AL1150" t="str">
        <f t="shared" si="71"/>
        <v/>
      </c>
      <c r="AM1150" t="str">
        <f>IF(AL1150="","",MAX($AF$1:$AF1150))</f>
        <v/>
      </c>
    </row>
    <row r="1151" spans="1:39" ht="13.5" customHeight="1" x14ac:dyDescent="0.3">
      <c r="A1151" s="8" t="s">
        <v>48</v>
      </c>
      <c r="B1151" s="9"/>
      <c r="C1151" s="10">
        <v>5</v>
      </c>
      <c r="D1151" s="11"/>
      <c r="E1151" s="2"/>
      <c r="AB1151" t="str" cm="1">
        <f t="array" ref="AB1151:AC1151">_xlfn._xlws.FILTER(A1151:Z1151,A1151:Z1151&lt;&gt;"","")</f>
        <v>Applied Business Research</v>
      </c>
      <c r="AC1151">
        <v>5</v>
      </c>
      <c r="AD1151" t="str">
        <v/>
      </c>
      <c r="AE1151" t="str">
        <v/>
      </c>
      <c r="AF1151" t="str" cm="1">
        <f t="array" ref="AF1151">IF(AD1151="","",SUMPRODUCT(IF(LEFT($AD$1:AD1151,2)="JS",1,0)))</f>
        <v/>
      </c>
      <c r="AG1151" t="str">
        <f t="shared" si="68"/>
        <v/>
      </c>
      <c r="AH1151" t="str">
        <f t="shared" si="69"/>
        <v/>
      </c>
      <c r="AI1151" t="str">
        <f>IF(AH1151="","",MAX($AF$1:$AF1151))</f>
        <v/>
      </c>
      <c r="AJ1151" t="str">
        <f t="shared" si="70"/>
        <v/>
      </c>
      <c r="AK1151" t="str">
        <f>IF(AJ1151="","",MAX($AF$1:$AF1151))</f>
        <v/>
      </c>
      <c r="AL1151" t="str">
        <f t="shared" si="71"/>
        <v/>
      </c>
      <c r="AM1151" t="str">
        <f>IF(AL1151="","",MAX($AF$1:$AF1151))</f>
        <v/>
      </c>
    </row>
    <row r="1152" spans="1:39" ht="13.5" customHeight="1" x14ac:dyDescent="0.3">
      <c r="A1152" s="8" t="s">
        <v>49</v>
      </c>
      <c r="B1152" s="9"/>
      <c r="C1152" s="10">
        <v>5</v>
      </c>
      <c r="D1152" s="11"/>
      <c r="E1152" s="2"/>
      <c r="AB1152" t="str" cm="1">
        <f t="array" ref="AB1152:AC1152">_xlfn._xlws.FILTER(A1152:Z1152,A1152:Z1152&lt;&gt;"","")</f>
        <v>Applied Psychology</v>
      </c>
      <c r="AC1152">
        <v>5</v>
      </c>
      <c r="AD1152" t="str">
        <v/>
      </c>
      <c r="AE1152" t="str">
        <v/>
      </c>
      <c r="AF1152" t="str" cm="1">
        <f t="array" ref="AF1152">IF(AD1152="","",SUMPRODUCT(IF(LEFT($AD$1:AD1152,2)="JS",1,0)))</f>
        <v/>
      </c>
      <c r="AG1152" t="str">
        <f t="shared" si="68"/>
        <v/>
      </c>
      <c r="AH1152" t="str">
        <f t="shared" si="69"/>
        <v/>
      </c>
      <c r="AI1152" t="str">
        <f>IF(AH1152="","",MAX($AF$1:$AF1152))</f>
        <v/>
      </c>
      <c r="AJ1152" t="str">
        <f t="shared" si="70"/>
        <v/>
      </c>
      <c r="AK1152" t="str">
        <f>IF(AJ1152="","",MAX($AF$1:$AF1152))</f>
        <v/>
      </c>
      <c r="AL1152" t="str">
        <f t="shared" si="71"/>
        <v/>
      </c>
      <c r="AM1152" t="str">
        <f>IF(AL1152="","",MAX($AF$1:$AF1152))</f>
        <v/>
      </c>
    </row>
    <row r="1153" spans="1:39" ht="13.5" customHeight="1" x14ac:dyDescent="0.3">
      <c r="A1153" s="8" t="s">
        <v>174</v>
      </c>
      <c r="B1153" s="9"/>
      <c r="C1153" s="10">
        <v>5</v>
      </c>
      <c r="D1153" s="11"/>
      <c r="E1153" s="2"/>
      <c r="AB1153" t="str" cm="1">
        <f t="array" ref="AB1153:AC1153">_xlfn._xlws.FILTER(A1153:Z1153,A1153:Z1153&lt;&gt;"","")</f>
        <v>Automotive Technology</v>
      </c>
      <c r="AC1153">
        <v>5</v>
      </c>
      <c r="AD1153" t="str">
        <v/>
      </c>
      <c r="AE1153" t="str">
        <v/>
      </c>
      <c r="AF1153" t="str" cm="1">
        <f t="array" ref="AF1153">IF(AD1153="","",SUMPRODUCT(IF(LEFT($AD$1:AD1153,2)="JS",1,0)))</f>
        <v/>
      </c>
      <c r="AG1153" t="str">
        <f t="shared" ref="AG1153:AG1216" si="72">IF(ISNUMBER(MATCH(AB1153,$AV$3:$AV$18,0)),TRUE,"")</f>
        <v/>
      </c>
      <c r="AH1153" t="str">
        <f t="shared" si="69"/>
        <v/>
      </c>
      <c r="AI1153" t="str">
        <f>IF(AH1153="","",MAX($AF$1:$AF1153))</f>
        <v/>
      </c>
      <c r="AJ1153" t="str">
        <f t="shared" si="70"/>
        <v/>
      </c>
      <c r="AK1153" t="str">
        <f>IF(AJ1153="","",MAX($AF$1:$AF1153))</f>
        <v/>
      </c>
      <c r="AL1153" t="str">
        <f t="shared" si="71"/>
        <v/>
      </c>
      <c r="AM1153" t="str">
        <f>IF(AL1153="","",MAX($AF$1:$AF1153))</f>
        <v/>
      </c>
    </row>
    <row r="1154" spans="1:39" ht="13.5" customHeight="1" x14ac:dyDescent="0.3">
      <c r="A1154" s="8" t="s">
        <v>175</v>
      </c>
      <c r="B1154" s="9"/>
      <c r="C1154" s="10">
        <v>5</v>
      </c>
      <c r="D1154" s="11"/>
      <c r="E1154" s="2"/>
      <c r="AB1154" t="str" cm="1">
        <f t="array" ref="AB1154:AC1154">_xlfn._xlws.FILTER(A1154:Z1154,A1154:Z1154&lt;&gt;"","")</f>
        <v>Aviation Studies</v>
      </c>
      <c r="AC1154">
        <v>5</v>
      </c>
      <c r="AD1154" t="str">
        <v/>
      </c>
      <c r="AE1154" t="str">
        <v/>
      </c>
      <c r="AF1154" t="str" cm="1">
        <f t="array" ref="AF1154">IF(AD1154="","",SUMPRODUCT(IF(LEFT($AD$1:AD1154,2)="JS",1,0)))</f>
        <v/>
      </c>
      <c r="AG1154" t="str">
        <f t="shared" si="72"/>
        <v/>
      </c>
      <c r="AH1154" t="str">
        <f t="shared" ref="AH1154:AH1217" si="73">IF(AND(AC1154=10,AG1154=TRUE),AB1154,"")</f>
        <v/>
      </c>
      <c r="AI1154" t="str">
        <f>IF(AH1154="","",MAX($AF$1:$AF1154))</f>
        <v/>
      </c>
      <c r="AJ1154" t="str">
        <f t="shared" ref="AJ1154:AJ1217" si="74">IF(AND(AC1154=7,AG1154=TRUE),AB1154,"")</f>
        <v/>
      </c>
      <c r="AK1154" t="str">
        <f>IF(AJ1154="","",MAX($AF$1:$AF1154))</f>
        <v/>
      </c>
      <c r="AL1154" t="str">
        <f t="shared" ref="AL1154:AL1217" si="75">IF(AND(AC1154=5,AG1154=TRUE),AB1154,"")</f>
        <v/>
      </c>
      <c r="AM1154" t="str">
        <f>IF(AL1154="","",MAX($AF$1:$AF1154))</f>
        <v/>
      </c>
    </row>
    <row r="1155" spans="1:39" ht="13.5" customHeight="1" x14ac:dyDescent="0.3">
      <c r="A1155" s="8" t="s">
        <v>107</v>
      </c>
      <c r="B1155" s="9"/>
      <c r="C1155" s="10">
        <v>5</v>
      </c>
      <c r="D1155" s="11"/>
      <c r="E1155" s="2"/>
      <c r="AB1155" t="str" cm="1">
        <f t="array" ref="AB1155:AC1155">_xlfn._xlws.FILTER(A1155:Z1155,A1155:Z1155&lt;&gt;"","")</f>
        <v>Computer Forensic Technology</v>
      </c>
      <c r="AC1155">
        <v>5</v>
      </c>
      <c r="AD1155" t="str">
        <v/>
      </c>
      <c r="AE1155" t="str">
        <v/>
      </c>
      <c r="AF1155" t="str" cm="1">
        <f t="array" ref="AF1155">IF(AD1155="","",SUMPRODUCT(IF(LEFT($AD$1:AD1155,2)="JS",1,0)))</f>
        <v/>
      </c>
      <c r="AG1155" t="str">
        <f t="shared" si="72"/>
        <v/>
      </c>
      <c r="AH1155" t="str">
        <f t="shared" si="73"/>
        <v/>
      </c>
      <c r="AI1155" t="str">
        <f>IF(AH1155="","",MAX($AF$1:$AF1155))</f>
        <v/>
      </c>
      <c r="AJ1155" t="str">
        <f t="shared" si="74"/>
        <v/>
      </c>
      <c r="AK1155" t="str">
        <f>IF(AJ1155="","",MAX($AF$1:$AF1155))</f>
        <v/>
      </c>
      <c r="AL1155" t="str">
        <f t="shared" si="75"/>
        <v/>
      </c>
      <c r="AM1155" t="str">
        <f>IF(AL1155="","",MAX($AF$1:$AF1155))</f>
        <v/>
      </c>
    </row>
    <row r="1156" spans="1:39" ht="13.5" customHeight="1" x14ac:dyDescent="0.3">
      <c r="A1156" s="8" t="s">
        <v>50</v>
      </c>
      <c r="B1156" s="9"/>
      <c r="C1156" s="10">
        <v>5</v>
      </c>
      <c r="D1156" s="11"/>
      <c r="E1156" s="2"/>
      <c r="AB1156" t="str" cm="1">
        <f t="array" ref="AB1156:AC1156">_xlfn._xlws.FILTER(A1156:Z1156,A1156:Z1156&lt;&gt;"","")</f>
        <v>Computer Game and Animation Design</v>
      </c>
      <c r="AC1156">
        <v>5</v>
      </c>
      <c r="AD1156" t="str">
        <v/>
      </c>
      <c r="AE1156" t="str">
        <v/>
      </c>
      <c r="AF1156" t="str" cm="1">
        <f t="array" ref="AF1156">IF(AD1156="","",SUMPRODUCT(IF(LEFT($AD$1:AD1156,2)="JS",1,0)))</f>
        <v/>
      </c>
      <c r="AG1156" t="str">
        <f t="shared" si="72"/>
        <v/>
      </c>
      <c r="AH1156" t="str">
        <f t="shared" si="73"/>
        <v/>
      </c>
      <c r="AI1156" t="str">
        <f>IF(AH1156="","",MAX($AF$1:$AF1156))</f>
        <v/>
      </c>
      <c r="AJ1156" t="str">
        <f t="shared" si="74"/>
        <v/>
      </c>
      <c r="AK1156" t="str">
        <f>IF(AJ1156="","",MAX($AF$1:$AF1156))</f>
        <v/>
      </c>
      <c r="AL1156" t="str">
        <f t="shared" si="75"/>
        <v/>
      </c>
      <c r="AM1156" t="str">
        <f>IF(AL1156="","",MAX($AF$1:$AF1156))</f>
        <v/>
      </c>
    </row>
    <row r="1157" spans="1:39" ht="13.5" customHeight="1" x14ac:dyDescent="0.3">
      <c r="A1157" s="8" t="s">
        <v>51</v>
      </c>
      <c r="B1157" s="9"/>
      <c r="C1157" s="10">
        <v>5</v>
      </c>
      <c r="D1157" s="11"/>
      <c r="E1157" s="2"/>
      <c r="AB1157" t="str" cm="1">
        <f t="array" ref="AB1157:AC1157">_xlfn._xlws.FILTER(A1157:Z1157,A1157:Z1157&lt;&gt;"","")</f>
        <v>Creative Advertising</v>
      </c>
      <c r="AC1157">
        <v>5</v>
      </c>
      <c r="AD1157" t="str">
        <v/>
      </c>
      <c r="AE1157" t="str">
        <v/>
      </c>
      <c r="AF1157" t="str" cm="1">
        <f t="array" ref="AF1157">IF(AD1157="","",SUMPRODUCT(IF(LEFT($AD$1:AD1157,2)="JS",1,0)))</f>
        <v/>
      </c>
      <c r="AG1157" t="str">
        <f t="shared" si="72"/>
        <v/>
      </c>
      <c r="AH1157" t="str">
        <f t="shared" si="73"/>
        <v/>
      </c>
      <c r="AI1157" t="str">
        <f>IF(AH1157="","",MAX($AF$1:$AF1157))</f>
        <v/>
      </c>
      <c r="AJ1157" t="str">
        <f t="shared" si="74"/>
        <v/>
      </c>
      <c r="AK1157" t="str">
        <f>IF(AJ1157="","",MAX($AF$1:$AF1157))</f>
        <v/>
      </c>
      <c r="AL1157" t="str">
        <f t="shared" si="75"/>
        <v/>
      </c>
      <c r="AM1157" t="str">
        <f>IF(AL1157="","",MAX($AF$1:$AF1157))</f>
        <v/>
      </c>
    </row>
    <row r="1158" spans="1:39" ht="13.5" customHeight="1" x14ac:dyDescent="0.3">
      <c r="A1158" s="8" t="s">
        <v>52</v>
      </c>
      <c r="B1158" s="9"/>
      <c r="C1158" s="10">
        <v>5</v>
      </c>
      <c r="D1158" s="11"/>
      <c r="E1158" s="2"/>
      <c r="AB1158" t="str" cm="1">
        <f t="array" ref="AB1158:AC1158">_xlfn._xlws.FILTER(A1158:Z1158,A1158:Z1158&lt;&gt;"","")</f>
        <v>Data Application for Business</v>
      </c>
      <c r="AC1158">
        <v>5</v>
      </c>
      <c r="AD1158" t="str">
        <v/>
      </c>
      <c r="AE1158" t="str">
        <v/>
      </c>
      <c r="AF1158" t="str" cm="1">
        <f t="array" ref="AF1158">IF(AD1158="","",SUMPRODUCT(IF(LEFT($AD$1:AD1158,2)="JS",1,0)))</f>
        <v/>
      </c>
      <c r="AG1158" t="str">
        <f t="shared" si="72"/>
        <v/>
      </c>
      <c r="AH1158" t="str">
        <f t="shared" si="73"/>
        <v/>
      </c>
      <c r="AI1158" t="str">
        <f>IF(AH1158="","",MAX($AF$1:$AF1158))</f>
        <v/>
      </c>
      <c r="AJ1158" t="str">
        <f t="shared" si="74"/>
        <v/>
      </c>
      <c r="AK1158" t="str">
        <f>IF(AJ1158="","",MAX($AF$1:$AF1158))</f>
        <v/>
      </c>
      <c r="AL1158" t="str">
        <f t="shared" si="75"/>
        <v/>
      </c>
      <c r="AM1158" t="str">
        <f>IF(AL1158="","",MAX($AF$1:$AF1158))</f>
        <v/>
      </c>
    </row>
    <row r="1159" spans="1:39" ht="13.5" customHeight="1" x14ac:dyDescent="0.3">
      <c r="A1159" s="8" t="s">
        <v>54</v>
      </c>
      <c r="B1159" s="9"/>
      <c r="C1159" s="10">
        <v>5</v>
      </c>
      <c r="D1159" s="11"/>
      <c r="E1159" s="2"/>
      <c r="AB1159" t="str" cm="1">
        <f t="array" ref="AB1159:AC1159">_xlfn._xlws.FILTER(A1159:Z1159,A1159:Z1159&lt;&gt;"","")</f>
        <v>Display and Jewellery Design</v>
      </c>
      <c r="AC1159">
        <v>5</v>
      </c>
      <c r="AD1159" t="str">
        <v/>
      </c>
      <c r="AE1159" t="str">
        <v/>
      </c>
      <c r="AF1159" t="str" cm="1">
        <f t="array" ref="AF1159">IF(AD1159="","",SUMPRODUCT(IF(LEFT($AD$1:AD1159,2)="JS",1,0)))</f>
        <v/>
      </c>
      <c r="AG1159" t="str">
        <f t="shared" si="72"/>
        <v/>
      </c>
      <c r="AH1159" t="str">
        <f t="shared" si="73"/>
        <v/>
      </c>
      <c r="AI1159" t="str">
        <f>IF(AH1159="","",MAX($AF$1:$AF1159))</f>
        <v/>
      </c>
      <c r="AJ1159" t="str">
        <f t="shared" si="74"/>
        <v/>
      </c>
      <c r="AK1159" t="str">
        <f>IF(AJ1159="","",MAX($AF$1:$AF1159))</f>
        <v/>
      </c>
      <c r="AL1159" t="str">
        <f t="shared" si="75"/>
        <v/>
      </c>
      <c r="AM1159" t="str">
        <f>IF(AL1159="","",MAX($AF$1:$AF1159))</f>
        <v/>
      </c>
    </row>
    <row r="1160" spans="1:39" ht="13.5" customHeight="1" x14ac:dyDescent="0.3">
      <c r="A1160" s="8" t="s">
        <v>109</v>
      </c>
      <c r="B1160" s="9"/>
      <c r="C1160" s="10">
        <v>5</v>
      </c>
      <c r="D1160" s="11"/>
      <c r="E1160" s="2"/>
      <c r="AB1160" t="str" cm="1">
        <f t="array" ref="AB1160:AC1160">_xlfn._xlws.FILTER(A1160:Z1160,A1160:Z1160&lt;&gt;"","")</f>
        <v>Electrical and Energy Engineering</v>
      </c>
      <c r="AC1160">
        <v>5</v>
      </c>
      <c r="AD1160" t="str">
        <v/>
      </c>
      <c r="AE1160" t="str">
        <v/>
      </c>
      <c r="AF1160" t="str" cm="1">
        <f t="array" ref="AF1160">IF(AD1160="","",SUMPRODUCT(IF(LEFT($AD$1:AD1160,2)="JS",1,0)))</f>
        <v/>
      </c>
      <c r="AG1160" t="str">
        <f t="shared" si="72"/>
        <v/>
      </c>
      <c r="AH1160" t="str">
        <f t="shared" si="73"/>
        <v/>
      </c>
      <c r="AI1160" t="str">
        <f>IF(AH1160="","",MAX($AF$1:$AF1160))</f>
        <v/>
      </c>
      <c r="AJ1160" t="str">
        <f t="shared" si="74"/>
        <v/>
      </c>
      <c r="AK1160" t="str">
        <f>IF(AJ1160="","",MAX($AF$1:$AF1160))</f>
        <v/>
      </c>
      <c r="AL1160" t="str">
        <f t="shared" si="75"/>
        <v/>
      </c>
      <c r="AM1160" t="str">
        <f>IF(AL1160="","",MAX($AF$1:$AF1160))</f>
        <v/>
      </c>
    </row>
    <row r="1161" spans="1:39" ht="13.5" customHeight="1" x14ac:dyDescent="0.3">
      <c r="A1161" s="8" t="s">
        <v>55</v>
      </c>
      <c r="B1161" s="9"/>
      <c r="C1161" s="10">
        <v>5</v>
      </c>
      <c r="D1161" s="11"/>
      <c r="E1161" s="2"/>
      <c r="AB1161" t="str" cm="1">
        <f t="array" ref="AB1161:AC1161">_xlfn._xlws.FILTER(A1161:Z1161,A1161:Z1161&lt;&gt;"","")</f>
        <v>Entrepreneurship for SME</v>
      </c>
      <c r="AC1161">
        <v>5</v>
      </c>
      <c r="AD1161" t="str">
        <v/>
      </c>
      <c r="AE1161" t="str">
        <v/>
      </c>
      <c r="AF1161" t="str" cm="1">
        <f t="array" ref="AF1161">IF(AD1161="","",SUMPRODUCT(IF(LEFT($AD$1:AD1161,2)="JS",1,0)))</f>
        <v/>
      </c>
      <c r="AG1161" t="str">
        <f t="shared" si="72"/>
        <v/>
      </c>
      <c r="AH1161" t="str">
        <f t="shared" si="73"/>
        <v/>
      </c>
      <c r="AI1161" t="str">
        <f>IF(AH1161="","",MAX($AF$1:$AF1161))</f>
        <v/>
      </c>
      <c r="AJ1161" t="str">
        <f t="shared" si="74"/>
        <v/>
      </c>
      <c r="AK1161" t="str">
        <f>IF(AJ1161="","",MAX($AF$1:$AF1161))</f>
        <v/>
      </c>
      <c r="AL1161" t="str">
        <f t="shared" si="75"/>
        <v/>
      </c>
      <c r="AM1161" t="str">
        <f>IF(AL1161="","",MAX($AF$1:$AF1161))</f>
        <v/>
      </c>
    </row>
    <row r="1162" spans="1:39" ht="13.5" customHeight="1" x14ac:dyDescent="0.3">
      <c r="A1162" s="8" t="s">
        <v>31</v>
      </c>
      <c r="B1162" s="9"/>
      <c r="C1162" s="10">
        <v>5</v>
      </c>
      <c r="D1162" s="11"/>
      <c r="E1162" s="2"/>
      <c r="AB1162" t="str" cm="1">
        <f t="array" ref="AB1162:AC1162">_xlfn._xlws.FILTER(A1162:Z1162,A1162:Z1162&lt;&gt;"","")</f>
        <v>Health Care Practice</v>
      </c>
      <c r="AC1162">
        <v>5</v>
      </c>
      <c r="AD1162" t="str">
        <v/>
      </c>
      <c r="AE1162" t="str">
        <v/>
      </c>
      <c r="AF1162" t="str" cm="1">
        <f t="array" ref="AF1162">IF(AD1162="","",SUMPRODUCT(IF(LEFT($AD$1:AD1162,2)="JS",1,0)))</f>
        <v/>
      </c>
      <c r="AG1162" t="str">
        <f t="shared" si="72"/>
        <v/>
      </c>
      <c r="AH1162" t="str">
        <f t="shared" si="73"/>
        <v/>
      </c>
      <c r="AI1162" t="str">
        <f>IF(AH1162="","",MAX($AF$1:$AF1162))</f>
        <v/>
      </c>
      <c r="AJ1162" t="str">
        <f t="shared" si="74"/>
        <v/>
      </c>
      <c r="AK1162" t="str">
        <f>IF(AJ1162="","",MAX($AF$1:$AF1162))</f>
        <v/>
      </c>
      <c r="AL1162" t="str">
        <f t="shared" si="75"/>
        <v/>
      </c>
      <c r="AM1162" t="str">
        <f>IF(AL1162="","",MAX($AF$1:$AF1162))</f>
        <v/>
      </c>
    </row>
    <row r="1163" spans="1:39" ht="13.5" customHeight="1" x14ac:dyDescent="0.3">
      <c r="A1163" s="8" t="s">
        <v>63</v>
      </c>
      <c r="B1163" s="9"/>
      <c r="C1163" s="10">
        <v>5</v>
      </c>
      <c r="D1163" s="11"/>
      <c r="E1163" s="2"/>
      <c r="AB1163" t="str" cm="1">
        <f t="array" ref="AB1163:AC1163">_xlfn._xlws.FILTER(A1163:Z1163,A1163:Z1163&lt;&gt;"","")</f>
        <v>Innovative Product Design</v>
      </c>
      <c r="AC1163">
        <v>5</v>
      </c>
      <c r="AD1163" t="str">
        <v/>
      </c>
      <c r="AE1163" t="str">
        <v/>
      </c>
      <c r="AF1163" t="str" cm="1">
        <f t="array" ref="AF1163">IF(AD1163="","",SUMPRODUCT(IF(LEFT($AD$1:AD1163,2)="JS",1,0)))</f>
        <v/>
      </c>
      <c r="AG1163" t="str">
        <f t="shared" si="72"/>
        <v/>
      </c>
      <c r="AH1163" t="str">
        <f t="shared" si="73"/>
        <v/>
      </c>
      <c r="AI1163" t="str">
        <f>IF(AH1163="","",MAX($AF$1:$AF1163))</f>
        <v/>
      </c>
      <c r="AJ1163" t="str">
        <f t="shared" si="74"/>
        <v/>
      </c>
      <c r="AK1163" t="str">
        <f>IF(AJ1163="","",MAX($AF$1:$AF1163))</f>
        <v/>
      </c>
      <c r="AL1163" t="str">
        <f t="shared" si="75"/>
        <v/>
      </c>
      <c r="AM1163" t="str">
        <f>IF(AL1163="","",MAX($AF$1:$AF1163))</f>
        <v/>
      </c>
    </row>
    <row r="1164" spans="1:39" ht="13.5" customHeight="1" x14ac:dyDescent="0.3">
      <c r="A1164" s="8" t="s">
        <v>64</v>
      </c>
      <c r="B1164" s="9"/>
      <c r="C1164" s="10">
        <v>5</v>
      </c>
      <c r="D1164" s="11"/>
      <c r="E1164" s="2"/>
      <c r="AB1164" t="str" cm="1">
        <f t="array" ref="AB1164:AC1164">_xlfn._xlws.FILTER(A1164:Z1164,A1164:Z1164&lt;&gt;"","")</f>
        <v>Interior Design</v>
      </c>
      <c r="AC1164">
        <v>5</v>
      </c>
      <c r="AD1164" t="str">
        <v/>
      </c>
      <c r="AE1164" t="str">
        <v/>
      </c>
      <c r="AF1164" t="str" cm="1">
        <f t="array" ref="AF1164">IF(AD1164="","",SUMPRODUCT(IF(LEFT($AD$1:AD1164,2)="JS",1,0)))</f>
        <v/>
      </c>
      <c r="AG1164" t="str">
        <f t="shared" si="72"/>
        <v/>
      </c>
      <c r="AH1164" t="str">
        <f t="shared" si="73"/>
        <v/>
      </c>
      <c r="AI1164" t="str">
        <f>IF(AH1164="","",MAX($AF$1:$AF1164))</f>
        <v/>
      </c>
      <c r="AJ1164" t="str">
        <f t="shared" si="74"/>
        <v/>
      </c>
      <c r="AK1164" t="str">
        <f>IF(AJ1164="","",MAX($AF$1:$AF1164))</f>
        <v/>
      </c>
      <c r="AL1164" t="str">
        <f t="shared" si="75"/>
        <v/>
      </c>
      <c r="AM1164" t="str">
        <f>IF(AL1164="","",MAX($AF$1:$AF1164))</f>
        <v/>
      </c>
    </row>
    <row r="1165" spans="1:39" ht="13.5" customHeight="1" x14ac:dyDescent="0.3">
      <c r="A1165" s="8" t="s">
        <v>65</v>
      </c>
      <c r="B1165" s="9"/>
      <c r="C1165" s="10">
        <v>5</v>
      </c>
      <c r="D1165" s="11"/>
      <c r="E1165" s="2"/>
      <c r="AB1165" t="str" cm="1">
        <f t="array" ref="AB1165:AC1165">_xlfn._xlws.FILTER(A1165:Z1165,A1165:Z1165&lt;&gt;"","")</f>
        <v>Internet of Everything Application</v>
      </c>
      <c r="AC1165">
        <v>5</v>
      </c>
      <c r="AD1165" t="str">
        <v/>
      </c>
      <c r="AE1165" t="str">
        <v/>
      </c>
      <c r="AF1165" t="str" cm="1">
        <f t="array" ref="AF1165">IF(AD1165="","",SUMPRODUCT(IF(LEFT($AD$1:AD1165,2)="JS",1,0)))</f>
        <v/>
      </c>
      <c r="AG1165" t="str">
        <f t="shared" si="72"/>
        <v/>
      </c>
      <c r="AH1165" t="str">
        <f t="shared" si="73"/>
        <v/>
      </c>
      <c r="AI1165" t="str">
        <f>IF(AH1165="","",MAX($AF$1:$AF1165))</f>
        <v/>
      </c>
      <c r="AJ1165" t="str">
        <f t="shared" si="74"/>
        <v/>
      </c>
      <c r="AK1165" t="str">
        <f>IF(AJ1165="","",MAX($AF$1:$AF1165))</f>
        <v/>
      </c>
      <c r="AL1165" t="str">
        <f t="shared" si="75"/>
        <v/>
      </c>
      <c r="AM1165" t="str">
        <f>IF(AL1165="","",MAX($AF$1:$AF1165))</f>
        <v/>
      </c>
    </row>
    <row r="1166" spans="1:39" ht="13.5" customHeight="1" x14ac:dyDescent="0.3">
      <c r="A1166" s="8" t="s">
        <v>66</v>
      </c>
      <c r="B1166" s="9"/>
      <c r="C1166" s="10">
        <v>5</v>
      </c>
      <c r="D1166" s="11"/>
      <c r="E1166" s="2"/>
      <c r="AB1166" t="str" cm="1">
        <f t="array" ref="AB1166:AC1166">_xlfn._xlws.FILTER(A1166:Z1166,A1166:Z1166&lt;&gt;"","")</f>
        <v>Jewellery and Accessories Design</v>
      </c>
      <c r="AC1166">
        <v>5</v>
      </c>
      <c r="AD1166" t="str">
        <v/>
      </c>
      <c r="AE1166" t="str">
        <v/>
      </c>
      <c r="AF1166" t="str" cm="1">
        <f t="array" ref="AF1166">IF(AD1166="","",SUMPRODUCT(IF(LEFT($AD$1:AD1166,2)="JS",1,0)))</f>
        <v/>
      </c>
      <c r="AG1166" t="str">
        <f t="shared" si="72"/>
        <v/>
      </c>
      <c r="AH1166" t="str">
        <f t="shared" si="73"/>
        <v/>
      </c>
      <c r="AI1166" t="str">
        <f>IF(AH1166="","",MAX($AF$1:$AF1166))</f>
        <v/>
      </c>
      <c r="AJ1166" t="str">
        <f t="shared" si="74"/>
        <v/>
      </c>
      <c r="AK1166" t="str">
        <f>IF(AJ1166="","",MAX($AF$1:$AF1166))</f>
        <v/>
      </c>
      <c r="AL1166" t="str">
        <f t="shared" si="75"/>
        <v/>
      </c>
      <c r="AM1166" t="str">
        <f>IF(AL1166="","",MAX($AF$1:$AF1166))</f>
        <v/>
      </c>
    </row>
    <row r="1167" spans="1:39" ht="13.5" customHeight="1" x14ac:dyDescent="0.3">
      <c r="A1167" s="8" t="s">
        <v>67</v>
      </c>
      <c r="B1167" s="9"/>
      <c r="C1167" s="10">
        <v>5</v>
      </c>
      <c r="D1167" s="11"/>
      <c r="E1167" s="2"/>
      <c r="AB1167" t="str" cm="1">
        <f t="array" ref="AB1167:AC1167">_xlfn._xlws.FILTER(A1167:Z1167,A1167:Z1167&lt;&gt;"","")</f>
        <v>Jewellery Arts and Design</v>
      </c>
      <c r="AC1167">
        <v>5</v>
      </c>
      <c r="AD1167" t="str">
        <v/>
      </c>
      <c r="AE1167" t="str">
        <v/>
      </c>
      <c r="AF1167" t="str" cm="1">
        <f t="array" ref="AF1167">IF(AD1167="","",SUMPRODUCT(IF(LEFT($AD$1:AD1167,2)="JS",1,0)))</f>
        <v/>
      </c>
      <c r="AG1167" t="str">
        <f t="shared" si="72"/>
        <v/>
      </c>
      <c r="AH1167" t="str">
        <f t="shared" si="73"/>
        <v/>
      </c>
      <c r="AI1167" t="str">
        <f>IF(AH1167="","",MAX($AF$1:$AF1167))</f>
        <v/>
      </c>
      <c r="AJ1167" t="str">
        <f t="shared" si="74"/>
        <v/>
      </c>
      <c r="AK1167" t="str">
        <f>IF(AJ1167="","",MAX($AF$1:$AF1167))</f>
        <v/>
      </c>
      <c r="AL1167" t="str">
        <f t="shared" si="75"/>
        <v/>
      </c>
      <c r="AM1167" t="str">
        <f>IF(AL1167="","",MAX($AF$1:$AF1167))</f>
        <v/>
      </c>
    </row>
    <row r="1168" spans="1:39" ht="13.5" customHeight="1" x14ac:dyDescent="0.3">
      <c r="A1168" s="8" t="s">
        <v>176</v>
      </c>
      <c r="B1168" s="9"/>
      <c r="C1168" s="10">
        <v>5</v>
      </c>
      <c r="D1168" s="11"/>
      <c r="E1168" s="2"/>
      <c r="AB1168" t="str" cm="1">
        <f t="array" ref="AB1168:AC1168">_xlfn._xlws.FILTER(A1168:Z1168,A1168:Z1168&lt;&gt;"","")</f>
        <v>Law Enforcement in Hong Kong</v>
      </c>
      <c r="AC1168">
        <v>5</v>
      </c>
      <c r="AD1168" t="str">
        <v/>
      </c>
      <c r="AE1168" t="str">
        <v/>
      </c>
      <c r="AF1168" t="str" cm="1">
        <f t="array" ref="AF1168">IF(AD1168="","",SUMPRODUCT(IF(LEFT($AD$1:AD1168,2)="JS",1,0)))</f>
        <v/>
      </c>
      <c r="AG1168" t="str">
        <f t="shared" si="72"/>
        <v/>
      </c>
      <c r="AH1168" t="str">
        <f t="shared" si="73"/>
        <v/>
      </c>
      <c r="AI1168" t="str">
        <f>IF(AH1168="","",MAX($AF$1:$AF1168))</f>
        <v/>
      </c>
      <c r="AJ1168" t="str">
        <f t="shared" si="74"/>
        <v/>
      </c>
      <c r="AK1168" t="str">
        <f>IF(AJ1168="","",MAX($AF$1:$AF1168))</f>
        <v/>
      </c>
      <c r="AL1168" t="str">
        <f t="shared" si="75"/>
        <v/>
      </c>
      <c r="AM1168" t="str">
        <f>IF(AL1168="","",MAX($AF$1:$AF1168))</f>
        <v/>
      </c>
    </row>
    <row r="1169" spans="1:39" ht="13.5" customHeight="1" x14ac:dyDescent="0.3">
      <c r="A1169" s="8" t="s">
        <v>69</v>
      </c>
      <c r="B1169" s="9"/>
      <c r="C1169" s="10">
        <v>5</v>
      </c>
      <c r="D1169" s="11"/>
      <c r="E1169" s="2"/>
      <c r="AB1169" t="str" cm="1">
        <f t="array" ref="AB1169:AC1169">_xlfn._xlws.FILTER(A1169:Z1169,A1169:Z1169&lt;&gt;"","")</f>
        <v>Marketing and Online Promotion</v>
      </c>
      <c r="AC1169">
        <v>5</v>
      </c>
      <c r="AD1169" t="str">
        <v/>
      </c>
      <c r="AE1169" t="str">
        <v/>
      </c>
      <c r="AF1169" t="str" cm="1">
        <f t="array" ref="AF1169">IF(AD1169="","",SUMPRODUCT(IF(LEFT($AD$1:AD1169,2)="JS",1,0)))</f>
        <v/>
      </c>
      <c r="AG1169" t="str">
        <f t="shared" si="72"/>
        <v/>
      </c>
      <c r="AH1169" t="str">
        <f t="shared" si="73"/>
        <v/>
      </c>
      <c r="AI1169" t="str">
        <f>IF(AH1169="","",MAX($AF$1:$AF1169))</f>
        <v/>
      </c>
      <c r="AJ1169" t="str">
        <f t="shared" si="74"/>
        <v/>
      </c>
      <c r="AK1169" t="str">
        <f>IF(AJ1169="","",MAX($AF$1:$AF1169))</f>
        <v/>
      </c>
      <c r="AL1169" t="str">
        <f t="shared" si="75"/>
        <v/>
      </c>
      <c r="AM1169" t="str">
        <f>IF(AL1169="","",MAX($AF$1:$AF1169))</f>
        <v/>
      </c>
    </row>
    <row r="1170" spans="1:39" ht="13.5" customHeight="1" x14ac:dyDescent="0.3">
      <c r="A1170" s="8" t="s">
        <v>76</v>
      </c>
      <c r="B1170" s="9"/>
      <c r="C1170" s="10">
        <v>5</v>
      </c>
      <c r="D1170" s="11"/>
      <c r="E1170" s="2"/>
      <c r="AB1170" t="str" cm="1">
        <f t="array" ref="AB1170:AC1170">_xlfn._xlws.FILTER(A1170:Z1170,A1170:Z1170&lt;&gt;"","")</f>
        <v>Practical Psychology</v>
      </c>
      <c r="AC1170">
        <v>5</v>
      </c>
      <c r="AD1170" t="str">
        <v/>
      </c>
      <c r="AE1170" t="str">
        <v/>
      </c>
      <c r="AF1170" t="str" cm="1">
        <f t="array" ref="AF1170">IF(AD1170="","",SUMPRODUCT(IF(LEFT($AD$1:AD1170,2)="JS",1,0)))</f>
        <v/>
      </c>
      <c r="AG1170" t="str">
        <f t="shared" si="72"/>
        <v/>
      </c>
      <c r="AH1170" t="str">
        <f t="shared" si="73"/>
        <v/>
      </c>
      <c r="AI1170" t="str">
        <f>IF(AH1170="","",MAX($AF$1:$AF1170))</f>
        <v/>
      </c>
      <c r="AJ1170" t="str">
        <f t="shared" si="74"/>
        <v/>
      </c>
      <c r="AK1170" t="str">
        <f>IF(AJ1170="","",MAX($AF$1:$AF1170))</f>
        <v/>
      </c>
      <c r="AL1170" t="str">
        <f t="shared" si="75"/>
        <v/>
      </c>
      <c r="AM1170" t="str">
        <f>IF(AL1170="","",MAX($AF$1:$AF1170))</f>
        <v/>
      </c>
    </row>
    <row r="1171" spans="1:39" ht="13.5" customHeight="1" x14ac:dyDescent="0.3">
      <c r="A1171" s="8" t="s">
        <v>177</v>
      </c>
      <c r="B1171" s="9"/>
      <c r="C1171" s="10">
        <v>5</v>
      </c>
      <c r="D1171" s="11"/>
      <c r="E1171" s="2"/>
      <c r="AB1171" t="str" cm="1">
        <f t="array" ref="AB1171:AC1171">_xlfn._xlws.FILTER(A1171:Z1171,A1171:Z1171&lt;&gt;"","")</f>
        <v>Rehabilitation Care Practice</v>
      </c>
      <c r="AC1171">
        <v>5</v>
      </c>
      <c r="AD1171" t="str">
        <v/>
      </c>
      <c r="AE1171" t="str">
        <v/>
      </c>
      <c r="AF1171" t="str" cm="1">
        <f t="array" ref="AF1171">IF(AD1171="","",SUMPRODUCT(IF(LEFT($AD$1:AD1171,2)="JS",1,0)))</f>
        <v/>
      </c>
      <c r="AG1171" t="str">
        <f t="shared" si="72"/>
        <v/>
      </c>
      <c r="AH1171" t="str">
        <f t="shared" si="73"/>
        <v/>
      </c>
      <c r="AI1171" t="str">
        <f>IF(AH1171="","",MAX($AF$1:$AF1171))</f>
        <v/>
      </c>
      <c r="AJ1171" t="str">
        <f t="shared" si="74"/>
        <v/>
      </c>
      <c r="AK1171" t="str">
        <f>IF(AJ1171="","",MAX($AF$1:$AF1171))</f>
        <v/>
      </c>
      <c r="AL1171" t="str">
        <f t="shared" si="75"/>
        <v/>
      </c>
      <c r="AM1171" t="str">
        <f>IF(AL1171="","",MAX($AF$1:$AF1171))</f>
        <v/>
      </c>
    </row>
    <row r="1172" spans="1:39" ht="13.5" customHeight="1" x14ac:dyDescent="0.3">
      <c r="A1172" s="8" t="s">
        <v>81</v>
      </c>
      <c r="B1172" s="9"/>
      <c r="C1172" s="10">
        <v>5</v>
      </c>
      <c r="D1172" s="11"/>
      <c r="E1172" s="2"/>
      <c r="AB1172" t="str" cm="1">
        <f t="array" ref="AB1172:AC1172">_xlfn._xlws.FILTER(A1172:Z1172,A1172:Z1172&lt;&gt;"","")</f>
        <v>Tech Basics</v>
      </c>
      <c r="AC1172">
        <v>5</v>
      </c>
      <c r="AD1172" t="str">
        <v/>
      </c>
      <c r="AE1172" t="str">
        <v/>
      </c>
      <c r="AF1172" t="str" cm="1">
        <f t="array" ref="AF1172">IF(AD1172="","",SUMPRODUCT(IF(LEFT($AD$1:AD1172,2)="JS",1,0)))</f>
        <v/>
      </c>
      <c r="AG1172" t="str">
        <f t="shared" si="72"/>
        <v/>
      </c>
      <c r="AH1172" t="str">
        <f t="shared" si="73"/>
        <v/>
      </c>
      <c r="AI1172" t="str">
        <f>IF(AH1172="","",MAX($AF$1:$AF1172))</f>
        <v/>
      </c>
      <c r="AJ1172" t="str">
        <f t="shared" si="74"/>
        <v/>
      </c>
      <c r="AK1172" t="str">
        <f>IF(AJ1172="","",MAX($AF$1:$AF1172))</f>
        <v/>
      </c>
      <c r="AL1172" t="str">
        <f t="shared" si="75"/>
        <v/>
      </c>
      <c r="AM1172" t="str">
        <f>IF(AL1172="","",MAX($AF$1:$AF1172))</f>
        <v/>
      </c>
    </row>
    <row r="1173" spans="1:39" ht="26.25" customHeight="1" x14ac:dyDescent="0.3">
      <c r="A1173" s="32" t="s">
        <v>34</v>
      </c>
      <c r="B1173" s="32"/>
      <c r="C1173" s="32"/>
      <c r="D1173" s="32"/>
      <c r="E1173" s="32"/>
      <c r="AB1173" t="str" cm="1">
        <f t="array" ref="AB1173">_xlfn._xlws.FILTER(A1173:Z1173,A1173:Z1173&lt;&gt;"","")</f>
        <v>Category C: Other Language Subjects</v>
      </c>
      <c r="AD1173" t="str">
        <v/>
      </c>
      <c r="AE1173" t="str">
        <v/>
      </c>
      <c r="AF1173" t="str" cm="1">
        <f t="array" ref="AF1173">IF(AD1173="","",SUMPRODUCT(IF(LEFT($AD$1:AD1173,2)="JS",1,0)))</f>
        <v/>
      </c>
      <c r="AG1173" t="str">
        <f t="shared" si="72"/>
        <v/>
      </c>
      <c r="AH1173" t="str">
        <f t="shared" si="73"/>
        <v/>
      </c>
      <c r="AI1173" t="str">
        <f>IF(AH1173="","",MAX($AF$1:$AF1173))</f>
        <v/>
      </c>
      <c r="AJ1173" t="str">
        <f t="shared" si="74"/>
        <v/>
      </c>
      <c r="AK1173" t="str">
        <f>IF(AJ1173="","",MAX($AF$1:$AF1173))</f>
        <v/>
      </c>
      <c r="AL1173" t="str">
        <f t="shared" si="75"/>
        <v/>
      </c>
      <c r="AM1173" t="str">
        <f>IF(AL1173="","",MAX($AF$1:$AF1173))</f>
        <v/>
      </c>
    </row>
    <row r="1174" spans="1:39" ht="13.5" customHeight="1" x14ac:dyDescent="0.3">
      <c r="A1174" s="14" t="s">
        <v>3</v>
      </c>
      <c r="B1174" s="15"/>
      <c r="C1174" s="30" t="s">
        <v>4</v>
      </c>
      <c r="D1174" s="31"/>
      <c r="E1174" s="1"/>
      <c r="AB1174" t="str" cm="1">
        <f t="array" ref="AB1174:AC1174">_xlfn._xlws.FILTER(A1174:Z1174,A1174:Z1174&lt;&gt;"","")</f>
        <v>Subject Name</v>
      </c>
      <c r="AC1174" t="str">
        <v>Subject Weighting for 2023/24 Admission Exercise *</v>
      </c>
      <c r="AD1174" t="str">
        <v/>
      </c>
      <c r="AE1174" t="str">
        <v/>
      </c>
      <c r="AF1174" t="str" cm="1">
        <f t="array" ref="AF1174">IF(AD1174="","",SUMPRODUCT(IF(LEFT($AD$1:AD1174,2)="JS",1,0)))</f>
        <v/>
      </c>
      <c r="AG1174" t="str">
        <f t="shared" si="72"/>
        <v/>
      </c>
      <c r="AH1174" t="str">
        <f t="shared" si="73"/>
        <v/>
      </c>
      <c r="AI1174" t="str">
        <f>IF(AH1174="","",MAX($AF$1:$AF1174))</f>
        <v/>
      </c>
      <c r="AJ1174" t="str">
        <f t="shared" si="74"/>
        <v/>
      </c>
      <c r="AK1174" t="str">
        <f>IF(AJ1174="","",MAX($AF$1:$AF1174))</f>
        <v/>
      </c>
      <c r="AL1174" t="str">
        <f t="shared" si="75"/>
        <v/>
      </c>
      <c r="AM1174" t="str">
        <f>IF(AL1174="","",MAX($AF$1:$AF1174))</f>
        <v/>
      </c>
    </row>
    <row r="1175" spans="1:39" ht="13.5" customHeight="1" x14ac:dyDescent="0.3">
      <c r="A1175" s="8" t="s">
        <v>35</v>
      </c>
      <c r="B1175" s="9"/>
      <c r="C1175" s="10">
        <v>5</v>
      </c>
      <c r="D1175" s="11"/>
      <c r="E1175" s="2"/>
      <c r="AB1175" t="str" cm="1">
        <f t="array" ref="AB1175:AC1175">_xlfn._xlws.FILTER(A1175:Z1175,A1175:Z1175&lt;&gt;"","")</f>
        <v>French</v>
      </c>
      <c r="AC1175">
        <v>5</v>
      </c>
      <c r="AD1175" t="str">
        <v/>
      </c>
      <c r="AE1175" t="str">
        <v/>
      </c>
      <c r="AF1175" t="str" cm="1">
        <f t="array" ref="AF1175">IF(AD1175="","",SUMPRODUCT(IF(LEFT($AD$1:AD1175,2)="JS",1,0)))</f>
        <v/>
      </c>
      <c r="AG1175" t="str">
        <f t="shared" si="72"/>
        <v/>
      </c>
      <c r="AH1175" t="str">
        <f t="shared" si="73"/>
        <v/>
      </c>
      <c r="AI1175" t="str">
        <f>IF(AH1175="","",MAX($AF$1:$AF1175))</f>
        <v/>
      </c>
      <c r="AJ1175" t="str">
        <f t="shared" si="74"/>
        <v/>
      </c>
      <c r="AK1175" t="str">
        <f>IF(AJ1175="","",MAX($AF$1:$AF1175))</f>
        <v/>
      </c>
      <c r="AL1175" t="str">
        <f t="shared" si="75"/>
        <v/>
      </c>
      <c r="AM1175" t="str">
        <f>IF(AL1175="","",MAX($AF$1:$AF1175))</f>
        <v/>
      </c>
    </row>
    <row r="1176" spans="1:39" ht="13.5" customHeight="1" x14ac:dyDescent="0.3">
      <c r="A1176" s="8" t="s">
        <v>36</v>
      </c>
      <c r="B1176" s="9"/>
      <c r="C1176" s="10">
        <v>5</v>
      </c>
      <c r="D1176" s="11"/>
      <c r="E1176" s="2"/>
      <c r="AB1176" t="str" cm="1">
        <f t="array" ref="AB1176:AC1176">_xlfn._xlws.FILTER(A1176:Z1176,A1176:Z1176&lt;&gt;"","")</f>
        <v>German</v>
      </c>
      <c r="AC1176">
        <v>5</v>
      </c>
      <c r="AD1176" t="str">
        <v/>
      </c>
      <c r="AE1176" t="str">
        <v/>
      </c>
      <c r="AF1176" t="str" cm="1">
        <f t="array" ref="AF1176">IF(AD1176="","",SUMPRODUCT(IF(LEFT($AD$1:AD1176,2)="JS",1,0)))</f>
        <v/>
      </c>
      <c r="AG1176" t="str">
        <f t="shared" si="72"/>
        <v/>
      </c>
      <c r="AH1176" t="str">
        <f t="shared" si="73"/>
        <v/>
      </c>
      <c r="AI1176" t="str">
        <f>IF(AH1176="","",MAX($AF$1:$AF1176))</f>
        <v/>
      </c>
      <c r="AJ1176" t="str">
        <f t="shared" si="74"/>
        <v/>
      </c>
      <c r="AK1176" t="str">
        <f>IF(AJ1176="","",MAX($AF$1:$AF1176))</f>
        <v/>
      </c>
      <c r="AL1176" t="str">
        <f t="shared" si="75"/>
        <v/>
      </c>
      <c r="AM1176" t="str">
        <f>IF(AL1176="","",MAX($AF$1:$AF1176))</f>
        <v/>
      </c>
    </row>
    <row r="1177" spans="1:39" ht="13.5" customHeight="1" x14ac:dyDescent="0.3">
      <c r="A1177" s="8" t="s">
        <v>37</v>
      </c>
      <c r="B1177" s="9"/>
      <c r="C1177" s="10">
        <v>5</v>
      </c>
      <c r="D1177" s="11"/>
      <c r="E1177" s="2"/>
      <c r="AB1177" t="str" cm="1">
        <f t="array" ref="AB1177:AC1177">_xlfn._xlws.FILTER(A1177:Z1177,A1177:Z1177&lt;&gt;"","")</f>
        <v>Hindi</v>
      </c>
      <c r="AC1177">
        <v>5</v>
      </c>
      <c r="AD1177" t="str">
        <v/>
      </c>
      <c r="AE1177" t="str">
        <v/>
      </c>
      <c r="AF1177" t="str" cm="1">
        <f t="array" ref="AF1177">IF(AD1177="","",SUMPRODUCT(IF(LEFT($AD$1:AD1177,2)="JS",1,0)))</f>
        <v/>
      </c>
      <c r="AG1177" t="str">
        <f t="shared" si="72"/>
        <v/>
      </c>
      <c r="AH1177" t="str">
        <f t="shared" si="73"/>
        <v/>
      </c>
      <c r="AI1177" t="str">
        <f>IF(AH1177="","",MAX($AF$1:$AF1177))</f>
        <v/>
      </c>
      <c r="AJ1177" t="str">
        <f t="shared" si="74"/>
        <v/>
      </c>
      <c r="AK1177" t="str">
        <f>IF(AJ1177="","",MAX($AF$1:$AF1177))</f>
        <v/>
      </c>
      <c r="AL1177" t="str">
        <f t="shared" si="75"/>
        <v/>
      </c>
      <c r="AM1177" t="str">
        <f>IF(AL1177="","",MAX($AF$1:$AF1177))</f>
        <v/>
      </c>
    </row>
    <row r="1178" spans="1:39" ht="13.5" customHeight="1" x14ac:dyDescent="0.3">
      <c r="A1178" s="8" t="s">
        <v>38</v>
      </c>
      <c r="B1178" s="9"/>
      <c r="C1178" s="10">
        <v>5</v>
      </c>
      <c r="D1178" s="11"/>
      <c r="E1178" s="2"/>
      <c r="AB1178" t="str" cm="1">
        <f t="array" ref="AB1178:AC1178">_xlfn._xlws.FILTER(A1178:Z1178,A1178:Z1178&lt;&gt;"","")</f>
        <v>Japanese</v>
      </c>
      <c r="AC1178">
        <v>5</v>
      </c>
      <c r="AD1178" t="str">
        <v/>
      </c>
      <c r="AE1178" t="str">
        <v/>
      </c>
      <c r="AF1178" t="str" cm="1">
        <f t="array" ref="AF1178">IF(AD1178="","",SUMPRODUCT(IF(LEFT($AD$1:AD1178,2)="JS",1,0)))</f>
        <v/>
      </c>
      <c r="AG1178" t="str">
        <f t="shared" si="72"/>
        <v/>
      </c>
      <c r="AH1178" t="str">
        <f t="shared" si="73"/>
        <v/>
      </c>
      <c r="AI1178" t="str">
        <f>IF(AH1178="","",MAX($AF$1:$AF1178))</f>
        <v/>
      </c>
      <c r="AJ1178" t="str">
        <f t="shared" si="74"/>
        <v/>
      </c>
      <c r="AK1178" t="str">
        <f>IF(AJ1178="","",MAX($AF$1:$AF1178))</f>
        <v/>
      </c>
      <c r="AL1178" t="str">
        <f t="shared" si="75"/>
        <v/>
      </c>
      <c r="AM1178" t="str">
        <f>IF(AL1178="","",MAX($AF$1:$AF1178))</f>
        <v/>
      </c>
    </row>
    <row r="1179" spans="1:39" ht="13.5" customHeight="1" x14ac:dyDescent="0.3">
      <c r="A1179" s="8" t="s">
        <v>39</v>
      </c>
      <c r="B1179" s="9"/>
      <c r="C1179" s="10">
        <v>5</v>
      </c>
      <c r="D1179" s="11"/>
      <c r="E1179" s="2"/>
      <c r="AB1179" t="str" cm="1">
        <f t="array" ref="AB1179:AC1179">_xlfn._xlws.FILTER(A1179:Z1179,A1179:Z1179&lt;&gt;"","")</f>
        <v>Spanish</v>
      </c>
      <c r="AC1179">
        <v>5</v>
      </c>
      <c r="AD1179" t="str">
        <v/>
      </c>
      <c r="AE1179" t="str">
        <v/>
      </c>
      <c r="AF1179" t="str" cm="1">
        <f t="array" ref="AF1179">IF(AD1179="","",SUMPRODUCT(IF(LEFT($AD$1:AD1179,2)="JS",1,0)))</f>
        <v/>
      </c>
      <c r="AG1179" t="str">
        <f t="shared" si="72"/>
        <v/>
      </c>
      <c r="AH1179" t="str">
        <f t="shared" si="73"/>
        <v/>
      </c>
      <c r="AI1179" t="str">
        <f>IF(AH1179="","",MAX($AF$1:$AF1179))</f>
        <v/>
      </c>
      <c r="AJ1179" t="str">
        <f t="shared" si="74"/>
        <v/>
      </c>
      <c r="AK1179" t="str">
        <f>IF(AJ1179="","",MAX($AF$1:$AF1179))</f>
        <v/>
      </c>
      <c r="AL1179" t="str">
        <f t="shared" si="75"/>
        <v/>
      </c>
      <c r="AM1179" t="str">
        <f>IF(AL1179="","",MAX($AF$1:$AF1179))</f>
        <v/>
      </c>
    </row>
    <row r="1180" spans="1:39" ht="13.5" customHeight="1" x14ac:dyDescent="0.3">
      <c r="A1180" s="8" t="s">
        <v>40</v>
      </c>
      <c r="B1180" s="9"/>
      <c r="C1180" s="10">
        <v>5</v>
      </c>
      <c r="D1180" s="11"/>
      <c r="E1180" s="2"/>
      <c r="AB1180" t="str" cm="1">
        <f t="array" ref="AB1180:AC1180">_xlfn._xlws.FILTER(A1180:Z1180,A1180:Z1180&lt;&gt;"","")</f>
        <v>Urdu</v>
      </c>
      <c r="AC1180">
        <v>5</v>
      </c>
      <c r="AD1180" t="str">
        <v/>
      </c>
      <c r="AE1180" t="str">
        <v/>
      </c>
      <c r="AF1180" t="str" cm="1">
        <f t="array" ref="AF1180">IF(AD1180="","",SUMPRODUCT(IF(LEFT($AD$1:AD1180,2)="JS",1,0)))</f>
        <v/>
      </c>
      <c r="AG1180" t="str">
        <f t="shared" si="72"/>
        <v/>
      </c>
      <c r="AH1180" t="str">
        <f t="shared" si="73"/>
        <v/>
      </c>
      <c r="AI1180" t="str">
        <f>IF(AH1180="","",MAX($AF$1:$AF1180))</f>
        <v/>
      </c>
      <c r="AJ1180" t="str">
        <f t="shared" si="74"/>
        <v/>
      </c>
      <c r="AK1180" t="str">
        <f>IF(AJ1180="","",MAX($AF$1:$AF1180))</f>
        <v/>
      </c>
      <c r="AL1180" t="str">
        <f t="shared" si="75"/>
        <v/>
      </c>
      <c r="AM1180" t="str">
        <f>IF(AL1180="","",MAX($AF$1:$AF1180))</f>
        <v/>
      </c>
    </row>
    <row r="1181" spans="1:39" ht="26.25" customHeight="1" x14ac:dyDescent="0.3">
      <c r="A1181" s="26" t="s">
        <v>41</v>
      </c>
      <c r="B1181" s="26"/>
      <c r="C1181" s="26"/>
      <c r="D1181" s="26"/>
      <c r="E1181" s="26"/>
      <c r="AB1181" t="str" cm="1">
        <f t="array" ref="AB1181">_xlfn._xlws.FILTER(A1181:Z1181,A1181:Z1181&lt;&gt;"","")</f>
        <v>* Subject Weighting may be adjusted in the next admissions exercise</v>
      </c>
      <c r="AD1181" t="str">
        <v/>
      </c>
      <c r="AE1181" t="str">
        <v/>
      </c>
      <c r="AF1181" t="str" cm="1">
        <f t="array" ref="AF1181">IF(AD1181="","",SUMPRODUCT(IF(LEFT($AD$1:AD1181,2)="JS",1,0)))</f>
        <v/>
      </c>
      <c r="AG1181" t="str">
        <f t="shared" si="72"/>
        <v/>
      </c>
      <c r="AH1181" t="str">
        <f t="shared" si="73"/>
        <v/>
      </c>
      <c r="AI1181" t="str">
        <f>IF(AH1181="","",MAX($AF$1:$AF1181))</f>
        <v/>
      </c>
      <c r="AJ1181" t="str">
        <f t="shared" si="74"/>
        <v/>
      </c>
      <c r="AK1181" t="str">
        <f>IF(AJ1181="","",MAX($AF$1:$AF1181))</f>
        <v/>
      </c>
      <c r="AL1181" t="str">
        <f t="shared" si="75"/>
        <v/>
      </c>
      <c r="AM1181" t="str">
        <f>IF(AL1181="","",MAX($AF$1:$AF1181))</f>
        <v/>
      </c>
    </row>
    <row r="1182" spans="1:39" ht="15" customHeight="1" x14ac:dyDescent="0.3">
      <c r="A1182" s="18" t="s">
        <v>178</v>
      </c>
      <c r="B1182" s="18"/>
      <c r="C1182" s="18"/>
      <c r="D1182" s="1"/>
      <c r="AB1182" t="str" cm="1">
        <f t="array" ref="AB1182">_xlfn._xlws.FILTER(A1182:Z1182,A1182:Z1182&lt;&gt;"","")</f>
        <v>JUPAS Code: JS3569</v>
      </c>
      <c r="AD1182" t="str">
        <v>JS3569</v>
      </c>
      <c r="AE1182" t="str">
        <v/>
      </c>
      <c r="AF1182" cm="1">
        <f t="array" ref="AF1182">IF(AD1182="","",SUMPRODUCT(IF(LEFT($AD$1:AD1182,2)="JS",1,0)))</f>
        <v>24</v>
      </c>
      <c r="AG1182" t="str">
        <f t="shared" si="72"/>
        <v/>
      </c>
      <c r="AH1182" t="str">
        <f t="shared" si="73"/>
        <v/>
      </c>
      <c r="AI1182" t="str">
        <f>IF(AH1182="","",MAX($AF$1:$AF1182))</f>
        <v/>
      </c>
      <c r="AJ1182" t="str">
        <f t="shared" si="74"/>
        <v/>
      </c>
      <c r="AK1182" t="str">
        <f>IF(AJ1182="","",MAX($AF$1:$AF1182))</f>
        <v/>
      </c>
      <c r="AL1182" t="str">
        <f t="shared" si="75"/>
        <v/>
      </c>
      <c r="AM1182" t="str">
        <f>IF(AL1182="","",MAX($AF$1:$AF1182))</f>
        <v/>
      </c>
    </row>
    <row r="1183" spans="1:39" ht="13.5" customHeight="1" x14ac:dyDescent="0.3">
      <c r="A1183" s="18" t="s">
        <v>179</v>
      </c>
      <c r="B1183" s="18"/>
      <c r="C1183" s="18"/>
      <c r="D1183" s="1"/>
      <c r="AB1183" t="str" cm="1">
        <f t="array" ref="AB1183">_xlfn._xlws.FILTER(A1183:Z1183,A1183:Z1183&lt;&gt;"","")</f>
        <v>Programme Title: BA (Hons) Scheme in Design</v>
      </c>
      <c r="AD1183" t="str">
        <v/>
      </c>
      <c r="AE1183" t="str">
        <v>BA (Hons) Scheme in Design</v>
      </c>
      <c r="AF1183" t="str" cm="1">
        <f t="array" ref="AF1183">IF(AD1183="","",SUMPRODUCT(IF(LEFT($AD$1:AD1183,2)="JS",1,0)))</f>
        <v/>
      </c>
      <c r="AG1183" t="str">
        <f t="shared" si="72"/>
        <v/>
      </c>
      <c r="AH1183" t="str">
        <f t="shared" si="73"/>
        <v/>
      </c>
      <c r="AI1183" t="str">
        <f>IF(AH1183="","",MAX($AF$1:$AF1183))</f>
        <v/>
      </c>
      <c r="AJ1183" t="str">
        <f t="shared" si="74"/>
        <v/>
      </c>
      <c r="AK1183" t="str">
        <f>IF(AJ1183="","",MAX($AF$1:$AF1183))</f>
        <v/>
      </c>
      <c r="AL1183" t="str">
        <f t="shared" si="75"/>
        <v/>
      </c>
      <c r="AM1183" t="str">
        <f>IF(AL1183="","",MAX($AF$1:$AF1183))</f>
        <v/>
      </c>
    </row>
    <row r="1184" spans="1:39" ht="14.5" customHeight="1" x14ac:dyDescent="0.3">
      <c r="A1184" s="12"/>
      <c r="B1184" s="12"/>
      <c r="C1184" s="2"/>
      <c r="D1184" s="2"/>
      <c r="AB1184" t="str" cm="1">
        <f t="array" ref="AB1184">_xlfn._xlws.FILTER(A1184:Z1184,A1184:Z1184&lt;&gt;"","")</f>
        <v/>
      </c>
      <c r="AD1184" t="str">
        <v/>
      </c>
      <c r="AE1184" t="str">
        <v/>
      </c>
      <c r="AF1184" t="str" cm="1">
        <f t="array" ref="AF1184">IF(AD1184="","",SUMPRODUCT(IF(LEFT($AD$1:AD1184,2)="JS",1,0)))</f>
        <v/>
      </c>
      <c r="AG1184" t="str">
        <f t="shared" si="72"/>
        <v/>
      </c>
      <c r="AH1184" t="str">
        <f t="shared" si="73"/>
        <v/>
      </c>
      <c r="AI1184" t="str">
        <f>IF(AH1184="","",MAX($AF$1:$AF1184))</f>
        <v/>
      </c>
      <c r="AJ1184" t="str">
        <f t="shared" si="74"/>
        <v/>
      </c>
      <c r="AK1184" t="str">
        <f>IF(AJ1184="","",MAX($AF$1:$AF1184))</f>
        <v/>
      </c>
      <c r="AL1184" t="str">
        <f t="shared" si="75"/>
        <v/>
      </c>
      <c r="AM1184" t="str">
        <f>IF(AL1184="","",MAX($AF$1:$AF1184))</f>
        <v/>
      </c>
    </row>
    <row r="1185" spans="1:39" ht="13.5" customHeight="1" x14ac:dyDescent="0.3">
      <c r="A1185" s="13" t="s">
        <v>2</v>
      </c>
      <c r="B1185" s="13"/>
      <c r="C1185" s="13"/>
      <c r="D1185" s="13"/>
      <c r="AB1185" t="str" cm="1">
        <f t="array" ref="AB1185">_xlfn._xlws.FILTER(A1185:Z1185,A1185:Z1185&lt;&gt;"","")</f>
        <v>Category A: Core and Elective Subjects</v>
      </c>
      <c r="AD1185" t="str">
        <v/>
      </c>
      <c r="AE1185" t="str">
        <v/>
      </c>
      <c r="AF1185" t="str" cm="1">
        <f t="array" ref="AF1185">IF(AD1185="","",SUMPRODUCT(IF(LEFT($AD$1:AD1185,2)="JS",1,0)))</f>
        <v/>
      </c>
      <c r="AG1185" t="str">
        <f t="shared" si="72"/>
        <v/>
      </c>
      <c r="AH1185" t="str">
        <f t="shared" si="73"/>
        <v/>
      </c>
      <c r="AI1185" t="str">
        <f>IF(AH1185="","",MAX($AF$1:$AF1185))</f>
        <v/>
      </c>
      <c r="AJ1185" t="str">
        <f t="shared" si="74"/>
        <v/>
      </c>
      <c r="AK1185" t="str">
        <f>IF(AJ1185="","",MAX($AF$1:$AF1185))</f>
        <v/>
      </c>
      <c r="AL1185" t="str">
        <f t="shared" si="75"/>
        <v/>
      </c>
      <c r="AM1185" t="str">
        <f>IF(AL1185="","",MAX($AF$1:$AF1185))</f>
        <v/>
      </c>
    </row>
    <row r="1186" spans="1:39" ht="13.5" customHeight="1" x14ac:dyDescent="0.3">
      <c r="A1186" s="14" t="s">
        <v>3</v>
      </c>
      <c r="B1186" s="15"/>
      <c r="C1186" s="16" t="s">
        <v>4</v>
      </c>
      <c r="D1186" s="17"/>
      <c r="AB1186" t="str" cm="1">
        <f t="array" ref="AB1186:AC1186">_xlfn._xlws.FILTER(A1186:Z1186,A1186:Z1186&lt;&gt;"","")</f>
        <v>Subject Name</v>
      </c>
      <c r="AC1186" t="str">
        <v>Subject Weighting for 2023/24 Admission Exercise *</v>
      </c>
      <c r="AD1186" t="str">
        <v/>
      </c>
      <c r="AE1186" t="str">
        <v/>
      </c>
      <c r="AF1186" t="str" cm="1">
        <f t="array" ref="AF1186">IF(AD1186="","",SUMPRODUCT(IF(LEFT($AD$1:AD1186,2)="JS",1,0)))</f>
        <v/>
      </c>
      <c r="AG1186" t="str">
        <f t="shared" si="72"/>
        <v/>
      </c>
      <c r="AH1186" t="str">
        <f t="shared" si="73"/>
        <v/>
      </c>
      <c r="AI1186" t="str">
        <f>IF(AH1186="","",MAX($AF$1:$AF1186))</f>
        <v/>
      </c>
      <c r="AJ1186" t="str">
        <f t="shared" si="74"/>
        <v/>
      </c>
      <c r="AK1186" t="str">
        <f>IF(AJ1186="","",MAX($AF$1:$AF1186))</f>
        <v/>
      </c>
      <c r="AL1186" t="str">
        <f t="shared" si="75"/>
        <v/>
      </c>
      <c r="AM1186" t="str">
        <f>IF(AL1186="","",MAX($AF$1:$AF1186))</f>
        <v/>
      </c>
    </row>
    <row r="1187" spans="1:39" ht="13.5" customHeight="1" x14ac:dyDescent="0.3">
      <c r="A1187" s="8" t="s">
        <v>211</v>
      </c>
      <c r="B1187" s="9"/>
      <c r="C1187" s="10">
        <v>5</v>
      </c>
      <c r="D1187" s="11"/>
      <c r="AB1187" t="str" cm="1">
        <f t="array" ref="AB1187:AC1187">_xlfn._xlws.FILTER(A1187:Z1187,A1187:Z1187&lt;&gt;"","")</f>
        <v>BIO</v>
      </c>
      <c r="AC1187">
        <v>5</v>
      </c>
      <c r="AD1187" t="str">
        <v/>
      </c>
      <c r="AE1187" t="str">
        <v/>
      </c>
      <c r="AF1187" t="str" cm="1">
        <f t="array" ref="AF1187">IF(AD1187="","",SUMPRODUCT(IF(LEFT($AD$1:AD1187,2)="JS",1,0)))</f>
        <v/>
      </c>
      <c r="AG1187" t="b">
        <f t="shared" si="72"/>
        <v>1</v>
      </c>
      <c r="AH1187" t="str">
        <f t="shared" si="73"/>
        <v/>
      </c>
      <c r="AI1187" t="str">
        <f>IF(AH1187="","",MAX($AF$1:$AF1187))</f>
        <v/>
      </c>
      <c r="AJ1187" t="str">
        <f t="shared" si="74"/>
        <v/>
      </c>
      <c r="AK1187" t="str">
        <f>IF(AJ1187="","",MAX($AF$1:$AF1187))</f>
        <v/>
      </c>
      <c r="AL1187" t="str">
        <f t="shared" si="75"/>
        <v>BIO</v>
      </c>
      <c r="AM1187">
        <f>IF(AL1187="","",MAX($AF$1:$AF1187))</f>
        <v>24</v>
      </c>
    </row>
    <row r="1188" spans="1:39" ht="13.5" customHeight="1" x14ac:dyDescent="0.3">
      <c r="A1188" s="8" t="s">
        <v>213</v>
      </c>
      <c r="B1188" s="9"/>
      <c r="C1188" s="10">
        <v>7</v>
      </c>
      <c r="D1188" s="11"/>
      <c r="AB1188" t="str" cm="1">
        <f t="array" ref="AB1188:AC1188">_xlfn._xlws.FILTER(A1188:Z1188,A1188:Z1188&lt;&gt;"","")</f>
        <v>BAFS</v>
      </c>
      <c r="AC1188">
        <v>7</v>
      </c>
      <c r="AD1188" t="str">
        <v/>
      </c>
      <c r="AE1188" t="str">
        <v/>
      </c>
      <c r="AF1188" t="str" cm="1">
        <f t="array" ref="AF1188">IF(AD1188="","",SUMPRODUCT(IF(LEFT($AD$1:AD1188,2)="JS",1,0)))</f>
        <v/>
      </c>
      <c r="AG1188" t="b">
        <f t="shared" si="72"/>
        <v>1</v>
      </c>
      <c r="AH1188" t="str">
        <f t="shared" si="73"/>
        <v/>
      </c>
      <c r="AI1188" t="str">
        <f>IF(AH1188="","",MAX($AF$1:$AF1188))</f>
        <v/>
      </c>
      <c r="AJ1188" t="str">
        <f t="shared" si="74"/>
        <v>BAFS</v>
      </c>
      <c r="AK1188">
        <f>IF(AJ1188="","",MAX($AF$1:$AF1188))</f>
        <v>24</v>
      </c>
      <c r="AL1188" t="str">
        <f t="shared" si="75"/>
        <v/>
      </c>
      <c r="AM1188" t="str">
        <f>IF(AL1188="","",MAX($AF$1:$AF1188))</f>
        <v/>
      </c>
    </row>
    <row r="1189" spans="1:39" ht="13.5" customHeight="1" x14ac:dyDescent="0.3">
      <c r="A1189" s="8" t="s">
        <v>5</v>
      </c>
      <c r="B1189" s="9"/>
      <c r="C1189" s="10">
        <v>7</v>
      </c>
      <c r="D1189" s="11"/>
      <c r="AB1189" t="str" cm="1">
        <f t="array" ref="AB1189:AC1189">_xlfn._xlws.FILTER(A1189:Z1189,A1189:Z1189&lt;&gt;"","")</f>
        <v>Business, Accounting and Financial Studies (Accounting)</v>
      </c>
      <c r="AC1189">
        <v>7</v>
      </c>
      <c r="AD1189" t="str">
        <v/>
      </c>
      <c r="AE1189" t="str">
        <v/>
      </c>
      <c r="AF1189" t="str" cm="1">
        <f t="array" ref="AF1189">IF(AD1189="","",SUMPRODUCT(IF(LEFT($AD$1:AD1189,2)="JS",1,0)))</f>
        <v/>
      </c>
      <c r="AG1189" t="str">
        <f t="shared" si="72"/>
        <v/>
      </c>
      <c r="AH1189" t="str">
        <f t="shared" si="73"/>
        <v/>
      </c>
      <c r="AI1189" t="str">
        <f>IF(AH1189="","",MAX($AF$1:$AF1189))</f>
        <v/>
      </c>
      <c r="AJ1189" t="str">
        <f t="shared" si="74"/>
        <v/>
      </c>
      <c r="AK1189" t="str">
        <f>IF(AJ1189="","",MAX($AF$1:$AF1189))</f>
        <v/>
      </c>
      <c r="AL1189" t="str">
        <f t="shared" si="75"/>
        <v/>
      </c>
      <c r="AM1189" t="str">
        <f>IF(AL1189="","",MAX($AF$1:$AF1189))</f>
        <v/>
      </c>
    </row>
    <row r="1190" spans="1:39" ht="13.5" customHeight="1" x14ac:dyDescent="0.3">
      <c r="A1190" s="8" t="s">
        <v>6</v>
      </c>
      <c r="B1190" s="9"/>
      <c r="C1190" s="10">
        <v>7</v>
      </c>
      <c r="D1190" s="11"/>
      <c r="AB1190" t="str" cm="1">
        <f t="array" ref="AB1190:AC1190">_xlfn._xlws.FILTER(A1190:Z1190,A1190:Z1190&lt;&gt;"","")</f>
        <v>Business, Accounting and Financial Studies (Business Management)</v>
      </c>
      <c r="AC1190">
        <v>7</v>
      </c>
      <c r="AD1190" t="str">
        <v/>
      </c>
      <c r="AE1190" t="str">
        <v/>
      </c>
      <c r="AF1190" t="str" cm="1">
        <f t="array" ref="AF1190">IF(AD1190="","",SUMPRODUCT(IF(LEFT($AD$1:AD1190,2)="JS",1,0)))</f>
        <v/>
      </c>
      <c r="AG1190" t="str">
        <f t="shared" si="72"/>
        <v/>
      </c>
      <c r="AH1190" t="str">
        <f t="shared" si="73"/>
        <v/>
      </c>
      <c r="AI1190" t="str">
        <f>IF(AH1190="","",MAX($AF$1:$AF1190))</f>
        <v/>
      </c>
      <c r="AJ1190" t="str">
        <f t="shared" si="74"/>
        <v/>
      </c>
      <c r="AK1190" t="str">
        <f>IF(AJ1190="","",MAX($AF$1:$AF1190))</f>
        <v/>
      </c>
      <c r="AL1190" t="str">
        <f t="shared" si="75"/>
        <v/>
      </c>
      <c r="AM1190" t="str">
        <f>IF(AL1190="","",MAX($AF$1:$AF1190))</f>
        <v/>
      </c>
    </row>
    <row r="1191" spans="1:39" ht="13.5" customHeight="1" x14ac:dyDescent="0.3">
      <c r="A1191" s="8" t="s">
        <v>212</v>
      </c>
      <c r="B1191" s="9"/>
      <c r="C1191" s="10">
        <v>5</v>
      </c>
      <c r="D1191" s="11"/>
      <c r="AB1191" t="str" cm="1">
        <f t="array" ref="AB1191:AC1191">_xlfn._xlws.FILTER(A1191:Z1191,A1191:Z1191&lt;&gt;"","")</f>
        <v>CHEM</v>
      </c>
      <c r="AC1191">
        <v>5</v>
      </c>
      <c r="AD1191" t="str">
        <v/>
      </c>
      <c r="AE1191" t="str">
        <v/>
      </c>
      <c r="AF1191" t="str" cm="1">
        <f t="array" ref="AF1191">IF(AD1191="","",SUMPRODUCT(IF(LEFT($AD$1:AD1191,2)="JS",1,0)))</f>
        <v/>
      </c>
      <c r="AG1191" t="b">
        <f t="shared" si="72"/>
        <v>1</v>
      </c>
      <c r="AH1191" t="str">
        <f t="shared" si="73"/>
        <v/>
      </c>
      <c r="AI1191" t="str">
        <f>IF(AH1191="","",MAX($AF$1:$AF1191))</f>
        <v/>
      </c>
      <c r="AJ1191" t="str">
        <f t="shared" si="74"/>
        <v/>
      </c>
      <c r="AK1191" t="str">
        <f>IF(AJ1191="","",MAX($AF$1:$AF1191))</f>
        <v/>
      </c>
      <c r="AL1191" t="str">
        <f t="shared" si="75"/>
        <v>CHEM</v>
      </c>
      <c r="AM1191">
        <f>IF(AL1191="","",MAX($AF$1:$AF1191))</f>
        <v>24</v>
      </c>
    </row>
    <row r="1192" spans="1:39" ht="13.5" customHeight="1" x14ac:dyDescent="0.3">
      <c r="A1192" s="8" t="s">
        <v>214</v>
      </c>
      <c r="B1192" s="9"/>
      <c r="C1192" s="10">
        <v>5</v>
      </c>
      <c r="D1192" s="11"/>
      <c r="AB1192" t="str" cm="1">
        <f t="array" ref="AB1192:AC1192">_xlfn._xlws.FILTER(A1192:Z1192,A1192:Z1192&lt;&gt;"","")</f>
        <v>中史</v>
      </c>
      <c r="AC1192">
        <v>5</v>
      </c>
      <c r="AD1192" t="str">
        <v/>
      </c>
      <c r="AE1192" t="str">
        <v/>
      </c>
      <c r="AF1192" t="str" cm="1">
        <f t="array" ref="AF1192">IF(AD1192="","",SUMPRODUCT(IF(LEFT($AD$1:AD1192,2)="JS",1,0)))</f>
        <v/>
      </c>
      <c r="AG1192" t="b">
        <f t="shared" si="72"/>
        <v>1</v>
      </c>
      <c r="AH1192" t="str">
        <f t="shared" si="73"/>
        <v/>
      </c>
      <c r="AI1192" t="str">
        <f>IF(AH1192="","",MAX($AF$1:$AF1192))</f>
        <v/>
      </c>
      <c r="AJ1192" t="str">
        <f t="shared" si="74"/>
        <v/>
      </c>
      <c r="AK1192" t="str">
        <f>IF(AJ1192="","",MAX($AF$1:$AF1192))</f>
        <v/>
      </c>
      <c r="AL1192" t="str">
        <f t="shared" si="75"/>
        <v>中史</v>
      </c>
      <c r="AM1192">
        <f>IF(AL1192="","",MAX($AF$1:$AF1192))</f>
        <v>24</v>
      </c>
    </row>
    <row r="1193" spans="1:39" ht="13.5" customHeight="1" x14ac:dyDescent="0.3">
      <c r="A1193" s="8" t="s">
        <v>216</v>
      </c>
      <c r="B1193" s="9"/>
      <c r="C1193" s="10">
        <v>10</v>
      </c>
      <c r="D1193" s="11"/>
      <c r="AB1193" t="str" cm="1">
        <f t="array" ref="AB1193:AC1193">_xlfn._xlws.FILTER(A1193:Z1193,A1193:Z1193&lt;&gt;"","")</f>
        <v>中文</v>
      </c>
      <c r="AC1193">
        <v>10</v>
      </c>
      <c r="AD1193" t="str">
        <v/>
      </c>
      <c r="AE1193" t="str">
        <v/>
      </c>
      <c r="AF1193" t="str" cm="1">
        <f t="array" ref="AF1193">IF(AD1193="","",SUMPRODUCT(IF(LEFT($AD$1:AD1193,2)="JS",1,0)))</f>
        <v/>
      </c>
      <c r="AG1193" t="b">
        <f t="shared" si="72"/>
        <v>1</v>
      </c>
      <c r="AH1193" t="str">
        <f t="shared" si="73"/>
        <v>中文</v>
      </c>
      <c r="AI1193">
        <f>IF(AH1193="","",MAX($AF$1:$AF1193))</f>
        <v>24</v>
      </c>
      <c r="AJ1193" t="str">
        <f t="shared" si="74"/>
        <v/>
      </c>
      <c r="AK1193" t="str">
        <f>IF(AJ1193="","",MAX($AF$1:$AF1193))</f>
        <v/>
      </c>
      <c r="AL1193" t="str">
        <f t="shared" si="75"/>
        <v/>
      </c>
      <c r="AM1193" t="str">
        <f>IF(AL1193="","",MAX($AF$1:$AF1193))</f>
        <v/>
      </c>
    </row>
    <row r="1194" spans="1:39" ht="13.5" customHeight="1" x14ac:dyDescent="0.3">
      <c r="A1194" s="8" t="s">
        <v>7</v>
      </c>
      <c r="B1194" s="9"/>
      <c r="C1194" s="10">
        <v>5</v>
      </c>
      <c r="D1194" s="11"/>
      <c r="AB1194" t="str" cm="1">
        <f t="array" ref="AB1194:AC1194">_xlfn._xlws.FILTER(A1194:Z1194,A1194:Z1194&lt;&gt;"","")</f>
        <v>Chinese Literature</v>
      </c>
      <c r="AC1194">
        <v>5</v>
      </c>
      <c r="AD1194" t="str">
        <v/>
      </c>
      <c r="AE1194" t="str">
        <v/>
      </c>
      <c r="AF1194" t="str" cm="1">
        <f t="array" ref="AF1194">IF(AD1194="","",SUMPRODUCT(IF(LEFT($AD$1:AD1194,2)="JS",1,0)))</f>
        <v/>
      </c>
      <c r="AG1194" t="str">
        <f t="shared" si="72"/>
        <v/>
      </c>
      <c r="AH1194" t="str">
        <f t="shared" si="73"/>
        <v/>
      </c>
      <c r="AI1194" t="str">
        <f>IF(AH1194="","",MAX($AF$1:$AF1194))</f>
        <v/>
      </c>
      <c r="AJ1194" t="str">
        <f t="shared" si="74"/>
        <v/>
      </c>
      <c r="AK1194" t="str">
        <f>IF(AJ1194="","",MAX($AF$1:$AF1194))</f>
        <v/>
      </c>
      <c r="AL1194" t="str">
        <f t="shared" si="75"/>
        <v/>
      </c>
      <c r="AM1194" t="str">
        <f>IF(AL1194="","",MAX($AF$1:$AF1194))</f>
        <v/>
      </c>
    </row>
    <row r="1195" spans="1:39" ht="13.5" customHeight="1" x14ac:dyDescent="0.3">
      <c r="A1195" s="8" t="s">
        <v>8</v>
      </c>
      <c r="B1195" s="9"/>
      <c r="C1195" s="10">
        <v>5</v>
      </c>
      <c r="D1195" s="11"/>
      <c r="AB1195" t="str" cm="1">
        <f t="array" ref="AB1195:AC1195">_xlfn._xlws.FILTER(A1195:Z1195,A1195:Z1195&lt;&gt;"","")</f>
        <v>Combined Science: Biology + Chemistry</v>
      </c>
      <c r="AC1195">
        <v>5</v>
      </c>
      <c r="AD1195" t="str">
        <v/>
      </c>
      <c r="AE1195" t="str">
        <v/>
      </c>
      <c r="AF1195" t="str" cm="1">
        <f t="array" ref="AF1195">IF(AD1195="","",SUMPRODUCT(IF(LEFT($AD$1:AD1195,2)="JS",1,0)))</f>
        <v/>
      </c>
      <c r="AG1195" t="str">
        <f t="shared" si="72"/>
        <v/>
      </c>
      <c r="AH1195" t="str">
        <f t="shared" si="73"/>
        <v/>
      </c>
      <c r="AI1195" t="str">
        <f>IF(AH1195="","",MAX($AF$1:$AF1195))</f>
        <v/>
      </c>
      <c r="AJ1195" t="str">
        <f t="shared" si="74"/>
        <v/>
      </c>
      <c r="AK1195" t="str">
        <f>IF(AJ1195="","",MAX($AF$1:$AF1195))</f>
        <v/>
      </c>
      <c r="AL1195" t="str">
        <f t="shared" si="75"/>
        <v/>
      </c>
      <c r="AM1195" t="str">
        <f>IF(AL1195="","",MAX($AF$1:$AF1195))</f>
        <v/>
      </c>
    </row>
    <row r="1196" spans="1:39" ht="13.5" customHeight="1" x14ac:dyDescent="0.3">
      <c r="A1196" s="8" t="s">
        <v>9</v>
      </c>
      <c r="B1196" s="9"/>
      <c r="C1196" s="10">
        <v>5</v>
      </c>
      <c r="D1196" s="11"/>
      <c r="AB1196" t="str" cm="1">
        <f t="array" ref="AB1196:AC1196">_xlfn._xlws.FILTER(A1196:Z1196,A1196:Z1196&lt;&gt;"","")</f>
        <v>Combined Science: Biology + Physics</v>
      </c>
      <c r="AC1196">
        <v>5</v>
      </c>
      <c r="AD1196" t="str">
        <v/>
      </c>
      <c r="AE1196" t="str">
        <v/>
      </c>
      <c r="AF1196" t="str" cm="1">
        <f t="array" ref="AF1196">IF(AD1196="","",SUMPRODUCT(IF(LEFT($AD$1:AD1196,2)="JS",1,0)))</f>
        <v/>
      </c>
      <c r="AG1196" t="str">
        <f t="shared" si="72"/>
        <v/>
      </c>
      <c r="AH1196" t="str">
        <f t="shared" si="73"/>
        <v/>
      </c>
      <c r="AI1196" t="str">
        <f>IF(AH1196="","",MAX($AF$1:$AF1196))</f>
        <v/>
      </c>
      <c r="AJ1196" t="str">
        <f t="shared" si="74"/>
        <v/>
      </c>
      <c r="AK1196" t="str">
        <f>IF(AJ1196="","",MAX($AF$1:$AF1196))</f>
        <v/>
      </c>
      <c r="AL1196" t="str">
        <f t="shared" si="75"/>
        <v/>
      </c>
      <c r="AM1196" t="str">
        <f>IF(AL1196="","",MAX($AF$1:$AF1196))</f>
        <v/>
      </c>
    </row>
    <row r="1197" spans="1:39" ht="13.5" customHeight="1" x14ac:dyDescent="0.3">
      <c r="A1197" s="8" t="s">
        <v>10</v>
      </c>
      <c r="B1197" s="9"/>
      <c r="C1197" s="10">
        <v>5</v>
      </c>
      <c r="D1197" s="11"/>
      <c r="AB1197" t="str" cm="1">
        <f t="array" ref="AB1197:AC1197">_xlfn._xlws.FILTER(A1197:Z1197,A1197:Z1197&lt;&gt;"","")</f>
        <v>Combined Science: Physics + Chemistry</v>
      </c>
      <c r="AC1197">
        <v>5</v>
      </c>
      <c r="AD1197" t="str">
        <v/>
      </c>
      <c r="AE1197" t="str">
        <v/>
      </c>
      <c r="AF1197" t="str" cm="1">
        <f t="array" ref="AF1197">IF(AD1197="","",SUMPRODUCT(IF(LEFT($AD$1:AD1197,2)="JS",1,0)))</f>
        <v/>
      </c>
      <c r="AG1197" t="str">
        <f t="shared" si="72"/>
        <v/>
      </c>
      <c r="AH1197" t="str">
        <f t="shared" si="73"/>
        <v/>
      </c>
      <c r="AI1197" t="str">
        <f>IF(AH1197="","",MAX($AF$1:$AF1197))</f>
        <v/>
      </c>
      <c r="AJ1197" t="str">
        <f t="shared" si="74"/>
        <v/>
      </c>
      <c r="AK1197" t="str">
        <f>IF(AJ1197="","",MAX($AF$1:$AF1197))</f>
        <v/>
      </c>
      <c r="AL1197" t="str">
        <f t="shared" si="75"/>
        <v/>
      </c>
      <c r="AM1197" t="str">
        <f>IF(AL1197="","",MAX($AF$1:$AF1197))</f>
        <v/>
      </c>
    </row>
    <row r="1198" spans="1:39" ht="13.5" customHeight="1" x14ac:dyDescent="0.3">
      <c r="A1198" s="8" t="s">
        <v>11</v>
      </c>
      <c r="B1198" s="9"/>
      <c r="C1198" s="10">
        <v>10</v>
      </c>
      <c r="D1198" s="11"/>
      <c r="AB1198" t="str" cm="1">
        <f t="array" ref="AB1198:AC1198">_xlfn._xlws.FILTER(A1198:Z1198,A1198:Z1198&lt;&gt;"","")</f>
        <v>Design and Applied Technology</v>
      </c>
      <c r="AC1198">
        <v>10</v>
      </c>
      <c r="AD1198" t="str">
        <v/>
      </c>
      <c r="AE1198" t="str">
        <v/>
      </c>
      <c r="AF1198" t="str" cm="1">
        <f t="array" ref="AF1198">IF(AD1198="","",SUMPRODUCT(IF(LEFT($AD$1:AD1198,2)="JS",1,0)))</f>
        <v/>
      </c>
      <c r="AG1198" t="str">
        <f t="shared" si="72"/>
        <v/>
      </c>
      <c r="AH1198" t="str">
        <f t="shared" si="73"/>
        <v/>
      </c>
      <c r="AI1198" t="str">
        <f>IF(AH1198="","",MAX($AF$1:$AF1198))</f>
        <v/>
      </c>
      <c r="AJ1198" t="str">
        <f t="shared" si="74"/>
        <v/>
      </c>
      <c r="AK1198" t="str">
        <f>IF(AJ1198="","",MAX($AF$1:$AF1198))</f>
        <v/>
      </c>
      <c r="AL1198" t="str">
        <f t="shared" si="75"/>
        <v/>
      </c>
      <c r="AM1198" t="str">
        <f>IF(AL1198="","",MAX($AF$1:$AF1198))</f>
        <v/>
      </c>
    </row>
    <row r="1199" spans="1:39" ht="13.5" customHeight="1" x14ac:dyDescent="0.3">
      <c r="A1199" s="8" t="s">
        <v>217</v>
      </c>
      <c r="B1199" s="9"/>
      <c r="C1199" s="10">
        <v>7</v>
      </c>
      <c r="D1199" s="11"/>
      <c r="AB1199" t="str" cm="1">
        <f t="array" ref="AB1199:AC1199">_xlfn._xlws.FILTER(A1199:Z1199,A1199:Z1199&lt;&gt;"","")</f>
        <v>ECON</v>
      </c>
      <c r="AC1199">
        <v>7</v>
      </c>
      <c r="AD1199" t="str">
        <v/>
      </c>
      <c r="AE1199" t="str">
        <v/>
      </c>
      <c r="AF1199" t="str" cm="1">
        <f t="array" ref="AF1199">IF(AD1199="","",SUMPRODUCT(IF(LEFT($AD$1:AD1199,2)="JS",1,0)))</f>
        <v/>
      </c>
      <c r="AG1199" t="b">
        <f t="shared" si="72"/>
        <v>1</v>
      </c>
      <c r="AH1199" t="str">
        <f t="shared" si="73"/>
        <v/>
      </c>
      <c r="AI1199" t="str">
        <f>IF(AH1199="","",MAX($AF$1:$AF1199))</f>
        <v/>
      </c>
      <c r="AJ1199" t="str">
        <f t="shared" si="74"/>
        <v>ECON</v>
      </c>
      <c r="AK1199">
        <f>IF(AJ1199="","",MAX($AF$1:$AF1199))</f>
        <v>24</v>
      </c>
      <c r="AL1199" t="str">
        <f t="shared" si="75"/>
        <v/>
      </c>
      <c r="AM1199" t="str">
        <f>IF(AL1199="","",MAX($AF$1:$AF1199))</f>
        <v/>
      </c>
    </row>
    <row r="1200" spans="1:39" ht="13.5" customHeight="1" x14ac:dyDescent="0.3">
      <c r="A1200" s="8" t="s">
        <v>218</v>
      </c>
      <c r="B1200" s="9"/>
      <c r="C1200" s="10">
        <v>10</v>
      </c>
      <c r="D1200" s="11"/>
      <c r="AB1200" t="str" cm="1">
        <f t="array" ref="AB1200:AC1200">_xlfn._xlws.FILTER(A1200:Z1200,A1200:Z1200&lt;&gt;"","")</f>
        <v>ENG</v>
      </c>
      <c r="AC1200">
        <v>10</v>
      </c>
      <c r="AD1200" t="str">
        <v/>
      </c>
      <c r="AE1200" t="str">
        <v/>
      </c>
      <c r="AF1200" t="str" cm="1">
        <f t="array" ref="AF1200">IF(AD1200="","",SUMPRODUCT(IF(LEFT($AD$1:AD1200,2)="JS",1,0)))</f>
        <v/>
      </c>
      <c r="AG1200" t="b">
        <f t="shared" si="72"/>
        <v>1</v>
      </c>
      <c r="AH1200" t="str">
        <f t="shared" si="73"/>
        <v>ENG</v>
      </c>
      <c r="AI1200">
        <f>IF(AH1200="","",MAX($AF$1:$AF1200))</f>
        <v>24</v>
      </c>
      <c r="AJ1200" t="str">
        <f t="shared" si="74"/>
        <v/>
      </c>
      <c r="AK1200" t="str">
        <f>IF(AJ1200="","",MAX($AF$1:$AF1200))</f>
        <v/>
      </c>
      <c r="AL1200" t="str">
        <f t="shared" si="75"/>
        <v/>
      </c>
      <c r="AM1200" t="str">
        <f>IF(AL1200="","",MAX($AF$1:$AF1200))</f>
        <v/>
      </c>
    </row>
    <row r="1201" spans="1:39" ht="13.5" customHeight="1" x14ac:dyDescent="0.3">
      <c r="A1201" s="8" t="s">
        <v>12</v>
      </c>
      <c r="B1201" s="9"/>
      <c r="C1201" s="10">
        <v>5</v>
      </c>
      <c r="D1201" s="11"/>
      <c r="AB1201" t="str" cm="1">
        <f t="array" ref="AB1201:AC1201">_xlfn._xlws.FILTER(A1201:Z1201,A1201:Z1201&lt;&gt;"","")</f>
        <v>Ethics and Religious Studies</v>
      </c>
      <c r="AC1201">
        <v>5</v>
      </c>
      <c r="AD1201" t="str">
        <v/>
      </c>
      <c r="AE1201" t="str">
        <v/>
      </c>
      <c r="AF1201" t="str" cm="1">
        <f t="array" ref="AF1201">IF(AD1201="","",SUMPRODUCT(IF(LEFT($AD$1:AD1201,2)="JS",1,0)))</f>
        <v/>
      </c>
      <c r="AG1201" t="str">
        <f t="shared" si="72"/>
        <v/>
      </c>
      <c r="AH1201" t="str">
        <f t="shared" si="73"/>
        <v/>
      </c>
      <c r="AI1201" t="str">
        <f>IF(AH1201="","",MAX($AF$1:$AF1201))</f>
        <v/>
      </c>
      <c r="AJ1201" t="str">
        <f t="shared" si="74"/>
        <v/>
      </c>
      <c r="AK1201" t="str">
        <f>IF(AJ1201="","",MAX($AF$1:$AF1201))</f>
        <v/>
      </c>
      <c r="AL1201" t="str">
        <f t="shared" si="75"/>
        <v/>
      </c>
      <c r="AM1201" t="str">
        <f>IF(AL1201="","",MAX($AF$1:$AF1201))</f>
        <v/>
      </c>
    </row>
    <row r="1202" spans="1:39" ht="13.5" customHeight="1" x14ac:dyDescent="0.3">
      <c r="A1202" s="8" t="s">
        <v>219</v>
      </c>
      <c r="B1202" s="9"/>
      <c r="C1202" s="10">
        <v>5</v>
      </c>
      <c r="D1202" s="11"/>
      <c r="AB1202" t="str" cm="1">
        <f t="array" ref="AB1202:AC1202">_xlfn._xlws.FILTER(A1202:Z1202,A1202:Z1202&lt;&gt;"","")</f>
        <v>GEOG</v>
      </c>
      <c r="AC1202">
        <v>5</v>
      </c>
      <c r="AD1202" t="str">
        <v/>
      </c>
      <c r="AE1202" t="str">
        <v/>
      </c>
      <c r="AF1202" t="str" cm="1">
        <f t="array" ref="AF1202">IF(AD1202="","",SUMPRODUCT(IF(LEFT($AD$1:AD1202,2)="JS",1,0)))</f>
        <v/>
      </c>
      <c r="AG1202" t="b">
        <f t="shared" si="72"/>
        <v>1</v>
      </c>
      <c r="AH1202" t="str">
        <f t="shared" si="73"/>
        <v/>
      </c>
      <c r="AI1202" t="str">
        <f>IF(AH1202="","",MAX($AF$1:$AF1202))</f>
        <v/>
      </c>
      <c r="AJ1202" t="str">
        <f t="shared" si="74"/>
        <v/>
      </c>
      <c r="AK1202" t="str">
        <f>IF(AJ1202="","",MAX($AF$1:$AF1202))</f>
        <v/>
      </c>
      <c r="AL1202" t="str">
        <f t="shared" si="75"/>
        <v>GEOG</v>
      </c>
      <c r="AM1202">
        <f>IF(AL1202="","",MAX($AF$1:$AF1202))</f>
        <v>24</v>
      </c>
    </row>
    <row r="1203" spans="1:39" ht="13.5" customHeight="1" x14ac:dyDescent="0.3">
      <c r="A1203" s="8" t="s">
        <v>220</v>
      </c>
      <c r="B1203" s="9"/>
      <c r="C1203" s="10">
        <v>5</v>
      </c>
      <c r="D1203" s="11"/>
      <c r="AB1203" t="str" cm="1">
        <f t="array" ref="AB1203:AC1203">_xlfn._xlws.FILTER(A1203:Z1203,A1203:Z1203&lt;&gt;"","")</f>
        <v>HMSC</v>
      </c>
      <c r="AC1203">
        <v>5</v>
      </c>
      <c r="AD1203" t="str">
        <v/>
      </c>
      <c r="AE1203" t="str">
        <v/>
      </c>
      <c r="AF1203" t="str" cm="1">
        <f t="array" ref="AF1203">IF(AD1203="","",SUMPRODUCT(IF(LEFT($AD$1:AD1203,2)="JS",1,0)))</f>
        <v/>
      </c>
      <c r="AG1203" t="b">
        <f t="shared" si="72"/>
        <v>1</v>
      </c>
      <c r="AH1203" t="str">
        <f t="shared" si="73"/>
        <v/>
      </c>
      <c r="AI1203" t="str">
        <f>IF(AH1203="","",MAX($AF$1:$AF1203))</f>
        <v/>
      </c>
      <c r="AJ1203" t="str">
        <f t="shared" si="74"/>
        <v/>
      </c>
      <c r="AK1203" t="str">
        <f>IF(AJ1203="","",MAX($AF$1:$AF1203))</f>
        <v/>
      </c>
      <c r="AL1203" t="str">
        <f t="shared" si="75"/>
        <v>HMSC</v>
      </c>
      <c r="AM1203">
        <f>IF(AL1203="","",MAX($AF$1:$AF1203))</f>
        <v>24</v>
      </c>
    </row>
    <row r="1204" spans="1:39" ht="13.5" customHeight="1" x14ac:dyDescent="0.3">
      <c r="A1204" s="8" t="s">
        <v>221</v>
      </c>
      <c r="B1204" s="9"/>
      <c r="C1204" s="10">
        <v>7</v>
      </c>
      <c r="D1204" s="11"/>
      <c r="AB1204" t="str" cm="1">
        <f t="array" ref="AB1204:AC1204">_xlfn._xlws.FILTER(A1204:Z1204,A1204:Z1204&lt;&gt;"","")</f>
        <v>HIST</v>
      </c>
      <c r="AC1204">
        <v>7</v>
      </c>
      <c r="AD1204" t="str">
        <v/>
      </c>
      <c r="AE1204" t="str">
        <v/>
      </c>
      <c r="AF1204" t="str" cm="1">
        <f t="array" ref="AF1204">IF(AD1204="","",SUMPRODUCT(IF(LEFT($AD$1:AD1204,2)="JS",1,0)))</f>
        <v/>
      </c>
      <c r="AG1204" t="b">
        <f t="shared" si="72"/>
        <v>1</v>
      </c>
      <c r="AH1204" t="str">
        <f t="shared" si="73"/>
        <v/>
      </c>
      <c r="AI1204" t="str">
        <f>IF(AH1204="","",MAX($AF$1:$AF1204))</f>
        <v/>
      </c>
      <c r="AJ1204" t="str">
        <f t="shared" si="74"/>
        <v>HIST</v>
      </c>
      <c r="AK1204">
        <f>IF(AJ1204="","",MAX($AF$1:$AF1204))</f>
        <v>24</v>
      </c>
      <c r="AL1204" t="str">
        <f t="shared" si="75"/>
        <v/>
      </c>
      <c r="AM1204" t="str">
        <f>IF(AL1204="","",MAX($AF$1:$AF1204))</f>
        <v/>
      </c>
    </row>
    <row r="1205" spans="1:39" ht="13.5" customHeight="1" x14ac:dyDescent="0.3">
      <c r="A1205" s="8" t="s">
        <v>222</v>
      </c>
      <c r="B1205" s="9"/>
      <c r="C1205" s="10">
        <v>10</v>
      </c>
      <c r="D1205" s="11"/>
      <c r="AB1205" t="str" cm="1">
        <f t="array" ref="AB1205:AC1205">_xlfn._xlws.FILTER(A1205:Z1205,A1205:Z1205&lt;&gt;"","")</f>
        <v>ICT</v>
      </c>
      <c r="AC1205">
        <v>10</v>
      </c>
      <c r="AD1205" t="str">
        <v/>
      </c>
      <c r="AE1205" t="str">
        <v/>
      </c>
      <c r="AF1205" t="str" cm="1">
        <f t="array" ref="AF1205">IF(AD1205="","",SUMPRODUCT(IF(LEFT($AD$1:AD1205,2)="JS",1,0)))</f>
        <v/>
      </c>
      <c r="AG1205" t="b">
        <f t="shared" si="72"/>
        <v>1</v>
      </c>
      <c r="AH1205" t="str">
        <f t="shared" si="73"/>
        <v>ICT</v>
      </c>
      <c r="AI1205">
        <f>IF(AH1205="","",MAX($AF$1:$AF1205))</f>
        <v>24</v>
      </c>
      <c r="AJ1205" t="str">
        <f t="shared" si="74"/>
        <v/>
      </c>
      <c r="AK1205" t="str">
        <f>IF(AJ1205="","",MAX($AF$1:$AF1205))</f>
        <v/>
      </c>
      <c r="AL1205" t="str">
        <f t="shared" si="75"/>
        <v/>
      </c>
      <c r="AM1205" t="str">
        <f>IF(AL1205="","",MAX($AF$1:$AF1205))</f>
        <v/>
      </c>
    </row>
    <row r="1206" spans="1:39" ht="13.5" customHeight="1" x14ac:dyDescent="0.3">
      <c r="A1206" s="8" t="s">
        <v>13</v>
      </c>
      <c r="B1206" s="9"/>
      <c r="C1206" s="10">
        <v>5</v>
      </c>
      <c r="D1206" s="11"/>
      <c r="AB1206" t="str" cm="1">
        <f t="array" ref="AB1206:AC1206">_xlfn._xlws.FILTER(A1206:Z1206,A1206:Z1206&lt;&gt;"","")</f>
        <v>Integrated Science</v>
      </c>
      <c r="AC1206">
        <v>5</v>
      </c>
      <c r="AD1206" t="str">
        <v/>
      </c>
      <c r="AE1206" t="str">
        <v/>
      </c>
      <c r="AF1206" t="str" cm="1">
        <f t="array" ref="AF1206">IF(AD1206="","",SUMPRODUCT(IF(LEFT($AD$1:AD1206,2)="JS",1,0)))</f>
        <v/>
      </c>
      <c r="AG1206" t="str">
        <f t="shared" si="72"/>
        <v/>
      </c>
      <c r="AH1206" t="str">
        <f t="shared" si="73"/>
        <v/>
      </c>
      <c r="AI1206" t="str">
        <f>IF(AH1206="","",MAX($AF$1:$AF1206))</f>
        <v/>
      </c>
      <c r="AJ1206" t="str">
        <f t="shared" si="74"/>
        <v/>
      </c>
      <c r="AK1206" t="str">
        <f>IF(AJ1206="","",MAX($AF$1:$AF1206))</f>
        <v/>
      </c>
      <c r="AL1206" t="str">
        <f t="shared" si="75"/>
        <v/>
      </c>
      <c r="AM1206" t="str">
        <f>IF(AL1206="","",MAX($AF$1:$AF1206))</f>
        <v/>
      </c>
    </row>
    <row r="1207" spans="1:39" ht="13.5" customHeight="1" x14ac:dyDescent="0.3">
      <c r="A1207" s="8" t="s">
        <v>223</v>
      </c>
      <c r="B1207" s="9"/>
      <c r="C1207" s="10">
        <v>10</v>
      </c>
      <c r="D1207" s="11"/>
      <c r="AB1207" t="str" cm="1">
        <f t="array" ref="AB1207:AC1207">_xlfn._xlws.FILTER(A1207:Z1207,A1207:Z1207&lt;&gt;"","")</f>
        <v>通</v>
      </c>
      <c r="AC1207">
        <v>10</v>
      </c>
      <c r="AD1207" t="str">
        <v/>
      </c>
      <c r="AE1207" t="str">
        <v/>
      </c>
      <c r="AF1207" t="str" cm="1">
        <f t="array" ref="AF1207">IF(AD1207="","",SUMPRODUCT(IF(LEFT($AD$1:AD1207,2)="JS",1,0)))</f>
        <v/>
      </c>
      <c r="AG1207" t="b">
        <f t="shared" si="72"/>
        <v>1</v>
      </c>
      <c r="AH1207" t="str">
        <f t="shared" si="73"/>
        <v>通</v>
      </c>
      <c r="AI1207">
        <f>IF(AH1207="","",MAX($AF$1:$AF1207))</f>
        <v>24</v>
      </c>
      <c r="AJ1207" t="str">
        <f t="shared" si="74"/>
        <v/>
      </c>
      <c r="AK1207" t="str">
        <f>IF(AJ1207="","",MAX($AF$1:$AF1207))</f>
        <v/>
      </c>
      <c r="AL1207" t="str">
        <f t="shared" si="75"/>
        <v/>
      </c>
      <c r="AM1207" t="str">
        <f>IF(AL1207="","",MAX($AF$1:$AF1207))</f>
        <v/>
      </c>
    </row>
    <row r="1208" spans="1:39" ht="13.5" customHeight="1" x14ac:dyDescent="0.3">
      <c r="A1208" s="8" t="s">
        <v>14</v>
      </c>
      <c r="B1208" s="9"/>
      <c r="C1208" s="10">
        <v>5</v>
      </c>
      <c r="D1208" s="11"/>
      <c r="AB1208" t="str" cm="1">
        <f t="array" ref="AB1208:AC1208">_xlfn._xlws.FILTER(A1208:Z1208,A1208:Z1208&lt;&gt;"","")</f>
        <v>Literature in English</v>
      </c>
      <c r="AC1208">
        <v>5</v>
      </c>
      <c r="AD1208" t="str">
        <v/>
      </c>
      <c r="AE1208" t="str">
        <v/>
      </c>
      <c r="AF1208" t="str" cm="1">
        <f t="array" ref="AF1208">IF(AD1208="","",SUMPRODUCT(IF(LEFT($AD$1:AD1208,2)="JS",1,0)))</f>
        <v/>
      </c>
      <c r="AG1208" t="str">
        <f t="shared" si="72"/>
        <v/>
      </c>
      <c r="AH1208" t="str">
        <f t="shared" si="73"/>
        <v/>
      </c>
      <c r="AI1208" t="str">
        <f>IF(AH1208="","",MAX($AF$1:$AF1208))</f>
        <v/>
      </c>
      <c r="AJ1208" t="str">
        <f t="shared" si="74"/>
        <v/>
      </c>
      <c r="AK1208" t="str">
        <f>IF(AJ1208="","",MAX($AF$1:$AF1208))</f>
        <v/>
      </c>
      <c r="AL1208" t="str">
        <f t="shared" si="75"/>
        <v/>
      </c>
      <c r="AM1208" t="str">
        <f>IF(AL1208="","",MAX($AF$1:$AF1208))</f>
        <v/>
      </c>
    </row>
    <row r="1209" spans="1:39" ht="13.5" customHeight="1" x14ac:dyDescent="0.3">
      <c r="A1209" s="8" t="s">
        <v>224</v>
      </c>
      <c r="B1209" s="9"/>
      <c r="C1209" s="10">
        <v>10</v>
      </c>
      <c r="D1209" s="11"/>
      <c r="AB1209" t="str" cm="1">
        <f t="array" ref="AB1209:AC1209">_xlfn._xlws.FILTER(A1209:Z1209,A1209:Z1209&lt;&gt;"","")</f>
        <v>MATH</v>
      </c>
      <c r="AC1209">
        <v>10</v>
      </c>
      <c r="AD1209" t="str">
        <v/>
      </c>
      <c r="AE1209" t="str">
        <v/>
      </c>
      <c r="AF1209" t="str" cm="1">
        <f t="array" ref="AF1209">IF(AD1209="","",SUMPRODUCT(IF(LEFT($AD$1:AD1209,2)="JS",1,0)))</f>
        <v/>
      </c>
      <c r="AG1209" t="b">
        <f t="shared" si="72"/>
        <v>1</v>
      </c>
      <c r="AH1209" t="str">
        <f t="shared" si="73"/>
        <v>MATH</v>
      </c>
      <c r="AI1209">
        <f>IF(AH1209="","",MAX($AF$1:$AF1209))</f>
        <v>24</v>
      </c>
      <c r="AJ1209" t="str">
        <f t="shared" si="74"/>
        <v/>
      </c>
      <c r="AK1209" t="str">
        <f>IF(AJ1209="","",MAX($AF$1:$AF1209))</f>
        <v/>
      </c>
      <c r="AL1209" t="str">
        <f t="shared" si="75"/>
        <v/>
      </c>
      <c r="AM1209" t="str">
        <f>IF(AL1209="","",MAX($AF$1:$AF1209))</f>
        <v/>
      </c>
    </row>
    <row r="1210" spans="1:39" ht="13.5" customHeight="1" x14ac:dyDescent="0.3">
      <c r="A1210" s="8" t="s">
        <v>225</v>
      </c>
      <c r="B1210" s="9"/>
      <c r="C1210" s="10">
        <v>5</v>
      </c>
      <c r="D1210" s="11"/>
      <c r="AB1210" t="str" cm="1">
        <f t="array" ref="AB1210:AC1210">_xlfn._xlws.FILTER(A1210:Z1210,A1210:Z1210&lt;&gt;"","")</f>
        <v>M2</v>
      </c>
      <c r="AC1210">
        <v>5</v>
      </c>
      <c r="AD1210" t="str">
        <v/>
      </c>
      <c r="AE1210" t="str">
        <v/>
      </c>
      <c r="AF1210" t="str" cm="1">
        <f t="array" ref="AF1210">IF(AD1210="","",SUMPRODUCT(IF(LEFT($AD$1:AD1210,2)="JS",1,0)))</f>
        <v/>
      </c>
      <c r="AG1210" t="b">
        <f t="shared" si="72"/>
        <v>1</v>
      </c>
      <c r="AH1210" t="str">
        <f t="shared" si="73"/>
        <v/>
      </c>
      <c r="AI1210" t="str">
        <f>IF(AH1210="","",MAX($AF$1:$AF1210))</f>
        <v/>
      </c>
      <c r="AJ1210" t="str">
        <f t="shared" si="74"/>
        <v/>
      </c>
      <c r="AK1210" t="str">
        <f>IF(AJ1210="","",MAX($AF$1:$AF1210))</f>
        <v/>
      </c>
      <c r="AL1210" t="str">
        <f t="shared" si="75"/>
        <v>M2</v>
      </c>
      <c r="AM1210">
        <f>IF(AL1210="","",MAX($AF$1:$AF1210))</f>
        <v>24</v>
      </c>
    </row>
    <row r="1211" spans="1:39" ht="13.5" customHeight="1" x14ac:dyDescent="0.3">
      <c r="A1211" s="8" t="s">
        <v>15</v>
      </c>
      <c r="B1211" s="9"/>
      <c r="C1211" s="10">
        <v>5</v>
      </c>
      <c r="D1211" s="11"/>
      <c r="AB1211" t="str" cm="1">
        <f t="array" ref="AB1211:AC1211">_xlfn._xlws.FILTER(A1211:Z1211,A1211:Z1211&lt;&gt;"","")</f>
        <v>Mathematics (Extended part - Calculus and Statistics)</v>
      </c>
      <c r="AC1211">
        <v>5</v>
      </c>
      <c r="AD1211" t="str">
        <v/>
      </c>
      <c r="AE1211" t="str">
        <v/>
      </c>
      <c r="AF1211" t="str" cm="1">
        <f t="array" ref="AF1211">IF(AD1211="","",SUMPRODUCT(IF(LEFT($AD$1:AD1211,2)="JS",1,0)))</f>
        <v/>
      </c>
      <c r="AG1211" t="str">
        <f t="shared" si="72"/>
        <v/>
      </c>
      <c r="AH1211" t="str">
        <f t="shared" si="73"/>
        <v/>
      </c>
      <c r="AI1211" t="str">
        <f>IF(AH1211="","",MAX($AF$1:$AF1211))</f>
        <v/>
      </c>
      <c r="AJ1211" t="str">
        <f t="shared" si="74"/>
        <v/>
      </c>
      <c r="AK1211" t="str">
        <f>IF(AJ1211="","",MAX($AF$1:$AF1211))</f>
        <v/>
      </c>
      <c r="AL1211" t="str">
        <f t="shared" si="75"/>
        <v/>
      </c>
      <c r="AM1211" t="str">
        <f>IF(AL1211="","",MAX($AF$1:$AF1211))</f>
        <v/>
      </c>
    </row>
    <row r="1212" spans="1:39" ht="13.5" customHeight="1" x14ac:dyDescent="0.3">
      <c r="A1212" s="8" t="s">
        <v>16</v>
      </c>
      <c r="B1212" s="9"/>
      <c r="C1212" s="10">
        <v>7</v>
      </c>
      <c r="D1212" s="11"/>
      <c r="AB1212" t="str" cm="1">
        <f t="array" ref="AB1212:AC1212">_xlfn._xlws.FILTER(A1212:Z1212,A1212:Z1212&lt;&gt;"","")</f>
        <v>Music</v>
      </c>
      <c r="AC1212">
        <v>7</v>
      </c>
      <c r="AD1212" t="str">
        <v/>
      </c>
      <c r="AE1212" t="str">
        <v/>
      </c>
      <c r="AF1212" t="str" cm="1">
        <f t="array" ref="AF1212">IF(AD1212="","",SUMPRODUCT(IF(LEFT($AD$1:AD1212,2)="JS",1,0)))</f>
        <v/>
      </c>
      <c r="AG1212" t="str">
        <f t="shared" si="72"/>
        <v/>
      </c>
      <c r="AH1212" t="str">
        <f t="shared" si="73"/>
        <v/>
      </c>
      <c r="AI1212" t="str">
        <f>IF(AH1212="","",MAX($AF$1:$AF1212))</f>
        <v/>
      </c>
      <c r="AJ1212" t="str">
        <f t="shared" si="74"/>
        <v/>
      </c>
      <c r="AK1212" t="str">
        <f>IF(AJ1212="","",MAX($AF$1:$AF1212))</f>
        <v/>
      </c>
      <c r="AL1212" t="str">
        <f t="shared" si="75"/>
        <v/>
      </c>
      <c r="AM1212" t="str">
        <f>IF(AL1212="","",MAX($AF$1:$AF1212))</f>
        <v/>
      </c>
    </row>
    <row r="1213" spans="1:39" ht="13.5" customHeight="1" x14ac:dyDescent="0.3">
      <c r="A1213" s="8" t="s">
        <v>17</v>
      </c>
      <c r="B1213" s="9"/>
      <c r="C1213" s="10">
        <v>5</v>
      </c>
      <c r="D1213" s="11"/>
      <c r="AB1213" t="str" cm="1">
        <f t="array" ref="AB1213:AC1213">_xlfn._xlws.FILTER(A1213:Z1213,A1213:Z1213&lt;&gt;"","")</f>
        <v>Physical Education</v>
      </c>
      <c r="AC1213">
        <v>5</v>
      </c>
      <c r="AD1213" t="str">
        <v/>
      </c>
      <c r="AE1213" t="str">
        <v/>
      </c>
      <c r="AF1213" t="str" cm="1">
        <f t="array" ref="AF1213">IF(AD1213="","",SUMPRODUCT(IF(LEFT($AD$1:AD1213,2)="JS",1,0)))</f>
        <v/>
      </c>
      <c r="AG1213" t="str">
        <f t="shared" si="72"/>
        <v/>
      </c>
      <c r="AH1213" t="str">
        <f t="shared" si="73"/>
        <v/>
      </c>
      <c r="AI1213" t="str">
        <f>IF(AH1213="","",MAX($AF$1:$AF1213))</f>
        <v/>
      </c>
      <c r="AJ1213" t="str">
        <f t="shared" si="74"/>
        <v/>
      </c>
      <c r="AK1213" t="str">
        <f>IF(AJ1213="","",MAX($AF$1:$AF1213))</f>
        <v/>
      </c>
      <c r="AL1213" t="str">
        <f t="shared" si="75"/>
        <v/>
      </c>
      <c r="AM1213" t="str">
        <f>IF(AL1213="","",MAX($AF$1:$AF1213))</f>
        <v/>
      </c>
    </row>
    <row r="1214" spans="1:39" ht="13.5" customHeight="1" x14ac:dyDescent="0.3">
      <c r="A1214" s="8" t="s">
        <v>226</v>
      </c>
      <c r="B1214" s="9"/>
      <c r="C1214" s="10">
        <v>5</v>
      </c>
      <c r="D1214" s="11"/>
      <c r="AB1214" t="str" cm="1">
        <f t="array" ref="AB1214:AC1214">_xlfn._xlws.FILTER(A1214:Z1214,A1214:Z1214&lt;&gt;"","")</f>
        <v>PHY</v>
      </c>
      <c r="AC1214">
        <v>5</v>
      </c>
      <c r="AD1214" t="str">
        <v/>
      </c>
      <c r="AE1214" t="str">
        <v/>
      </c>
      <c r="AF1214" t="str" cm="1">
        <f t="array" ref="AF1214">IF(AD1214="","",SUMPRODUCT(IF(LEFT($AD$1:AD1214,2)="JS",1,0)))</f>
        <v/>
      </c>
      <c r="AG1214" t="b">
        <f t="shared" si="72"/>
        <v>1</v>
      </c>
      <c r="AH1214" t="str">
        <f t="shared" si="73"/>
        <v/>
      </c>
      <c r="AI1214" t="str">
        <f>IF(AH1214="","",MAX($AF$1:$AF1214))</f>
        <v/>
      </c>
      <c r="AJ1214" t="str">
        <f t="shared" si="74"/>
        <v/>
      </c>
      <c r="AK1214" t="str">
        <f>IF(AJ1214="","",MAX($AF$1:$AF1214))</f>
        <v/>
      </c>
      <c r="AL1214" t="str">
        <f t="shared" si="75"/>
        <v>PHY</v>
      </c>
      <c r="AM1214">
        <f>IF(AL1214="","",MAX($AF$1:$AF1214))</f>
        <v>24</v>
      </c>
    </row>
    <row r="1215" spans="1:39" ht="13.5" customHeight="1" x14ac:dyDescent="0.3">
      <c r="A1215" s="8" t="s">
        <v>18</v>
      </c>
      <c r="B1215" s="9"/>
      <c r="C1215" s="10">
        <v>7</v>
      </c>
      <c r="D1215" s="11"/>
      <c r="AB1215" t="str" cm="1">
        <f t="array" ref="AB1215:AC1215">_xlfn._xlws.FILTER(A1215:Z1215,A1215:Z1215&lt;&gt;"","")</f>
        <v>Technology and Living (Fashion, Clothing and Textiles)</v>
      </c>
      <c r="AC1215">
        <v>7</v>
      </c>
      <c r="AD1215" t="str">
        <v/>
      </c>
      <c r="AE1215" t="str">
        <v/>
      </c>
      <c r="AF1215" t="str" cm="1">
        <f t="array" ref="AF1215">IF(AD1215="","",SUMPRODUCT(IF(LEFT($AD$1:AD1215,2)="JS",1,0)))</f>
        <v/>
      </c>
      <c r="AG1215" t="str">
        <f t="shared" si="72"/>
        <v/>
      </c>
      <c r="AH1215" t="str">
        <f t="shared" si="73"/>
        <v/>
      </c>
      <c r="AI1215" t="str">
        <f>IF(AH1215="","",MAX($AF$1:$AF1215))</f>
        <v/>
      </c>
      <c r="AJ1215" t="str">
        <f t="shared" si="74"/>
        <v/>
      </c>
      <c r="AK1215" t="str">
        <f>IF(AJ1215="","",MAX($AF$1:$AF1215))</f>
        <v/>
      </c>
      <c r="AL1215" t="str">
        <f t="shared" si="75"/>
        <v/>
      </c>
      <c r="AM1215" t="str">
        <f>IF(AL1215="","",MAX($AF$1:$AF1215))</f>
        <v/>
      </c>
    </row>
    <row r="1216" spans="1:39" ht="13.5" customHeight="1" x14ac:dyDescent="0.3">
      <c r="A1216" s="8" t="s">
        <v>19</v>
      </c>
      <c r="B1216" s="9"/>
      <c r="C1216" s="10">
        <v>7</v>
      </c>
      <c r="D1216" s="11"/>
      <c r="AB1216" t="str" cm="1">
        <f t="array" ref="AB1216:AC1216">_xlfn._xlws.FILTER(A1216:Z1216,A1216:Z1216&lt;&gt;"","")</f>
        <v>Technology and Living (Food Science and Technology)</v>
      </c>
      <c r="AC1216">
        <v>7</v>
      </c>
      <c r="AD1216" t="str">
        <v/>
      </c>
      <c r="AE1216" t="str">
        <v/>
      </c>
      <c r="AF1216" t="str" cm="1">
        <f t="array" ref="AF1216">IF(AD1216="","",SUMPRODUCT(IF(LEFT($AD$1:AD1216,2)="JS",1,0)))</f>
        <v/>
      </c>
      <c r="AG1216" t="str">
        <f t="shared" si="72"/>
        <v/>
      </c>
      <c r="AH1216" t="str">
        <f t="shared" si="73"/>
        <v/>
      </c>
      <c r="AI1216" t="str">
        <f>IF(AH1216="","",MAX($AF$1:$AF1216))</f>
        <v/>
      </c>
      <c r="AJ1216" t="str">
        <f t="shared" si="74"/>
        <v/>
      </c>
      <c r="AK1216" t="str">
        <f>IF(AJ1216="","",MAX($AF$1:$AF1216))</f>
        <v/>
      </c>
      <c r="AL1216" t="str">
        <f t="shared" si="75"/>
        <v/>
      </c>
      <c r="AM1216" t="str">
        <f>IF(AL1216="","",MAX($AF$1:$AF1216))</f>
        <v/>
      </c>
    </row>
    <row r="1217" spans="1:39" ht="13.5" customHeight="1" x14ac:dyDescent="0.3">
      <c r="A1217" s="8" t="s">
        <v>20</v>
      </c>
      <c r="B1217" s="9"/>
      <c r="C1217" s="10">
        <v>7</v>
      </c>
      <c r="D1217" s="11"/>
      <c r="AB1217" t="str" cm="1">
        <f t="array" ref="AB1217:AC1217">_xlfn._xlws.FILTER(A1217:Z1217,A1217:Z1217&lt;&gt;"","")</f>
        <v>Tourism and Hospitality Studies</v>
      </c>
      <c r="AC1217">
        <v>7</v>
      </c>
      <c r="AD1217" t="str">
        <v/>
      </c>
      <c r="AE1217" t="str">
        <v/>
      </c>
      <c r="AF1217" t="str" cm="1">
        <f t="array" ref="AF1217">IF(AD1217="","",SUMPRODUCT(IF(LEFT($AD$1:AD1217,2)="JS",1,0)))</f>
        <v/>
      </c>
      <c r="AG1217" t="str">
        <f t="shared" ref="AG1217:AG1280" si="76">IF(ISNUMBER(MATCH(AB1217,$AV$3:$AV$18,0)),TRUE,"")</f>
        <v/>
      </c>
      <c r="AH1217" t="str">
        <f t="shared" si="73"/>
        <v/>
      </c>
      <c r="AI1217" t="str">
        <f>IF(AH1217="","",MAX($AF$1:$AF1217))</f>
        <v/>
      </c>
      <c r="AJ1217" t="str">
        <f t="shared" si="74"/>
        <v/>
      </c>
      <c r="AK1217" t="str">
        <f>IF(AJ1217="","",MAX($AF$1:$AF1217))</f>
        <v/>
      </c>
      <c r="AL1217" t="str">
        <f t="shared" si="75"/>
        <v/>
      </c>
      <c r="AM1217" t="str">
        <f>IF(AL1217="","",MAX($AF$1:$AF1217))</f>
        <v/>
      </c>
    </row>
    <row r="1218" spans="1:39" ht="13.5" customHeight="1" x14ac:dyDescent="0.3">
      <c r="A1218" s="8" t="s">
        <v>210</v>
      </c>
      <c r="B1218" s="9"/>
      <c r="C1218" s="10">
        <v>10</v>
      </c>
      <c r="D1218" s="11"/>
      <c r="AB1218" t="str" cm="1">
        <f t="array" ref="AB1218:AC1218">_xlfn._xlws.FILTER(A1218:Z1218,A1218:Z1218&lt;&gt;"","")</f>
        <v>VA</v>
      </c>
      <c r="AC1218">
        <v>10</v>
      </c>
      <c r="AD1218" t="str">
        <v/>
      </c>
      <c r="AE1218" t="str">
        <v/>
      </c>
      <c r="AF1218" t="str" cm="1">
        <f t="array" ref="AF1218">IF(AD1218="","",SUMPRODUCT(IF(LEFT($AD$1:AD1218,2)="JS",1,0)))</f>
        <v/>
      </c>
      <c r="AG1218" t="b">
        <f t="shared" si="76"/>
        <v>1</v>
      </c>
      <c r="AH1218" t="str">
        <f t="shared" ref="AH1218:AH1281" si="77">IF(AND(AC1218=10,AG1218=TRUE),AB1218,"")</f>
        <v>VA</v>
      </c>
      <c r="AI1218">
        <f>IF(AH1218="","",MAX($AF$1:$AF1218))</f>
        <v>24</v>
      </c>
      <c r="AJ1218" t="str">
        <f t="shared" ref="AJ1218:AJ1281" si="78">IF(AND(AC1218=7,AG1218=TRUE),AB1218,"")</f>
        <v/>
      </c>
      <c r="AK1218" t="str">
        <f>IF(AJ1218="","",MAX($AF$1:$AF1218))</f>
        <v/>
      </c>
      <c r="AL1218" t="str">
        <f t="shared" ref="AL1218:AL1281" si="79">IF(AND(AC1218=5,AG1218=TRUE),AB1218,"")</f>
        <v/>
      </c>
      <c r="AM1218" t="str">
        <f>IF(AL1218="","",MAX($AF$1:$AF1218))</f>
        <v/>
      </c>
    </row>
    <row r="1219" spans="1:39" ht="14.5" customHeight="1" x14ac:dyDescent="0.3">
      <c r="A1219" s="12"/>
      <c r="B1219" s="12"/>
      <c r="C1219" s="2"/>
      <c r="D1219" s="2"/>
      <c r="AB1219" t="str" cm="1">
        <f t="array" ref="AB1219">_xlfn._xlws.FILTER(A1219:Z1219,A1219:Z1219&lt;&gt;"","")</f>
        <v/>
      </c>
      <c r="AD1219" t="str">
        <v/>
      </c>
      <c r="AE1219" t="str">
        <v/>
      </c>
      <c r="AF1219" t="str" cm="1">
        <f t="array" ref="AF1219">IF(AD1219="","",SUMPRODUCT(IF(LEFT($AD$1:AD1219,2)="JS",1,0)))</f>
        <v/>
      </c>
      <c r="AG1219" t="str">
        <f t="shared" si="76"/>
        <v/>
      </c>
      <c r="AH1219" t="str">
        <f t="shared" si="77"/>
        <v/>
      </c>
      <c r="AI1219" t="str">
        <f>IF(AH1219="","",MAX($AF$1:$AF1219))</f>
        <v/>
      </c>
      <c r="AJ1219" t="str">
        <f t="shared" si="78"/>
        <v/>
      </c>
      <c r="AK1219" t="str">
        <f>IF(AJ1219="","",MAX($AF$1:$AF1219))</f>
        <v/>
      </c>
      <c r="AL1219" t="str">
        <f t="shared" si="79"/>
        <v/>
      </c>
      <c r="AM1219" t="str">
        <f>IF(AL1219="","",MAX($AF$1:$AF1219))</f>
        <v/>
      </c>
    </row>
    <row r="1220" spans="1:39" ht="13.5" customHeight="1" x14ac:dyDescent="0.3">
      <c r="A1220" s="13" t="s">
        <v>21</v>
      </c>
      <c r="B1220" s="13"/>
      <c r="C1220" s="13"/>
      <c r="D1220" s="13"/>
      <c r="AB1220" t="str" cm="1">
        <f t="array" ref="AB1220">_xlfn._xlws.FILTER(A1220:Z1220,A1220:Z1220&lt;&gt;"","")</f>
        <v>Category B: Applied Learning Subjects</v>
      </c>
      <c r="AD1220" t="str">
        <v/>
      </c>
      <c r="AE1220" t="str">
        <v/>
      </c>
      <c r="AF1220" t="str" cm="1">
        <f t="array" ref="AF1220">IF(AD1220="","",SUMPRODUCT(IF(LEFT($AD$1:AD1220,2)="JS",1,0)))</f>
        <v/>
      </c>
      <c r="AG1220" t="str">
        <f t="shared" si="76"/>
        <v/>
      </c>
      <c r="AH1220" t="str">
        <f t="shared" si="77"/>
        <v/>
      </c>
      <c r="AI1220" t="str">
        <f>IF(AH1220="","",MAX($AF$1:$AF1220))</f>
        <v/>
      </c>
      <c r="AJ1220" t="str">
        <f t="shared" si="78"/>
        <v/>
      </c>
      <c r="AK1220" t="str">
        <f>IF(AJ1220="","",MAX($AF$1:$AF1220))</f>
        <v/>
      </c>
      <c r="AL1220" t="str">
        <f t="shared" si="79"/>
        <v/>
      </c>
      <c r="AM1220" t="str">
        <f>IF(AL1220="","",MAX($AF$1:$AF1220))</f>
        <v/>
      </c>
    </row>
    <row r="1221" spans="1:39" ht="13.5" customHeight="1" x14ac:dyDescent="0.3">
      <c r="A1221" s="14" t="s">
        <v>3</v>
      </c>
      <c r="B1221" s="15"/>
      <c r="C1221" s="16" t="s">
        <v>4</v>
      </c>
      <c r="D1221" s="17"/>
      <c r="AB1221" t="str" cm="1">
        <f t="array" ref="AB1221:AC1221">_xlfn._xlws.FILTER(A1221:Z1221,A1221:Z1221&lt;&gt;"","")</f>
        <v>Subject Name</v>
      </c>
      <c r="AC1221" t="str">
        <v>Subject Weighting for 2023/24 Admission Exercise *</v>
      </c>
      <c r="AD1221" t="str">
        <v/>
      </c>
      <c r="AE1221" t="str">
        <v/>
      </c>
      <c r="AF1221" t="str" cm="1">
        <f t="array" ref="AF1221">IF(AD1221="","",SUMPRODUCT(IF(LEFT($AD$1:AD1221,2)="JS",1,0)))</f>
        <v/>
      </c>
      <c r="AG1221" t="str">
        <f t="shared" si="76"/>
        <v/>
      </c>
      <c r="AH1221" t="str">
        <f t="shared" si="77"/>
        <v/>
      </c>
      <c r="AI1221" t="str">
        <f>IF(AH1221="","",MAX($AF$1:$AF1221))</f>
        <v/>
      </c>
      <c r="AJ1221" t="str">
        <f t="shared" si="78"/>
        <v/>
      </c>
      <c r="AK1221" t="str">
        <f>IF(AJ1221="","",MAX($AF$1:$AF1221))</f>
        <v/>
      </c>
      <c r="AL1221" t="str">
        <f t="shared" si="79"/>
        <v/>
      </c>
      <c r="AM1221" t="str">
        <f>IF(AL1221="","",MAX($AF$1:$AF1221))</f>
        <v/>
      </c>
    </row>
    <row r="1222" spans="1:39" ht="13.5" customHeight="1" x14ac:dyDescent="0.3">
      <c r="A1222" s="8" t="s">
        <v>48</v>
      </c>
      <c r="B1222" s="9"/>
      <c r="C1222" s="10">
        <v>7</v>
      </c>
      <c r="D1222" s="11"/>
      <c r="AB1222" t="str" cm="1">
        <f t="array" ref="AB1222:AC1222">_xlfn._xlws.FILTER(A1222:Z1222,A1222:Z1222&lt;&gt;"","")</f>
        <v>Applied Business Research</v>
      </c>
      <c r="AC1222">
        <v>7</v>
      </c>
      <c r="AD1222" t="str">
        <v/>
      </c>
      <c r="AE1222" t="str">
        <v/>
      </c>
      <c r="AF1222" t="str" cm="1">
        <f t="array" ref="AF1222">IF(AD1222="","",SUMPRODUCT(IF(LEFT($AD$1:AD1222,2)="JS",1,0)))</f>
        <v/>
      </c>
      <c r="AG1222" t="str">
        <f t="shared" si="76"/>
        <v/>
      </c>
      <c r="AH1222" t="str">
        <f t="shared" si="77"/>
        <v/>
      </c>
      <c r="AI1222" t="str">
        <f>IF(AH1222="","",MAX($AF$1:$AF1222))</f>
        <v/>
      </c>
      <c r="AJ1222" t="str">
        <f t="shared" si="78"/>
        <v/>
      </c>
      <c r="AK1222" t="str">
        <f>IF(AJ1222="","",MAX($AF$1:$AF1222))</f>
        <v/>
      </c>
      <c r="AL1222" t="str">
        <f t="shared" si="79"/>
        <v/>
      </c>
      <c r="AM1222" t="str">
        <f>IF(AL1222="","",MAX($AF$1:$AF1222))</f>
        <v/>
      </c>
    </row>
    <row r="1223" spans="1:39" ht="13.5" customHeight="1" x14ac:dyDescent="0.3">
      <c r="A1223" s="8" t="s">
        <v>49</v>
      </c>
      <c r="B1223" s="9"/>
      <c r="C1223" s="10">
        <v>5</v>
      </c>
      <c r="D1223" s="11"/>
      <c r="AB1223" t="str" cm="1">
        <f t="array" ref="AB1223:AC1223">_xlfn._xlws.FILTER(A1223:Z1223,A1223:Z1223&lt;&gt;"","")</f>
        <v>Applied Psychology</v>
      </c>
      <c r="AC1223">
        <v>5</v>
      </c>
      <c r="AD1223" t="str">
        <v/>
      </c>
      <c r="AE1223" t="str">
        <v/>
      </c>
      <c r="AF1223" t="str" cm="1">
        <f t="array" ref="AF1223">IF(AD1223="","",SUMPRODUCT(IF(LEFT($AD$1:AD1223,2)="JS",1,0)))</f>
        <v/>
      </c>
      <c r="AG1223" t="str">
        <f t="shared" si="76"/>
        <v/>
      </c>
      <c r="AH1223" t="str">
        <f t="shared" si="77"/>
        <v/>
      </c>
      <c r="AI1223" t="str">
        <f>IF(AH1223="","",MAX($AF$1:$AF1223))</f>
        <v/>
      </c>
      <c r="AJ1223" t="str">
        <f t="shared" si="78"/>
        <v/>
      </c>
      <c r="AK1223" t="str">
        <f>IF(AJ1223="","",MAX($AF$1:$AF1223))</f>
        <v/>
      </c>
      <c r="AL1223" t="str">
        <f t="shared" si="79"/>
        <v/>
      </c>
      <c r="AM1223" t="str">
        <f>IF(AL1223="","",MAX($AF$1:$AF1223))</f>
        <v/>
      </c>
    </row>
    <row r="1224" spans="1:39" ht="13.5" customHeight="1" x14ac:dyDescent="0.3">
      <c r="A1224" s="8" t="s">
        <v>180</v>
      </c>
      <c r="B1224" s="9"/>
      <c r="C1224" s="10">
        <v>5</v>
      </c>
      <c r="D1224" s="11"/>
      <c r="AB1224" t="str" cm="1">
        <f t="array" ref="AB1224:AC1224">_xlfn._xlws.FILTER(A1224:Z1224,A1224:Z1224&lt;&gt;"","")</f>
        <v>Building Technology</v>
      </c>
      <c r="AC1224">
        <v>5</v>
      </c>
      <c r="AD1224" t="str">
        <v/>
      </c>
      <c r="AE1224" t="str">
        <v/>
      </c>
      <c r="AF1224" t="str" cm="1">
        <f t="array" ref="AF1224">IF(AD1224="","",SUMPRODUCT(IF(LEFT($AD$1:AD1224,2)="JS",1,0)))</f>
        <v/>
      </c>
      <c r="AG1224" t="str">
        <f t="shared" si="76"/>
        <v/>
      </c>
      <c r="AH1224" t="str">
        <f t="shared" si="77"/>
        <v/>
      </c>
      <c r="AI1224" t="str">
        <f>IF(AH1224="","",MAX($AF$1:$AF1224))</f>
        <v/>
      </c>
      <c r="AJ1224" t="str">
        <f t="shared" si="78"/>
        <v/>
      </c>
      <c r="AK1224" t="str">
        <f>IF(AJ1224="","",MAX($AF$1:$AF1224))</f>
        <v/>
      </c>
      <c r="AL1224" t="str">
        <f t="shared" si="79"/>
        <v/>
      </c>
      <c r="AM1224" t="str">
        <f>IF(AL1224="","",MAX($AF$1:$AF1224))</f>
        <v/>
      </c>
    </row>
    <row r="1225" spans="1:39" ht="13.5" customHeight="1" x14ac:dyDescent="0.3">
      <c r="A1225" s="8" t="s">
        <v>181</v>
      </c>
      <c r="B1225" s="9"/>
      <c r="C1225" s="10">
        <v>7</v>
      </c>
      <c r="D1225" s="11"/>
      <c r="AB1225" t="str" cm="1">
        <f t="array" ref="AB1225:AC1225">_xlfn._xlws.FILTER(A1225:Z1225,A1225:Z1225&lt;&gt;"","")</f>
        <v>Commercial Comic Art</v>
      </c>
      <c r="AC1225">
        <v>7</v>
      </c>
      <c r="AD1225" t="str">
        <v/>
      </c>
      <c r="AE1225" t="str">
        <v/>
      </c>
      <c r="AF1225" t="str" cm="1">
        <f t="array" ref="AF1225">IF(AD1225="","",SUMPRODUCT(IF(LEFT($AD$1:AD1225,2)="JS",1,0)))</f>
        <v/>
      </c>
      <c r="AG1225" t="str">
        <f t="shared" si="76"/>
        <v/>
      </c>
      <c r="AH1225" t="str">
        <f t="shared" si="77"/>
        <v/>
      </c>
      <c r="AI1225" t="str">
        <f>IF(AH1225="","",MAX($AF$1:$AF1225))</f>
        <v/>
      </c>
      <c r="AJ1225" t="str">
        <f t="shared" si="78"/>
        <v/>
      </c>
      <c r="AK1225" t="str">
        <f>IF(AJ1225="","",MAX($AF$1:$AF1225))</f>
        <v/>
      </c>
      <c r="AL1225" t="str">
        <f t="shared" si="79"/>
        <v/>
      </c>
      <c r="AM1225" t="str">
        <f>IF(AL1225="","",MAX($AF$1:$AF1225))</f>
        <v/>
      </c>
    </row>
    <row r="1226" spans="1:39" ht="13.5" customHeight="1" x14ac:dyDescent="0.3">
      <c r="A1226" s="8" t="s">
        <v>50</v>
      </c>
      <c r="B1226" s="9"/>
      <c r="C1226" s="10">
        <v>7</v>
      </c>
      <c r="D1226" s="11"/>
      <c r="AB1226" t="str" cm="1">
        <f t="array" ref="AB1226:AC1226">_xlfn._xlws.FILTER(A1226:Z1226,A1226:Z1226&lt;&gt;"","")</f>
        <v>Computer Game and Animation Design</v>
      </c>
      <c r="AC1226">
        <v>7</v>
      </c>
      <c r="AD1226" t="str">
        <v/>
      </c>
      <c r="AE1226" t="str">
        <v/>
      </c>
      <c r="AF1226" t="str" cm="1">
        <f t="array" ref="AF1226">IF(AD1226="","",SUMPRODUCT(IF(LEFT($AD$1:AD1226,2)="JS",1,0)))</f>
        <v/>
      </c>
      <c r="AG1226" t="str">
        <f t="shared" si="76"/>
        <v/>
      </c>
      <c r="AH1226" t="str">
        <f t="shared" si="77"/>
        <v/>
      </c>
      <c r="AI1226" t="str">
        <f>IF(AH1226="","",MAX($AF$1:$AF1226))</f>
        <v/>
      </c>
      <c r="AJ1226" t="str">
        <f t="shared" si="78"/>
        <v/>
      </c>
      <c r="AK1226" t="str">
        <f>IF(AJ1226="","",MAX($AF$1:$AF1226))</f>
        <v/>
      </c>
      <c r="AL1226" t="str">
        <f t="shared" si="79"/>
        <v/>
      </c>
      <c r="AM1226" t="str">
        <f>IF(AL1226="","",MAX($AF$1:$AF1226))</f>
        <v/>
      </c>
    </row>
    <row r="1227" spans="1:39" ht="13.5" customHeight="1" x14ac:dyDescent="0.3">
      <c r="A1227" s="8" t="s">
        <v>51</v>
      </c>
      <c r="B1227" s="9"/>
      <c r="C1227" s="10">
        <v>10</v>
      </c>
      <c r="D1227" s="11"/>
      <c r="AB1227" t="str" cm="1">
        <f t="array" ref="AB1227:AC1227">_xlfn._xlws.FILTER(A1227:Z1227,A1227:Z1227&lt;&gt;"","")</f>
        <v>Creative Advertising</v>
      </c>
      <c r="AC1227">
        <v>10</v>
      </c>
      <c r="AD1227" t="str">
        <v/>
      </c>
      <c r="AE1227" t="str">
        <v/>
      </c>
      <c r="AF1227" t="str" cm="1">
        <f t="array" ref="AF1227">IF(AD1227="","",SUMPRODUCT(IF(LEFT($AD$1:AD1227,2)="JS",1,0)))</f>
        <v/>
      </c>
      <c r="AG1227" t="str">
        <f t="shared" si="76"/>
        <v/>
      </c>
      <c r="AH1227" t="str">
        <f t="shared" si="77"/>
        <v/>
      </c>
      <c r="AI1227" t="str">
        <f>IF(AH1227="","",MAX($AF$1:$AF1227))</f>
        <v/>
      </c>
      <c r="AJ1227" t="str">
        <f t="shared" si="78"/>
        <v/>
      </c>
      <c r="AK1227" t="str">
        <f>IF(AJ1227="","",MAX($AF$1:$AF1227))</f>
        <v/>
      </c>
      <c r="AL1227" t="str">
        <f t="shared" si="79"/>
        <v/>
      </c>
      <c r="AM1227" t="str">
        <f>IF(AL1227="","",MAX($AF$1:$AF1227))</f>
        <v/>
      </c>
    </row>
    <row r="1228" spans="1:39" ht="13.5" customHeight="1" x14ac:dyDescent="0.3">
      <c r="A1228" s="8" t="s">
        <v>52</v>
      </c>
      <c r="B1228" s="9"/>
      <c r="C1228" s="10">
        <v>7</v>
      </c>
      <c r="D1228" s="11"/>
      <c r="AB1228" t="str" cm="1">
        <f t="array" ref="AB1228:AC1228">_xlfn._xlws.FILTER(A1228:Z1228,A1228:Z1228&lt;&gt;"","")</f>
        <v>Data Application for Business</v>
      </c>
      <c r="AC1228">
        <v>7</v>
      </c>
      <c r="AD1228" t="str">
        <v/>
      </c>
      <c r="AE1228" t="str">
        <v/>
      </c>
      <c r="AF1228" t="str" cm="1">
        <f t="array" ref="AF1228">IF(AD1228="","",SUMPRODUCT(IF(LEFT($AD$1:AD1228,2)="JS",1,0)))</f>
        <v/>
      </c>
      <c r="AG1228" t="str">
        <f t="shared" si="76"/>
        <v/>
      </c>
      <c r="AH1228" t="str">
        <f t="shared" si="77"/>
        <v/>
      </c>
      <c r="AI1228" t="str">
        <f>IF(AH1228="","",MAX($AF$1:$AF1228))</f>
        <v/>
      </c>
      <c r="AJ1228" t="str">
        <f t="shared" si="78"/>
        <v/>
      </c>
      <c r="AK1228" t="str">
        <f>IF(AJ1228="","",MAX($AF$1:$AF1228))</f>
        <v/>
      </c>
      <c r="AL1228" t="str">
        <f t="shared" si="79"/>
        <v/>
      </c>
      <c r="AM1228" t="str">
        <f>IF(AL1228="","",MAX($AF$1:$AF1228))</f>
        <v/>
      </c>
    </row>
    <row r="1229" spans="1:39" ht="13.5" customHeight="1" x14ac:dyDescent="0.3">
      <c r="A1229" s="8" t="s">
        <v>54</v>
      </c>
      <c r="B1229" s="9"/>
      <c r="C1229" s="10">
        <v>7</v>
      </c>
      <c r="D1229" s="11"/>
      <c r="AB1229" t="str" cm="1">
        <f t="array" ref="AB1229:AC1229">_xlfn._xlws.FILTER(A1229:Z1229,A1229:Z1229&lt;&gt;"","")</f>
        <v>Display and Jewellery Design</v>
      </c>
      <c r="AC1229">
        <v>7</v>
      </c>
      <c r="AD1229" t="str">
        <v/>
      </c>
      <c r="AE1229" t="str">
        <v/>
      </c>
      <c r="AF1229" t="str" cm="1">
        <f t="array" ref="AF1229">IF(AD1229="","",SUMPRODUCT(IF(LEFT($AD$1:AD1229,2)="JS",1,0)))</f>
        <v/>
      </c>
      <c r="AG1229" t="str">
        <f t="shared" si="76"/>
        <v/>
      </c>
      <c r="AH1229" t="str">
        <f t="shared" si="77"/>
        <v/>
      </c>
      <c r="AI1229" t="str">
        <f>IF(AH1229="","",MAX($AF$1:$AF1229))</f>
        <v/>
      </c>
      <c r="AJ1229" t="str">
        <f t="shared" si="78"/>
        <v/>
      </c>
      <c r="AK1229" t="str">
        <f>IF(AJ1229="","",MAX($AF$1:$AF1229))</f>
        <v/>
      </c>
      <c r="AL1229" t="str">
        <f t="shared" si="79"/>
        <v/>
      </c>
      <c r="AM1229" t="str">
        <f>IF(AL1229="","",MAX($AF$1:$AF1229))</f>
        <v/>
      </c>
    </row>
    <row r="1230" spans="1:39" ht="13.5" customHeight="1" x14ac:dyDescent="0.3">
      <c r="A1230" s="8" t="s">
        <v>110</v>
      </c>
      <c r="B1230" s="9"/>
      <c r="C1230" s="10">
        <v>7</v>
      </c>
      <c r="D1230" s="11"/>
      <c r="AB1230" t="str" cm="1">
        <f t="array" ref="AB1230:AC1230">_xlfn._xlws.FILTER(A1230:Z1230,A1230:Z1230&lt;&gt;"","")</f>
        <v>Electronic Product Design in Action</v>
      </c>
      <c r="AC1230">
        <v>7</v>
      </c>
      <c r="AD1230" t="str">
        <v/>
      </c>
      <c r="AE1230" t="str">
        <v/>
      </c>
      <c r="AF1230" t="str" cm="1">
        <f t="array" ref="AF1230">IF(AD1230="","",SUMPRODUCT(IF(LEFT($AD$1:AD1230,2)="JS",1,0)))</f>
        <v/>
      </c>
      <c r="AG1230" t="str">
        <f t="shared" si="76"/>
        <v/>
      </c>
      <c r="AH1230" t="str">
        <f t="shared" si="77"/>
        <v/>
      </c>
      <c r="AI1230" t="str">
        <f>IF(AH1230="","",MAX($AF$1:$AF1230))</f>
        <v/>
      </c>
      <c r="AJ1230" t="str">
        <f t="shared" si="78"/>
        <v/>
      </c>
      <c r="AK1230" t="str">
        <f>IF(AJ1230="","",MAX($AF$1:$AF1230))</f>
        <v/>
      </c>
      <c r="AL1230" t="str">
        <f t="shared" si="79"/>
        <v/>
      </c>
      <c r="AM1230" t="str">
        <f>IF(AL1230="","",MAX($AF$1:$AF1230))</f>
        <v/>
      </c>
    </row>
    <row r="1231" spans="1:39" ht="13.5" customHeight="1" x14ac:dyDescent="0.3">
      <c r="A1231" s="8" t="s">
        <v>55</v>
      </c>
      <c r="B1231" s="9"/>
      <c r="C1231" s="10">
        <v>7</v>
      </c>
      <c r="D1231" s="11"/>
      <c r="AB1231" t="str" cm="1">
        <f t="array" ref="AB1231:AC1231">_xlfn._xlws.FILTER(A1231:Z1231,A1231:Z1231&lt;&gt;"","")</f>
        <v>Entrepreneurship for SME</v>
      </c>
      <c r="AC1231">
        <v>7</v>
      </c>
      <c r="AD1231" t="str">
        <v/>
      </c>
      <c r="AE1231" t="str">
        <v/>
      </c>
      <c r="AF1231" t="str" cm="1">
        <f t="array" ref="AF1231">IF(AD1231="","",SUMPRODUCT(IF(LEFT($AD$1:AD1231,2)="JS",1,0)))</f>
        <v/>
      </c>
      <c r="AG1231" t="str">
        <f t="shared" si="76"/>
        <v/>
      </c>
      <c r="AH1231" t="str">
        <f t="shared" si="77"/>
        <v/>
      </c>
      <c r="AI1231" t="str">
        <f>IF(AH1231="","",MAX($AF$1:$AF1231))</f>
        <v/>
      </c>
      <c r="AJ1231" t="str">
        <f t="shared" si="78"/>
        <v/>
      </c>
      <c r="AK1231" t="str">
        <f>IF(AJ1231="","",MAX($AF$1:$AF1231))</f>
        <v/>
      </c>
      <c r="AL1231" t="str">
        <f t="shared" si="79"/>
        <v/>
      </c>
      <c r="AM1231" t="str">
        <f>IF(AL1231="","",MAX($AF$1:$AF1231))</f>
        <v/>
      </c>
    </row>
    <row r="1232" spans="1:39" ht="13.5" customHeight="1" x14ac:dyDescent="0.3">
      <c r="A1232" s="8" t="s">
        <v>24</v>
      </c>
      <c r="B1232" s="9"/>
      <c r="C1232" s="10">
        <v>7</v>
      </c>
      <c r="D1232" s="11"/>
      <c r="AB1232" t="str" cm="1">
        <f t="array" ref="AB1232:AC1232">_xlfn._xlws.FILTER(A1232:Z1232,A1232:Z1232&lt;&gt;"","")</f>
        <v>Environmental Engineering</v>
      </c>
      <c r="AC1232">
        <v>7</v>
      </c>
      <c r="AD1232" t="str">
        <v/>
      </c>
      <c r="AE1232" t="str">
        <v/>
      </c>
      <c r="AF1232" t="str" cm="1">
        <f t="array" ref="AF1232">IF(AD1232="","",SUMPRODUCT(IF(LEFT($AD$1:AD1232,2)="JS",1,0)))</f>
        <v/>
      </c>
      <c r="AG1232" t="str">
        <f t="shared" si="76"/>
        <v/>
      </c>
      <c r="AH1232" t="str">
        <f t="shared" si="77"/>
        <v/>
      </c>
      <c r="AI1232" t="str">
        <f>IF(AH1232="","",MAX($AF$1:$AF1232))</f>
        <v/>
      </c>
      <c r="AJ1232" t="str">
        <f t="shared" si="78"/>
        <v/>
      </c>
      <c r="AK1232" t="str">
        <f>IF(AJ1232="","",MAX($AF$1:$AF1232))</f>
        <v/>
      </c>
      <c r="AL1232" t="str">
        <f t="shared" si="79"/>
        <v/>
      </c>
      <c r="AM1232" t="str">
        <f>IF(AL1232="","",MAX($AF$1:$AF1232))</f>
        <v/>
      </c>
    </row>
    <row r="1233" spans="1:39" ht="13.5" customHeight="1" x14ac:dyDescent="0.3">
      <c r="A1233" s="8" t="s">
        <v>58</v>
      </c>
      <c r="B1233" s="9"/>
      <c r="C1233" s="10">
        <v>7</v>
      </c>
      <c r="D1233" s="11"/>
      <c r="AB1233" t="str" cm="1">
        <f t="array" ref="AB1233:AC1233">_xlfn._xlws.FILTER(A1233:Z1233,A1233:Z1233&lt;&gt;"","")</f>
        <v>Fashion Image Design</v>
      </c>
      <c r="AC1233">
        <v>7</v>
      </c>
      <c r="AD1233" t="str">
        <v/>
      </c>
      <c r="AE1233" t="str">
        <v/>
      </c>
      <c r="AF1233" t="str" cm="1">
        <f t="array" ref="AF1233">IF(AD1233="","",SUMPRODUCT(IF(LEFT($AD$1:AD1233,2)="JS",1,0)))</f>
        <v/>
      </c>
      <c r="AG1233" t="str">
        <f t="shared" si="76"/>
        <v/>
      </c>
      <c r="AH1233" t="str">
        <f t="shared" si="77"/>
        <v/>
      </c>
      <c r="AI1233" t="str">
        <f>IF(AH1233="","",MAX($AF$1:$AF1233))</f>
        <v/>
      </c>
      <c r="AJ1233" t="str">
        <f t="shared" si="78"/>
        <v/>
      </c>
      <c r="AK1233" t="str">
        <f>IF(AJ1233="","",MAX($AF$1:$AF1233))</f>
        <v/>
      </c>
      <c r="AL1233" t="str">
        <f t="shared" si="79"/>
        <v/>
      </c>
      <c r="AM1233" t="str">
        <f>IF(AL1233="","",MAX($AF$1:$AF1233))</f>
        <v/>
      </c>
    </row>
    <row r="1234" spans="1:39" ht="13.5" customHeight="1" x14ac:dyDescent="0.3">
      <c r="A1234" s="8" t="s">
        <v>59</v>
      </c>
      <c r="B1234" s="9"/>
      <c r="C1234" s="10">
        <v>10</v>
      </c>
      <c r="D1234" s="11"/>
      <c r="AB1234" t="str" cm="1">
        <f t="array" ref="AB1234:AC1234">_xlfn._xlws.FILTER(A1234:Z1234,A1234:Z1234&lt;&gt;"","")</f>
        <v>Film and Transmedia</v>
      </c>
      <c r="AC1234">
        <v>10</v>
      </c>
      <c r="AD1234" t="str">
        <v/>
      </c>
      <c r="AE1234" t="str">
        <v/>
      </c>
      <c r="AF1234" t="str" cm="1">
        <f t="array" ref="AF1234">IF(AD1234="","",SUMPRODUCT(IF(LEFT($AD$1:AD1234,2)="JS",1,0)))</f>
        <v/>
      </c>
      <c r="AG1234" t="str">
        <f t="shared" si="76"/>
        <v/>
      </c>
      <c r="AH1234" t="str">
        <f t="shared" si="77"/>
        <v/>
      </c>
      <c r="AI1234" t="str">
        <f>IF(AH1234="","",MAX($AF$1:$AF1234))</f>
        <v/>
      </c>
      <c r="AJ1234" t="str">
        <f t="shared" si="78"/>
        <v/>
      </c>
      <c r="AK1234" t="str">
        <f>IF(AJ1234="","",MAX($AF$1:$AF1234))</f>
        <v/>
      </c>
      <c r="AL1234" t="str">
        <f t="shared" si="79"/>
        <v/>
      </c>
      <c r="AM1234" t="str">
        <f>IF(AL1234="","",MAX($AF$1:$AF1234))</f>
        <v/>
      </c>
    </row>
    <row r="1235" spans="1:39" ht="13.5" customHeight="1" x14ac:dyDescent="0.3">
      <c r="A1235" s="8" t="s">
        <v>60</v>
      </c>
      <c r="B1235" s="9"/>
      <c r="C1235" s="10">
        <v>10</v>
      </c>
      <c r="D1235" s="11"/>
      <c r="AB1235" t="str" cm="1">
        <f t="array" ref="AB1235:AC1235">_xlfn._xlws.FILTER(A1235:Z1235,A1235:Z1235&lt;&gt;"","")</f>
        <v>Film and Video</v>
      </c>
      <c r="AC1235">
        <v>10</v>
      </c>
      <c r="AD1235" t="str">
        <v/>
      </c>
      <c r="AE1235" t="str">
        <v/>
      </c>
      <c r="AF1235" t="str" cm="1">
        <f t="array" ref="AF1235">IF(AD1235="","",SUMPRODUCT(IF(LEFT($AD$1:AD1235,2)="JS",1,0)))</f>
        <v/>
      </c>
      <c r="AG1235" t="str">
        <f t="shared" si="76"/>
        <v/>
      </c>
      <c r="AH1235" t="str">
        <f t="shared" si="77"/>
        <v/>
      </c>
      <c r="AI1235" t="str">
        <f>IF(AH1235="","",MAX($AF$1:$AF1235))</f>
        <v/>
      </c>
      <c r="AJ1235" t="str">
        <f t="shared" si="78"/>
        <v/>
      </c>
      <c r="AK1235" t="str">
        <f>IF(AJ1235="","",MAX($AF$1:$AF1235))</f>
        <v/>
      </c>
      <c r="AL1235" t="str">
        <f t="shared" si="79"/>
        <v/>
      </c>
      <c r="AM1235" t="str">
        <f>IF(AL1235="","",MAX($AF$1:$AF1235))</f>
        <v/>
      </c>
    </row>
    <row r="1236" spans="1:39" ht="13.5" customHeight="1" x14ac:dyDescent="0.3">
      <c r="A1236" s="8" t="s">
        <v>62</v>
      </c>
      <c r="B1236" s="9"/>
      <c r="C1236" s="10">
        <v>10</v>
      </c>
      <c r="D1236" s="11"/>
      <c r="AB1236" t="str" cm="1">
        <f t="array" ref="AB1236:AC1236">_xlfn._xlws.FILTER(A1236:Z1236,A1236:Z1236&lt;&gt;"","")</f>
        <v>Image Design</v>
      </c>
      <c r="AC1236">
        <v>10</v>
      </c>
      <c r="AD1236" t="str">
        <v/>
      </c>
      <c r="AE1236" t="str">
        <v/>
      </c>
      <c r="AF1236" t="str" cm="1">
        <f t="array" ref="AF1236">IF(AD1236="","",SUMPRODUCT(IF(LEFT($AD$1:AD1236,2)="JS",1,0)))</f>
        <v/>
      </c>
      <c r="AG1236" t="str">
        <f t="shared" si="76"/>
        <v/>
      </c>
      <c r="AH1236" t="str">
        <f t="shared" si="77"/>
        <v/>
      </c>
      <c r="AI1236" t="str">
        <f>IF(AH1236="","",MAX($AF$1:$AF1236))</f>
        <v/>
      </c>
      <c r="AJ1236" t="str">
        <f t="shared" si="78"/>
        <v/>
      </c>
      <c r="AK1236" t="str">
        <f>IF(AJ1236="","",MAX($AF$1:$AF1236))</f>
        <v/>
      </c>
      <c r="AL1236" t="str">
        <f t="shared" si="79"/>
        <v/>
      </c>
      <c r="AM1236" t="str">
        <f>IF(AL1236="","",MAX($AF$1:$AF1236))</f>
        <v/>
      </c>
    </row>
    <row r="1237" spans="1:39" ht="13.5" customHeight="1" x14ac:dyDescent="0.3">
      <c r="A1237" s="8" t="s">
        <v>63</v>
      </c>
      <c r="B1237" s="9"/>
      <c r="C1237" s="10">
        <v>10</v>
      </c>
      <c r="D1237" s="11"/>
      <c r="AB1237" t="str" cm="1">
        <f t="array" ref="AB1237:AC1237">_xlfn._xlws.FILTER(A1237:Z1237,A1237:Z1237&lt;&gt;"","")</f>
        <v>Innovative Product Design</v>
      </c>
      <c r="AC1237">
        <v>10</v>
      </c>
      <c r="AD1237" t="str">
        <v/>
      </c>
      <c r="AE1237" t="str">
        <v/>
      </c>
      <c r="AF1237" t="str" cm="1">
        <f t="array" ref="AF1237">IF(AD1237="","",SUMPRODUCT(IF(LEFT($AD$1:AD1237,2)="JS",1,0)))</f>
        <v/>
      </c>
      <c r="AG1237" t="str">
        <f t="shared" si="76"/>
        <v/>
      </c>
      <c r="AH1237" t="str">
        <f t="shared" si="77"/>
        <v/>
      </c>
      <c r="AI1237" t="str">
        <f>IF(AH1237="","",MAX($AF$1:$AF1237))</f>
        <v/>
      </c>
      <c r="AJ1237" t="str">
        <f t="shared" si="78"/>
        <v/>
      </c>
      <c r="AK1237" t="str">
        <f>IF(AJ1237="","",MAX($AF$1:$AF1237))</f>
        <v/>
      </c>
      <c r="AL1237" t="str">
        <f t="shared" si="79"/>
        <v/>
      </c>
      <c r="AM1237" t="str">
        <f>IF(AL1237="","",MAX($AF$1:$AF1237))</f>
        <v/>
      </c>
    </row>
    <row r="1238" spans="1:39" ht="13.5" customHeight="1" x14ac:dyDescent="0.3">
      <c r="A1238" s="8" t="s">
        <v>64</v>
      </c>
      <c r="B1238" s="9"/>
      <c r="C1238" s="10">
        <v>10</v>
      </c>
      <c r="D1238" s="11"/>
      <c r="AB1238" t="str" cm="1">
        <f t="array" ref="AB1238:AC1238">_xlfn._xlws.FILTER(A1238:Z1238,A1238:Z1238&lt;&gt;"","")</f>
        <v>Interior Design</v>
      </c>
      <c r="AC1238">
        <v>10</v>
      </c>
      <c r="AD1238" t="str">
        <v/>
      </c>
      <c r="AE1238" t="str">
        <v/>
      </c>
      <c r="AF1238" t="str" cm="1">
        <f t="array" ref="AF1238">IF(AD1238="","",SUMPRODUCT(IF(LEFT($AD$1:AD1238,2)="JS",1,0)))</f>
        <v/>
      </c>
      <c r="AG1238" t="str">
        <f t="shared" si="76"/>
        <v/>
      </c>
      <c r="AH1238" t="str">
        <f t="shared" si="77"/>
        <v/>
      </c>
      <c r="AI1238" t="str">
        <f>IF(AH1238="","",MAX($AF$1:$AF1238))</f>
        <v/>
      </c>
      <c r="AJ1238" t="str">
        <f t="shared" si="78"/>
        <v/>
      </c>
      <c r="AK1238" t="str">
        <f>IF(AJ1238="","",MAX($AF$1:$AF1238))</f>
        <v/>
      </c>
      <c r="AL1238" t="str">
        <f t="shared" si="79"/>
        <v/>
      </c>
      <c r="AM1238" t="str">
        <f>IF(AL1238="","",MAX($AF$1:$AF1238))</f>
        <v/>
      </c>
    </row>
    <row r="1239" spans="1:39" ht="13.5" customHeight="1" x14ac:dyDescent="0.3">
      <c r="A1239" s="8" t="s">
        <v>65</v>
      </c>
      <c r="B1239" s="9"/>
      <c r="C1239" s="10">
        <v>10</v>
      </c>
      <c r="D1239" s="11"/>
      <c r="AB1239" t="str" cm="1">
        <f t="array" ref="AB1239:AC1239">_xlfn._xlws.FILTER(A1239:Z1239,A1239:Z1239&lt;&gt;"","")</f>
        <v>Internet of Everything Application</v>
      </c>
      <c r="AC1239">
        <v>10</v>
      </c>
      <c r="AD1239" t="str">
        <v/>
      </c>
      <c r="AE1239" t="str">
        <v/>
      </c>
      <c r="AF1239" t="str" cm="1">
        <f t="array" ref="AF1239">IF(AD1239="","",SUMPRODUCT(IF(LEFT($AD$1:AD1239,2)="JS",1,0)))</f>
        <v/>
      </c>
      <c r="AG1239" t="str">
        <f t="shared" si="76"/>
        <v/>
      </c>
      <c r="AH1239" t="str">
        <f t="shared" si="77"/>
        <v/>
      </c>
      <c r="AI1239" t="str">
        <f>IF(AH1239="","",MAX($AF$1:$AF1239))</f>
        <v/>
      </c>
      <c r="AJ1239" t="str">
        <f t="shared" si="78"/>
        <v/>
      </c>
      <c r="AK1239" t="str">
        <f>IF(AJ1239="","",MAX($AF$1:$AF1239))</f>
        <v/>
      </c>
      <c r="AL1239" t="str">
        <f t="shared" si="79"/>
        <v/>
      </c>
      <c r="AM1239" t="str">
        <f>IF(AL1239="","",MAX($AF$1:$AF1239))</f>
        <v/>
      </c>
    </row>
    <row r="1240" spans="1:39" ht="13.5" customHeight="1" x14ac:dyDescent="0.3">
      <c r="A1240" s="8" t="s">
        <v>66</v>
      </c>
      <c r="B1240" s="9"/>
      <c r="C1240" s="10">
        <v>5</v>
      </c>
      <c r="D1240" s="11"/>
      <c r="AB1240" t="str" cm="1">
        <f t="array" ref="AB1240:AC1240">_xlfn._xlws.FILTER(A1240:Z1240,A1240:Z1240&lt;&gt;"","")</f>
        <v>Jewellery and Accessories Design</v>
      </c>
      <c r="AC1240">
        <v>5</v>
      </c>
      <c r="AD1240" t="str">
        <v/>
      </c>
      <c r="AE1240" t="str">
        <v/>
      </c>
      <c r="AF1240" t="str" cm="1">
        <f t="array" ref="AF1240">IF(AD1240="","",SUMPRODUCT(IF(LEFT($AD$1:AD1240,2)="JS",1,0)))</f>
        <v/>
      </c>
      <c r="AG1240" t="str">
        <f t="shared" si="76"/>
        <v/>
      </c>
      <c r="AH1240" t="str">
        <f t="shared" si="77"/>
        <v/>
      </c>
      <c r="AI1240" t="str">
        <f>IF(AH1240="","",MAX($AF$1:$AF1240))</f>
        <v/>
      </c>
      <c r="AJ1240" t="str">
        <f t="shared" si="78"/>
        <v/>
      </c>
      <c r="AK1240" t="str">
        <f>IF(AJ1240="","",MAX($AF$1:$AF1240))</f>
        <v/>
      </c>
      <c r="AL1240" t="str">
        <f t="shared" si="79"/>
        <v/>
      </c>
      <c r="AM1240" t="str">
        <f>IF(AL1240="","",MAX($AF$1:$AF1240))</f>
        <v/>
      </c>
    </row>
    <row r="1241" spans="1:39" ht="13.5" customHeight="1" x14ac:dyDescent="0.3">
      <c r="A1241" s="8" t="s">
        <v>67</v>
      </c>
      <c r="B1241" s="9"/>
      <c r="C1241" s="10">
        <v>7</v>
      </c>
      <c r="D1241" s="11"/>
      <c r="AB1241" t="str" cm="1">
        <f t="array" ref="AB1241:AC1241">_xlfn._xlws.FILTER(A1241:Z1241,A1241:Z1241&lt;&gt;"","")</f>
        <v>Jewellery Arts and Design</v>
      </c>
      <c r="AC1241">
        <v>7</v>
      </c>
      <c r="AD1241" t="str">
        <v/>
      </c>
      <c r="AE1241" t="str">
        <v/>
      </c>
      <c r="AF1241" t="str" cm="1">
        <f t="array" ref="AF1241">IF(AD1241="","",SUMPRODUCT(IF(LEFT($AD$1:AD1241,2)="JS",1,0)))</f>
        <v/>
      </c>
      <c r="AG1241" t="str">
        <f t="shared" si="76"/>
        <v/>
      </c>
      <c r="AH1241" t="str">
        <f t="shared" si="77"/>
        <v/>
      </c>
      <c r="AI1241" t="str">
        <f>IF(AH1241="","",MAX($AF$1:$AF1241))</f>
        <v/>
      </c>
      <c r="AJ1241" t="str">
        <f t="shared" si="78"/>
        <v/>
      </c>
      <c r="AK1241" t="str">
        <f>IF(AJ1241="","",MAX($AF$1:$AF1241))</f>
        <v/>
      </c>
      <c r="AL1241" t="str">
        <f t="shared" si="79"/>
        <v/>
      </c>
      <c r="AM1241" t="str">
        <f>IF(AL1241="","",MAX($AF$1:$AF1241))</f>
        <v/>
      </c>
    </row>
    <row r="1242" spans="1:39" ht="13.5" customHeight="1" x14ac:dyDescent="0.3">
      <c r="A1242" s="8" t="s">
        <v>68</v>
      </c>
      <c r="B1242" s="9"/>
      <c r="C1242" s="10">
        <v>7</v>
      </c>
      <c r="D1242" s="11"/>
      <c r="AB1242" t="str" cm="1">
        <f t="array" ref="AB1242:AC1242">_xlfn._xlws.FILTER(A1242:Z1242,A1242:Z1242&lt;&gt;"","")</f>
        <v>Magazine Editing and Production</v>
      </c>
      <c r="AC1242">
        <v>7</v>
      </c>
      <c r="AD1242" t="str">
        <v/>
      </c>
      <c r="AE1242" t="str">
        <v/>
      </c>
      <c r="AF1242" t="str" cm="1">
        <f t="array" ref="AF1242">IF(AD1242="","",SUMPRODUCT(IF(LEFT($AD$1:AD1242,2)="JS",1,0)))</f>
        <v/>
      </c>
      <c r="AG1242" t="str">
        <f t="shared" si="76"/>
        <v/>
      </c>
      <c r="AH1242" t="str">
        <f t="shared" si="77"/>
        <v/>
      </c>
      <c r="AI1242" t="str">
        <f>IF(AH1242="","",MAX($AF$1:$AF1242))</f>
        <v/>
      </c>
      <c r="AJ1242" t="str">
        <f t="shared" si="78"/>
        <v/>
      </c>
      <c r="AK1242" t="str">
        <f>IF(AJ1242="","",MAX($AF$1:$AF1242))</f>
        <v/>
      </c>
      <c r="AL1242" t="str">
        <f t="shared" si="79"/>
        <v/>
      </c>
      <c r="AM1242" t="str">
        <f>IF(AL1242="","",MAX($AF$1:$AF1242))</f>
        <v/>
      </c>
    </row>
    <row r="1243" spans="1:39" ht="13.5" customHeight="1" x14ac:dyDescent="0.3">
      <c r="A1243" s="8" t="s">
        <v>69</v>
      </c>
      <c r="B1243" s="9"/>
      <c r="C1243" s="10">
        <v>10</v>
      </c>
      <c r="D1243" s="11"/>
      <c r="AB1243" t="str" cm="1">
        <f t="array" ref="AB1243:AC1243">_xlfn._xlws.FILTER(A1243:Z1243,A1243:Z1243&lt;&gt;"","")</f>
        <v>Marketing and Online Promotion</v>
      </c>
      <c r="AC1243">
        <v>10</v>
      </c>
      <c r="AD1243" t="str">
        <v/>
      </c>
      <c r="AE1243" t="str">
        <v/>
      </c>
      <c r="AF1243" t="str" cm="1">
        <f t="array" ref="AF1243">IF(AD1243="","",SUMPRODUCT(IF(LEFT($AD$1:AD1243,2)="JS",1,0)))</f>
        <v/>
      </c>
      <c r="AG1243" t="str">
        <f t="shared" si="76"/>
        <v/>
      </c>
      <c r="AH1243" t="str">
        <f t="shared" si="77"/>
        <v/>
      </c>
      <c r="AI1243" t="str">
        <f>IF(AH1243="","",MAX($AF$1:$AF1243))</f>
        <v/>
      </c>
      <c r="AJ1243" t="str">
        <f t="shared" si="78"/>
        <v/>
      </c>
      <c r="AK1243" t="str">
        <f>IF(AJ1243="","",MAX($AF$1:$AF1243))</f>
        <v/>
      </c>
      <c r="AL1243" t="str">
        <f t="shared" si="79"/>
        <v/>
      </c>
      <c r="AM1243" t="str">
        <f>IF(AL1243="","",MAX($AF$1:$AF1243))</f>
        <v/>
      </c>
    </row>
    <row r="1244" spans="1:39" ht="13.5" customHeight="1" x14ac:dyDescent="0.3">
      <c r="A1244" s="8" t="s">
        <v>70</v>
      </c>
      <c r="B1244" s="9"/>
      <c r="C1244" s="10">
        <v>5</v>
      </c>
      <c r="D1244" s="11"/>
      <c r="AB1244" t="str" cm="1">
        <f t="array" ref="AB1244:AC1244">_xlfn._xlws.FILTER(A1244:Z1244,A1244:Z1244&lt;&gt;"","")</f>
        <v>Marketing in Global Trade</v>
      </c>
      <c r="AC1244">
        <v>5</v>
      </c>
      <c r="AD1244" t="str">
        <v/>
      </c>
      <c r="AE1244" t="str">
        <v/>
      </c>
      <c r="AF1244" t="str" cm="1">
        <f t="array" ref="AF1244">IF(AD1244="","",SUMPRODUCT(IF(LEFT($AD$1:AD1244,2)="JS",1,0)))</f>
        <v/>
      </c>
      <c r="AG1244" t="str">
        <f t="shared" si="76"/>
        <v/>
      </c>
      <c r="AH1244" t="str">
        <f t="shared" si="77"/>
        <v/>
      </c>
      <c r="AI1244" t="str">
        <f>IF(AH1244="","",MAX($AF$1:$AF1244))</f>
        <v/>
      </c>
      <c r="AJ1244" t="str">
        <f t="shared" si="78"/>
        <v/>
      </c>
      <c r="AK1244" t="str">
        <f>IF(AJ1244="","",MAX($AF$1:$AF1244))</f>
        <v/>
      </c>
      <c r="AL1244" t="str">
        <f t="shared" si="79"/>
        <v/>
      </c>
      <c r="AM1244" t="str">
        <f>IF(AL1244="","",MAX($AF$1:$AF1244))</f>
        <v/>
      </c>
    </row>
    <row r="1245" spans="1:39" ht="13.5" customHeight="1" x14ac:dyDescent="0.3">
      <c r="A1245" s="8" t="s">
        <v>32</v>
      </c>
      <c r="B1245" s="9"/>
      <c r="C1245" s="10">
        <v>5</v>
      </c>
      <c r="D1245" s="11"/>
      <c r="AB1245" t="str" cm="1">
        <f t="array" ref="AB1245:AC1245">_xlfn._xlws.FILTER(A1245:Z1245,A1245:Z1245&lt;&gt;"","")</f>
        <v>Medical Laboratory Science</v>
      </c>
      <c r="AC1245">
        <v>5</v>
      </c>
      <c r="AD1245" t="str">
        <v/>
      </c>
      <c r="AE1245" t="str">
        <v/>
      </c>
      <c r="AF1245" t="str" cm="1">
        <f t="array" ref="AF1245">IF(AD1245="","",SUMPRODUCT(IF(LEFT($AD$1:AD1245,2)="JS",1,0)))</f>
        <v/>
      </c>
      <c r="AG1245" t="str">
        <f t="shared" si="76"/>
        <v/>
      </c>
      <c r="AH1245" t="str">
        <f t="shared" si="77"/>
        <v/>
      </c>
      <c r="AI1245" t="str">
        <f>IF(AH1245="","",MAX($AF$1:$AF1245))</f>
        <v/>
      </c>
      <c r="AJ1245" t="str">
        <f t="shared" si="78"/>
        <v/>
      </c>
      <c r="AK1245" t="str">
        <f>IF(AJ1245="","",MAX($AF$1:$AF1245))</f>
        <v/>
      </c>
      <c r="AL1245" t="str">
        <f t="shared" si="79"/>
        <v/>
      </c>
      <c r="AM1245" t="str">
        <f>IF(AL1245="","",MAX($AF$1:$AF1245))</f>
        <v/>
      </c>
    </row>
    <row r="1246" spans="1:39" ht="13.5" customHeight="1" x14ac:dyDescent="0.3">
      <c r="A1246" s="8" t="s">
        <v>71</v>
      </c>
      <c r="B1246" s="9"/>
      <c r="C1246" s="10">
        <v>7</v>
      </c>
      <c r="D1246" s="11"/>
      <c r="AB1246" t="str" cm="1">
        <f t="array" ref="AB1246:AC1246">_xlfn._xlws.FILTER(A1246:Z1246,A1246:Z1246&lt;&gt;"","")</f>
        <v>Mobile and Online Apps Development</v>
      </c>
      <c r="AC1246">
        <v>7</v>
      </c>
      <c r="AD1246" t="str">
        <v/>
      </c>
      <c r="AE1246" t="str">
        <v/>
      </c>
      <c r="AF1246" t="str" cm="1">
        <f t="array" ref="AF1246">IF(AD1246="","",SUMPRODUCT(IF(LEFT($AD$1:AD1246,2)="JS",1,0)))</f>
        <v/>
      </c>
      <c r="AG1246" t="str">
        <f t="shared" si="76"/>
        <v/>
      </c>
      <c r="AH1246" t="str">
        <f t="shared" si="77"/>
        <v/>
      </c>
      <c r="AI1246" t="str">
        <f>IF(AH1246="","",MAX($AF$1:$AF1246))</f>
        <v/>
      </c>
      <c r="AJ1246" t="str">
        <f t="shared" si="78"/>
        <v/>
      </c>
      <c r="AK1246" t="str">
        <f>IF(AJ1246="","",MAX($AF$1:$AF1246))</f>
        <v/>
      </c>
      <c r="AL1246" t="str">
        <f t="shared" si="79"/>
        <v/>
      </c>
      <c r="AM1246" t="str">
        <f>IF(AL1246="","",MAX($AF$1:$AF1246))</f>
        <v/>
      </c>
    </row>
    <row r="1247" spans="1:39" ht="13.5" customHeight="1" x14ac:dyDescent="0.3">
      <c r="A1247" s="8" t="s">
        <v>72</v>
      </c>
      <c r="B1247" s="9"/>
      <c r="C1247" s="10">
        <v>10</v>
      </c>
      <c r="D1247" s="11"/>
      <c r="AB1247" t="str" cm="1">
        <f t="array" ref="AB1247:AC1247">_xlfn._xlws.FILTER(A1247:Z1247,A1247:Z1247&lt;&gt;"","")</f>
        <v>Multimedia Entertainment Studies</v>
      </c>
      <c r="AC1247">
        <v>10</v>
      </c>
      <c r="AD1247" t="str">
        <v/>
      </c>
      <c r="AE1247" t="str">
        <v/>
      </c>
      <c r="AF1247" t="str" cm="1">
        <f t="array" ref="AF1247">IF(AD1247="","",SUMPRODUCT(IF(LEFT($AD$1:AD1247,2)="JS",1,0)))</f>
        <v/>
      </c>
      <c r="AG1247" t="str">
        <f t="shared" si="76"/>
        <v/>
      </c>
      <c r="AH1247" t="str">
        <f t="shared" si="77"/>
        <v/>
      </c>
      <c r="AI1247" t="str">
        <f>IF(AH1247="","",MAX($AF$1:$AF1247))</f>
        <v/>
      </c>
      <c r="AJ1247" t="str">
        <f t="shared" si="78"/>
        <v/>
      </c>
      <c r="AK1247" t="str">
        <f>IF(AJ1247="","",MAX($AF$1:$AF1247))</f>
        <v/>
      </c>
      <c r="AL1247" t="str">
        <f t="shared" si="79"/>
        <v/>
      </c>
      <c r="AM1247" t="str">
        <f>IF(AL1247="","",MAX($AF$1:$AF1247))</f>
        <v/>
      </c>
    </row>
    <row r="1248" spans="1:39" ht="13.5" customHeight="1" x14ac:dyDescent="0.3">
      <c r="A1248" s="8" t="s">
        <v>73</v>
      </c>
      <c r="B1248" s="9"/>
      <c r="C1248" s="10">
        <v>10</v>
      </c>
      <c r="D1248" s="11"/>
      <c r="E1248" s="1"/>
      <c r="AB1248" t="str" cm="1">
        <f t="array" ref="AB1248:AC1248">_xlfn._xlws.FILTER(A1248:Z1248,A1248:Z1248&lt;&gt;"","")</f>
        <v>New Media Communication Strategies</v>
      </c>
      <c r="AC1248">
        <v>10</v>
      </c>
      <c r="AD1248" t="str">
        <v/>
      </c>
      <c r="AE1248" t="str">
        <v/>
      </c>
      <c r="AF1248" t="str" cm="1">
        <f t="array" ref="AF1248">IF(AD1248="","",SUMPRODUCT(IF(LEFT($AD$1:AD1248,2)="JS",1,0)))</f>
        <v/>
      </c>
      <c r="AG1248" t="str">
        <f t="shared" si="76"/>
        <v/>
      </c>
      <c r="AH1248" t="str">
        <f t="shared" si="77"/>
        <v/>
      </c>
      <c r="AI1248" t="str">
        <f>IF(AH1248="","",MAX($AF$1:$AF1248))</f>
        <v/>
      </c>
      <c r="AJ1248" t="str">
        <f t="shared" si="78"/>
        <v/>
      </c>
      <c r="AK1248" t="str">
        <f>IF(AJ1248="","",MAX($AF$1:$AF1248))</f>
        <v/>
      </c>
      <c r="AL1248" t="str">
        <f t="shared" si="79"/>
        <v/>
      </c>
      <c r="AM1248" t="str">
        <f>IF(AL1248="","",MAX($AF$1:$AF1248))</f>
        <v/>
      </c>
    </row>
    <row r="1249" spans="1:39" ht="13.5" customHeight="1" x14ac:dyDescent="0.3">
      <c r="A1249" s="8" t="s">
        <v>76</v>
      </c>
      <c r="B1249" s="9"/>
      <c r="C1249" s="10">
        <v>5</v>
      </c>
      <c r="D1249" s="11"/>
      <c r="E1249" s="2"/>
      <c r="AB1249" t="str" cm="1">
        <f t="array" ref="AB1249:AC1249">_xlfn._xlws.FILTER(A1249:Z1249,A1249:Z1249&lt;&gt;"","")</f>
        <v>Practical Psychology</v>
      </c>
      <c r="AC1249">
        <v>5</v>
      </c>
      <c r="AD1249" t="str">
        <v/>
      </c>
      <c r="AE1249" t="str">
        <v/>
      </c>
      <c r="AF1249" t="str" cm="1">
        <f t="array" ref="AF1249">IF(AD1249="","",SUMPRODUCT(IF(LEFT($AD$1:AD1249,2)="JS",1,0)))</f>
        <v/>
      </c>
      <c r="AG1249" t="str">
        <f t="shared" si="76"/>
        <v/>
      </c>
      <c r="AH1249" t="str">
        <f t="shared" si="77"/>
        <v/>
      </c>
      <c r="AI1249" t="str">
        <f>IF(AH1249="","",MAX($AF$1:$AF1249))</f>
        <v/>
      </c>
      <c r="AJ1249" t="str">
        <f t="shared" si="78"/>
        <v/>
      </c>
      <c r="AK1249" t="str">
        <f>IF(AJ1249="","",MAX($AF$1:$AF1249))</f>
        <v/>
      </c>
      <c r="AL1249" t="str">
        <f t="shared" si="79"/>
        <v/>
      </c>
      <c r="AM1249" t="str">
        <f>IF(AL1249="","",MAX($AF$1:$AF1249))</f>
        <v/>
      </c>
    </row>
    <row r="1250" spans="1:39" ht="13.5" customHeight="1" x14ac:dyDescent="0.3">
      <c r="A1250" s="8" t="s">
        <v>77</v>
      </c>
      <c r="B1250" s="9"/>
      <c r="C1250" s="10">
        <v>7</v>
      </c>
      <c r="D1250" s="11"/>
      <c r="E1250" s="2"/>
      <c r="AB1250" t="str" cm="1">
        <f t="array" ref="AB1250:AC1250">_xlfn._xlws.FILTER(A1250:Z1250,A1250:Z1250&lt;&gt;"","")</f>
        <v>Public Relations and Advertising</v>
      </c>
      <c r="AC1250">
        <v>7</v>
      </c>
      <c r="AD1250" t="str">
        <v/>
      </c>
      <c r="AE1250" t="str">
        <v/>
      </c>
      <c r="AF1250" t="str" cm="1">
        <f t="array" ref="AF1250">IF(AD1250="","",SUMPRODUCT(IF(LEFT($AD$1:AD1250,2)="JS",1,0)))</f>
        <v/>
      </c>
      <c r="AG1250" t="str">
        <f t="shared" si="76"/>
        <v/>
      </c>
      <c r="AH1250" t="str">
        <f t="shared" si="77"/>
        <v/>
      </c>
      <c r="AI1250" t="str">
        <f>IF(AH1250="","",MAX($AF$1:$AF1250))</f>
        <v/>
      </c>
      <c r="AJ1250" t="str">
        <f t="shared" si="78"/>
        <v/>
      </c>
      <c r="AK1250" t="str">
        <f>IF(AJ1250="","",MAX($AF$1:$AF1250))</f>
        <v/>
      </c>
      <c r="AL1250" t="str">
        <f t="shared" si="79"/>
        <v/>
      </c>
      <c r="AM1250" t="str">
        <f>IF(AL1250="","",MAX($AF$1:$AF1250))</f>
        <v/>
      </c>
    </row>
    <row r="1251" spans="1:39" ht="13.5" customHeight="1" x14ac:dyDescent="0.3">
      <c r="A1251" s="8" t="s">
        <v>78</v>
      </c>
      <c r="B1251" s="9"/>
      <c r="C1251" s="10">
        <v>5</v>
      </c>
      <c r="D1251" s="11"/>
      <c r="E1251" s="2"/>
      <c r="AB1251" t="str" cm="1">
        <f t="array" ref="AB1251:AC1251">_xlfn._xlws.FILTER(A1251:Z1251,A1251:Z1251&lt;&gt;"","")</f>
        <v>Public Relations and Communication</v>
      </c>
      <c r="AC1251">
        <v>5</v>
      </c>
      <c r="AD1251" t="str">
        <v/>
      </c>
      <c r="AE1251" t="str">
        <v/>
      </c>
      <c r="AF1251" t="str" cm="1">
        <f t="array" ref="AF1251">IF(AD1251="","",SUMPRODUCT(IF(LEFT($AD$1:AD1251,2)="JS",1,0)))</f>
        <v/>
      </c>
      <c r="AG1251" t="str">
        <f t="shared" si="76"/>
        <v/>
      </c>
      <c r="AH1251" t="str">
        <f t="shared" si="77"/>
        <v/>
      </c>
      <c r="AI1251" t="str">
        <f>IF(AH1251="","",MAX($AF$1:$AF1251))</f>
        <v/>
      </c>
      <c r="AJ1251" t="str">
        <f t="shared" si="78"/>
        <v/>
      </c>
      <c r="AK1251" t="str">
        <f>IF(AJ1251="","",MAX($AF$1:$AF1251))</f>
        <v/>
      </c>
      <c r="AL1251" t="str">
        <f t="shared" si="79"/>
        <v/>
      </c>
      <c r="AM1251" t="str">
        <f>IF(AL1251="","",MAX($AF$1:$AF1251))</f>
        <v/>
      </c>
    </row>
    <row r="1252" spans="1:39" ht="13.5" customHeight="1" x14ac:dyDescent="0.3">
      <c r="A1252" s="8" t="s">
        <v>182</v>
      </c>
      <c r="B1252" s="9"/>
      <c r="C1252" s="10">
        <v>5</v>
      </c>
      <c r="D1252" s="11"/>
      <c r="E1252" s="2"/>
      <c r="AB1252" t="str" cm="1">
        <f t="array" ref="AB1252:AC1252">_xlfn._xlws.FILTER(A1252:Z1252,A1252:Z1252&lt;&gt;"","")</f>
        <v>Radio Host and Programme Production</v>
      </c>
      <c r="AC1252">
        <v>5</v>
      </c>
      <c r="AD1252" t="str">
        <v/>
      </c>
      <c r="AE1252" t="str">
        <v/>
      </c>
      <c r="AF1252" t="str" cm="1">
        <f t="array" ref="AF1252">IF(AD1252="","",SUMPRODUCT(IF(LEFT($AD$1:AD1252,2)="JS",1,0)))</f>
        <v/>
      </c>
      <c r="AG1252" t="str">
        <f t="shared" si="76"/>
        <v/>
      </c>
      <c r="AH1252" t="str">
        <f t="shared" si="77"/>
        <v/>
      </c>
      <c r="AI1252" t="str">
        <f>IF(AH1252="","",MAX($AF$1:$AF1252))</f>
        <v/>
      </c>
      <c r="AJ1252" t="str">
        <f t="shared" si="78"/>
        <v/>
      </c>
      <c r="AK1252" t="str">
        <f>IF(AJ1252="","",MAX($AF$1:$AF1252))</f>
        <v/>
      </c>
      <c r="AL1252" t="str">
        <f t="shared" si="79"/>
        <v/>
      </c>
      <c r="AM1252" t="str">
        <f>IF(AL1252="","",MAX($AF$1:$AF1252))</f>
        <v/>
      </c>
    </row>
    <row r="1253" spans="1:39" ht="13.5" customHeight="1" x14ac:dyDescent="0.3">
      <c r="A1253" s="8" t="s">
        <v>183</v>
      </c>
      <c r="B1253" s="9"/>
      <c r="C1253" s="10">
        <v>7</v>
      </c>
      <c r="D1253" s="11"/>
      <c r="E1253" s="2"/>
      <c r="AB1253" t="str" cm="1">
        <f t="array" ref="AB1253:AC1253">_xlfn._xlws.FILTER(A1253:Z1253,A1253:Z1253&lt;&gt;"","")</f>
        <v>TV Infotainment Production</v>
      </c>
      <c r="AC1253">
        <v>7</v>
      </c>
      <c r="AD1253" t="str">
        <v/>
      </c>
      <c r="AE1253" t="str">
        <v/>
      </c>
      <c r="AF1253" t="str" cm="1">
        <f t="array" ref="AF1253">IF(AD1253="","",SUMPRODUCT(IF(LEFT($AD$1:AD1253,2)="JS",1,0)))</f>
        <v/>
      </c>
      <c r="AG1253" t="str">
        <f t="shared" si="76"/>
        <v/>
      </c>
      <c r="AH1253" t="str">
        <f t="shared" si="77"/>
        <v/>
      </c>
      <c r="AI1253" t="str">
        <f>IF(AH1253="","",MAX($AF$1:$AF1253))</f>
        <v/>
      </c>
      <c r="AJ1253" t="str">
        <f t="shared" si="78"/>
        <v/>
      </c>
      <c r="AK1253" t="str">
        <f>IF(AJ1253="","",MAX($AF$1:$AF1253))</f>
        <v/>
      </c>
      <c r="AL1253" t="str">
        <f t="shared" si="79"/>
        <v/>
      </c>
      <c r="AM1253" t="str">
        <f>IF(AL1253="","",MAX($AF$1:$AF1253))</f>
        <v/>
      </c>
    </row>
    <row r="1254" spans="1:39" ht="26.25" customHeight="1" x14ac:dyDescent="0.3">
      <c r="A1254" s="29" t="s">
        <v>34</v>
      </c>
      <c r="B1254" s="29"/>
      <c r="C1254" s="29"/>
      <c r="D1254" s="29"/>
      <c r="E1254" s="1"/>
      <c r="AB1254" t="str" cm="1">
        <f t="array" ref="AB1254">_xlfn._xlws.FILTER(A1254:Z1254,A1254:Z1254&lt;&gt;"","")</f>
        <v>Category C: Other Language Subjects</v>
      </c>
      <c r="AD1254" t="str">
        <v/>
      </c>
      <c r="AE1254" t="str">
        <v/>
      </c>
      <c r="AF1254" t="str" cm="1">
        <f t="array" ref="AF1254">IF(AD1254="","",SUMPRODUCT(IF(LEFT($AD$1:AD1254,2)="JS",1,0)))</f>
        <v/>
      </c>
      <c r="AG1254" t="str">
        <f t="shared" si="76"/>
        <v/>
      </c>
      <c r="AH1254" t="str">
        <f t="shared" si="77"/>
        <v/>
      </c>
      <c r="AI1254" t="str">
        <f>IF(AH1254="","",MAX($AF$1:$AF1254))</f>
        <v/>
      </c>
      <c r="AJ1254" t="str">
        <f t="shared" si="78"/>
        <v/>
      </c>
      <c r="AK1254" t="str">
        <f>IF(AJ1254="","",MAX($AF$1:$AF1254))</f>
        <v/>
      </c>
      <c r="AL1254" t="str">
        <f t="shared" si="79"/>
        <v/>
      </c>
      <c r="AM1254" t="str">
        <f>IF(AL1254="","",MAX($AF$1:$AF1254))</f>
        <v/>
      </c>
    </row>
    <row r="1255" spans="1:39" ht="13.5" customHeight="1" x14ac:dyDescent="0.3">
      <c r="A1255" s="14" t="s">
        <v>3</v>
      </c>
      <c r="B1255" s="15"/>
      <c r="C1255" s="30" t="s">
        <v>4</v>
      </c>
      <c r="D1255" s="31"/>
      <c r="E1255" s="2"/>
      <c r="AB1255" t="str" cm="1">
        <f t="array" ref="AB1255:AC1255">_xlfn._xlws.FILTER(A1255:Z1255,A1255:Z1255&lt;&gt;"","")</f>
        <v>Subject Name</v>
      </c>
      <c r="AC1255" t="str">
        <v>Subject Weighting for 2023/24 Admission Exercise *</v>
      </c>
      <c r="AD1255" t="str">
        <v/>
      </c>
      <c r="AE1255" t="str">
        <v/>
      </c>
      <c r="AF1255" t="str" cm="1">
        <f t="array" ref="AF1255">IF(AD1255="","",SUMPRODUCT(IF(LEFT($AD$1:AD1255,2)="JS",1,0)))</f>
        <v/>
      </c>
      <c r="AG1255" t="str">
        <f t="shared" si="76"/>
        <v/>
      </c>
      <c r="AH1255" t="str">
        <f t="shared" si="77"/>
        <v/>
      </c>
      <c r="AI1255" t="str">
        <f>IF(AH1255="","",MAX($AF$1:$AF1255))</f>
        <v/>
      </c>
      <c r="AJ1255" t="str">
        <f t="shared" si="78"/>
        <v/>
      </c>
      <c r="AK1255" t="str">
        <f>IF(AJ1255="","",MAX($AF$1:$AF1255))</f>
        <v/>
      </c>
      <c r="AL1255" t="str">
        <f t="shared" si="79"/>
        <v/>
      </c>
      <c r="AM1255" t="str">
        <f>IF(AL1255="","",MAX($AF$1:$AF1255))</f>
        <v/>
      </c>
    </row>
    <row r="1256" spans="1:39" ht="13.5" customHeight="1" x14ac:dyDescent="0.3">
      <c r="A1256" s="8" t="s">
        <v>35</v>
      </c>
      <c r="B1256" s="9"/>
      <c r="C1256" s="10">
        <v>5</v>
      </c>
      <c r="D1256" s="11"/>
      <c r="E1256" s="2"/>
      <c r="AB1256" t="str" cm="1">
        <f t="array" ref="AB1256:AC1256">_xlfn._xlws.FILTER(A1256:Z1256,A1256:Z1256&lt;&gt;"","")</f>
        <v>French</v>
      </c>
      <c r="AC1256">
        <v>5</v>
      </c>
      <c r="AD1256" t="str">
        <v/>
      </c>
      <c r="AE1256" t="str">
        <v/>
      </c>
      <c r="AF1256" t="str" cm="1">
        <f t="array" ref="AF1256">IF(AD1256="","",SUMPRODUCT(IF(LEFT($AD$1:AD1256,2)="JS",1,0)))</f>
        <v/>
      </c>
      <c r="AG1256" t="str">
        <f t="shared" si="76"/>
        <v/>
      </c>
      <c r="AH1256" t="str">
        <f t="shared" si="77"/>
        <v/>
      </c>
      <c r="AI1256" t="str">
        <f>IF(AH1256="","",MAX($AF$1:$AF1256))</f>
        <v/>
      </c>
      <c r="AJ1256" t="str">
        <f t="shared" si="78"/>
        <v/>
      </c>
      <c r="AK1256" t="str">
        <f>IF(AJ1256="","",MAX($AF$1:$AF1256))</f>
        <v/>
      </c>
      <c r="AL1256" t="str">
        <f t="shared" si="79"/>
        <v/>
      </c>
      <c r="AM1256" t="str">
        <f>IF(AL1256="","",MAX($AF$1:$AF1256))</f>
        <v/>
      </c>
    </row>
    <row r="1257" spans="1:39" ht="13.5" customHeight="1" x14ac:dyDescent="0.3">
      <c r="A1257" s="8" t="s">
        <v>36</v>
      </c>
      <c r="B1257" s="9"/>
      <c r="C1257" s="10">
        <v>5</v>
      </c>
      <c r="D1257" s="11"/>
      <c r="E1257" s="2"/>
      <c r="AB1257" t="str" cm="1">
        <f t="array" ref="AB1257:AC1257">_xlfn._xlws.FILTER(A1257:Z1257,A1257:Z1257&lt;&gt;"","")</f>
        <v>German</v>
      </c>
      <c r="AC1257">
        <v>5</v>
      </c>
      <c r="AD1257" t="str">
        <v/>
      </c>
      <c r="AE1257" t="str">
        <v/>
      </c>
      <c r="AF1257" t="str" cm="1">
        <f t="array" ref="AF1257">IF(AD1257="","",SUMPRODUCT(IF(LEFT($AD$1:AD1257,2)="JS",1,0)))</f>
        <v/>
      </c>
      <c r="AG1257" t="str">
        <f t="shared" si="76"/>
        <v/>
      </c>
      <c r="AH1257" t="str">
        <f t="shared" si="77"/>
        <v/>
      </c>
      <c r="AI1257" t="str">
        <f>IF(AH1257="","",MAX($AF$1:$AF1257))</f>
        <v/>
      </c>
      <c r="AJ1257" t="str">
        <f t="shared" si="78"/>
        <v/>
      </c>
      <c r="AK1257" t="str">
        <f>IF(AJ1257="","",MAX($AF$1:$AF1257))</f>
        <v/>
      </c>
      <c r="AL1257" t="str">
        <f t="shared" si="79"/>
        <v/>
      </c>
      <c r="AM1257" t="str">
        <f>IF(AL1257="","",MAX($AF$1:$AF1257))</f>
        <v/>
      </c>
    </row>
    <row r="1258" spans="1:39" ht="13.5" customHeight="1" x14ac:dyDescent="0.3">
      <c r="A1258" s="8" t="s">
        <v>37</v>
      </c>
      <c r="B1258" s="9"/>
      <c r="C1258" s="10">
        <v>5</v>
      </c>
      <c r="D1258" s="11"/>
      <c r="E1258" s="2"/>
      <c r="AB1258" t="str" cm="1">
        <f t="array" ref="AB1258:AC1258">_xlfn._xlws.FILTER(A1258:Z1258,A1258:Z1258&lt;&gt;"","")</f>
        <v>Hindi</v>
      </c>
      <c r="AC1258">
        <v>5</v>
      </c>
      <c r="AD1258" t="str">
        <v/>
      </c>
      <c r="AE1258" t="str">
        <v/>
      </c>
      <c r="AF1258" t="str" cm="1">
        <f t="array" ref="AF1258">IF(AD1258="","",SUMPRODUCT(IF(LEFT($AD$1:AD1258,2)="JS",1,0)))</f>
        <v/>
      </c>
      <c r="AG1258" t="str">
        <f t="shared" si="76"/>
        <v/>
      </c>
      <c r="AH1258" t="str">
        <f t="shared" si="77"/>
        <v/>
      </c>
      <c r="AI1258" t="str">
        <f>IF(AH1258="","",MAX($AF$1:$AF1258))</f>
        <v/>
      </c>
      <c r="AJ1258" t="str">
        <f t="shared" si="78"/>
        <v/>
      </c>
      <c r="AK1258" t="str">
        <f>IF(AJ1258="","",MAX($AF$1:$AF1258))</f>
        <v/>
      </c>
      <c r="AL1258" t="str">
        <f t="shared" si="79"/>
        <v/>
      </c>
      <c r="AM1258" t="str">
        <f>IF(AL1258="","",MAX($AF$1:$AF1258))</f>
        <v/>
      </c>
    </row>
    <row r="1259" spans="1:39" ht="13.5" customHeight="1" x14ac:dyDescent="0.3">
      <c r="A1259" s="8" t="s">
        <v>38</v>
      </c>
      <c r="B1259" s="9"/>
      <c r="C1259" s="10">
        <v>5</v>
      </c>
      <c r="D1259" s="11"/>
      <c r="E1259" s="2"/>
      <c r="AB1259" t="str" cm="1">
        <f t="array" ref="AB1259:AC1259">_xlfn._xlws.FILTER(A1259:Z1259,A1259:Z1259&lt;&gt;"","")</f>
        <v>Japanese</v>
      </c>
      <c r="AC1259">
        <v>5</v>
      </c>
      <c r="AD1259" t="str">
        <v/>
      </c>
      <c r="AE1259" t="str">
        <v/>
      </c>
      <c r="AF1259" t="str" cm="1">
        <f t="array" ref="AF1259">IF(AD1259="","",SUMPRODUCT(IF(LEFT($AD$1:AD1259,2)="JS",1,0)))</f>
        <v/>
      </c>
      <c r="AG1259" t="str">
        <f t="shared" si="76"/>
        <v/>
      </c>
      <c r="AH1259" t="str">
        <f t="shared" si="77"/>
        <v/>
      </c>
      <c r="AI1259" t="str">
        <f>IF(AH1259="","",MAX($AF$1:$AF1259))</f>
        <v/>
      </c>
      <c r="AJ1259" t="str">
        <f t="shared" si="78"/>
        <v/>
      </c>
      <c r="AK1259" t="str">
        <f>IF(AJ1259="","",MAX($AF$1:$AF1259))</f>
        <v/>
      </c>
      <c r="AL1259" t="str">
        <f t="shared" si="79"/>
        <v/>
      </c>
      <c r="AM1259" t="str">
        <f>IF(AL1259="","",MAX($AF$1:$AF1259))</f>
        <v/>
      </c>
    </row>
    <row r="1260" spans="1:39" ht="13.5" customHeight="1" x14ac:dyDescent="0.3">
      <c r="A1260" s="8" t="s">
        <v>39</v>
      </c>
      <c r="B1260" s="9"/>
      <c r="C1260" s="10">
        <v>5</v>
      </c>
      <c r="D1260" s="11"/>
      <c r="E1260" s="2"/>
      <c r="AB1260" t="str" cm="1">
        <f t="array" ref="AB1260:AC1260">_xlfn._xlws.FILTER(A1260:Z1260,A1260:Z1260&lt;&gt;"","")</f>
        <v>Spanish</v>
      </c>
      <c r="AC1260">
        <v>5</v>
      </c>
      <c r="AD1260" t="str">
        <v/>
      </c>
      <c r="AE1260" t="str">
        <v/>
      </c>
      <c r="AF1260" t="str" cm="1">
        <f t="array" ref="AF1260">IF(AD1260="","",SUMPRODUCT(IF(LEFT($AD$1:AD1260,2)="JS",1,0)))</f>
        <v/>
      </c>
      <c r="AG1260" t="str">
        <f t="shared" si="76"/>
        <v/>
      </c>
      <c r="AH1260" t="str">
        <f t="shared" si="77"/>
        <v/>
      </c>
      <c r="AI1260" t="str">
        <f>IF(AH1260="","",MAX($AF$1:$AF1260))</f>
        <v/>
      </c>
      <c r="AJ1260" t="str">
        <f t="shared" si="78"/>
        <v/>
      </c>
      <c r="AK1260" t="str">
        <f>IF(AJ1260="","",MAX($AF$1:$AF1260))</f>
        <v/>
      </c>
      <c r="AL1260" t="str">
        <f t="shared" si="79"/>
        <v/>
      </c>
      <c r="AM1260" t="str">
        <f>IF(AL1260="","",MAX($AF$1:$AF1260))</f>
        <v/>
      </c>
    </row>
    <row r="1261" spans="1:39" ht="13.5" customHeight="1" x14ac:dyDescent="0.3">
      <c r="A1261" s="8" t="s">
        <v>40</v>
      </c>
      <c r="B1261" s="9"/>
      <c r="C1261" s="10">
        <v>5</v>
      </c>
      <c r="D1261" s="11"/>
      <c r="E1261" s="2"/>
      <c r="AB1261" t="str" cm="1">
        <f t="array" ref="AB1261:AC1261">_xlfn._xlws.FILTER(A1261:Z1261,A1261:Z1261&lt;&gt;"","")</f>
        <v>Urdu</v>
      </c>
      <c r="AC1261">
        <v>5</v>
      </c>
      <c r="AD1261" t="str">
        <v/>
      </c>
      <c r="AE1261" t="str">
        <v/>
      </c>
      <c r="AF1261" t="str" cm="1">
        <f t="array" ref="AF1261">IF(AD1261="","",SUMPRODUCT(IF(LEFT($AD$1:AD1261,2)="JS",1,0)))</f>
        <v/>
      </c>
      <c r="AG1261" t="str">
        <f t="shared" si="76"/>
        <v/>
      </c>
      <c r="AH1261" t="str">
        <f t="shared" si="77"/>
        <v/>
      </c>
      <c r="AI1261" t="str">
        <f>IF(AH1261="","",MAX($AF$1:$AF1261))</f>
        <v/>
      </c>
      <c r="AJ1261" t="str">
        <f t="shared" si="78"/>
        <v/>
      </c>
      <c r="AK1261" t="str">
        <f>IF(AJ1261="","",MAX($AF$1:$AF1261))</f>
        <v/>
      </c>
      <c r="AL1261" t="str">
        <f t="shared" si="79"/>
        <v/>
      </c>
      <c r="AM1261" t="str">
        <f>IF(AL1261="","",MAX($AF$1:$AF1261))</f>
        <v/>
      </c>
    </row>
    <row r="1262" spans="1:39" ht="26.25" customHeight="1" x14ac:dyDescent="0.3">
      <c r="A1262" s="26" t="s">
        <v>41</v>
      </c>
      <c r="B1262" s="26"/>
      <c r="C1262" s="26"/>
      <c r="D1262" s="26"/>
      <c r="E1262" s="26"/>
      <c r="AB1262" t="str" cm="1">
        <f t="array" ref="AB1262">_xlfn._xlws.FILTER(A1262:Z1262,A1262:Z1262&lt;&gt;"","")</f>
        <v>* Subject Weighting may be adjusted in the next admissions exercise</v>
      </c>
      <c r="AD1262" t="str">
        <v/>
      </c>
      <c r="AE1262" t="str">
        <v/>
      </c>
      <c r="AF1262" t="str" cm="1">
        <f t="array" ref="AF1262">IF(AD1262="","",SUMPRODUCT(IF(LEFT($AD$1:AD1262,2)="JS",1,0)))</f>
        <v/>
      </c>
      <c r="AG1262" t="str">
        <f t="shared" si="76"/>
        <v/>
      </c>
      <c r="AH1262" t="str">
        <f t="shared" si="77"/>
        <v/>
      </c>
      <c r="AI1262" t="str">
        <f>IF(AH1262="","",MAX($AF$1:$AF1262))</f>
        <v/>
      </c>
      <c r="AJ1262" t="str">
        <f t="shared" si="78"/>
        <v/>
      </c>
      <c r="AK1262" t="str">
        <f>IF(AJ1262="","",MAX($AF$1:$AF1262))</f>
        <v/>
      </c>
      <c r="AL1262" t="str">
        <f t="shared" si="79"/>
        <v/>
      </c>
      <c r="AM1262" t="str">
        <f>IF(AL1262="","",MAX($AF$1:$AF1262))</f>
        <v/>
      </c>
    </row>
    <row r="1263" spans="1:39" ht="15" customHeight="1" x14ac:dyDescent="0.3">
      <c r="A1263" s="27" t="s">
        <v>184</v>
      </c>
      <c r="B1263" s="27"/>
      <c r="C1263" s="27"/>
      <c r="D1263" s="23"/>
      <c r="E1263" s="23"/>
      <c r="AB1263" t="str" cm="1">
        <f t="array" ref="AB1263">_xlfn._xlws.FILTER(A1263:Z1263,A1263:Z1263&lt;&gt;"","")</f>
        <v>JUPAS Code: JS3571</v>
      </c>
      <c r="AD1263" t="str">
        <v>JS3571</v>
      </c>
      <c r="AE1263" t="str">
        <v/>
      </c>
      <c r="AF1263" cm="1">
        <f t="array" ref="AF1263">IF(AD1263="","",SUMPRODUCT(IF(LEFT($AD$1:AD1263,2)="JS",1,0)))</f>
        <v>25</v>
      </c>
      <c r="AG1263" t="str">
        <f t="shared" si="76"/>
        <v/>
      </c>
      <c r="AH1263" t="str">
        <f t="shared" si="77"/>
        <v/>
      </c>
      <c r="AI1263" t="str">
        <f>IF(AH1263="","",MAX($AF$1:$AF1263))</f>
        <v/>
      </c>
      <c r="AJ1263" t="str">
        <f t="shared" si="78"/>
        <v/>
      </c>
      <c r="AK1263" t="str">
        <f>IF(AJ1263="","",MAX($AF$1:$AF1263))</f>
        <v/>
      </c>
      <c r="AL1263" t="str">
        <f t="shared" si="79"/>
        <v/>
      </c>
      <c r="AM1263" t="str">
        <f>IF(AL1263="","",MAX($AF$1:$AF1263))</f>
        <v/>
      </c>
    </row>
    <row r="1264" spans="1:39" ht="24" customHeight="1" x14ac:dyDescent="0.3">
      <c r="A1264" s="27" t="s">
        <v>185</v>
      </c>
      <c r="B1264" s="27"/>
      <c r="C1264" s="27"/>
      <c r="D1264" s="23"/>
      <c r="E1264" s="23"/>
      <c r="AB1264" t="str" cm="1">
        <f t="array" ref="AB1264">_xlfn._xlws.FILTER(A1264:Z1264,A1264:Z1264&lt;&gt;"","")</f>
        <v>Programme Title: BSc (Hons) Scheme in Logistics and Enterprise Engineering</v>
      </c>
      <c r="AD1264" t="str">
        <v/>
      </c>
      <c r="AE1264" t="str">
        <v>BSc (Hons) Scheme in Logistics and Enterprise Engineering</v>
      </c>
      <c r="AF1264" t="str" cm="1">
        <f t="array" ref="AF1264">IF(AD1264="","",SUMPRODUCT(IF(LEFT($AD$1:AD1264,2)="JS",1,0)))</f>
        <v/>
      </c>
      <c r="AG1264" t="str">
        <f t="shared" si="76"/>
        <v/>
      </c>
      <c r="AH1264" t="str">
        <f t="shared" si="77"/>
        <v/>
      </c>
      <c r="AI1264" t="str">
        <f>IF(AH1264="","",MAX($AF$1:$AF1264))</f>
        <v/>
      </c>
      <c r="AJ1264" t="str">
        <f t="shared" si="78"/>
        <v/>
      </c>
      <c r="AK1264" t="str">
        <f>IF(AJ1264="","",MAX($AF$1:$AF1264))</f>
        <v/>
      </c>
      <c r="AL1264" t="str">
        <f t="shared" si="79"/>
        <v/>
      </c>
      <c r="AM1264" t="str">
        <f>IF(AL1264="","",MAX($AF$1:$AF1264))</f>
        <v/>
      </c>
    </row>
    <row r="1265" spans="1:39" ht="12.75" customHeight="1" x14ac:dyDescent="0.3">
      <c r="A1265" s="28" t="s">
        <v>113</v>
      </c>
      <c r="B1265" s="28"/>
      <c r="C1265" s="28"/>
      <c r="D1265" s="23"/>
      <c r="E1265" s="23"/>
      <c r="AB1265" t="str" cm="1">
        <f t="array" ref="AB1265">_xlfn._xlws.FILTER(A1265:Z1265,A1265:Z1265&lt;&gt;"","")</f>
        <v>Category A: Core and Elective Subjects</v>
      </c>
      <c r="AD1265" t="str">
        <v/>
      </c>
      <c r="AE1265" t="str">
        <v/>
      </c>
      <c r="AF1265" t="str" cm="1">
        <f t="array" ref="AF1265">IF(AD1265="","",SUMPRODUCT(IF(LEFT($AD$1:AD1265,2)="JS",1,0)))</f>
        <v/>
      </c>
      <c r="AG1265" t="str">
        <f t="shared" si="76"/>
        <v/>
      </c>
      <c r="AH1265" t="str">
        <f t="shared" si="77"/>
        <v/>
      </c>
      <c r="AI1265" t="str">
        <f>IF(AH1265="","",MAX($AF$1:$AF1265))</f>
        <v/>
      </c>
      <c r="AJ1265" t="str">
        <f t="shared" si="78"/>
        <v/>
      </c>
      <c r="AK1265" t="str">
        <f>IF(AJ1265="","",MAX($AF$1:$AF1265))</f>
        <v/>
      </c>
      <c r="AL1265" t="str">
        <f t="shared" si="79"/>
        <v/>
      </c>
      <c r="AM1265" t="str">
        <f>IF(AL1265="","",MAX($AF$1:$AF1265))</f>
        <v/>
      </c>
    </row>
    <row r="1266" spans="1:39" ht="12.75" customHeight="1" x14ac:dyDescent="0.3">
      <c r="A1266" s="3" t="s">
        <v>114</v>
      </c>
      <c r="B1266" s="24" t="s">
        <v>115</v>
      </c>
      <c r="C1266" s="25"/>
      <c r="D1266" s="12"/>
      <c r="E1266" s="12"/>
      <c r="AB1266" t="str" cm="1">
        <f t="array" ref="AB1266:AC1266">_xlfn._xlws.FILTER(A1266:Z1266,A1266:Z1266&lt;&gt;"","")</f>
        <v>Subject Name</v>
      </c>
      <c r="AC1266" t="str">
        <v>Subject Weighting for 2023/24 Admission Exercise *</v>
      </c>
      <c r="AD1266" t="str">
        <v/>
      </c>
      <c r="AE1266" t="str">
        <v/>
      </c>
      <c r="AF1266" t="str" cm="1">
        <f t="array" ref="AF1266">IF(AD1266="","",SUMPRODUCT(IF(LEFT($AD$1:AD1266,2)="JS",1,0)))</f>
        <v/>
      </c>
      <c r="AG1266" t="str">
        <f t="shared" si="76"/>
        <v/>
      </c>
      <c r="AH1266" t="str">
        <f t="shared" si="77"/>
        <v/>
      </c>
      <c r="AI1266" t="str">
        <f>IF(AH1266="","",MAX($AF$1:$AF1266))</f>
        <v/>
      </c>
      <c r="AJ1266" t="str">
        <f t="shared" si="78"/>
        <v/>
      </c>
      <c r="AK1266" t="str">
        <f>IF(AJ1266="","",MAX($AF$1:$AF1266))</f>
        <v/>
      </c>
      <c r="AL1266" t="str">
        <f t="shared" si="79"/>
        <v/>
      </c>
      <c r="AM1266" t="str">
        <f>IF(AL1266="","",MAX($AF$1:$AF1266))</f>
        <v/>
      </c>
    </row>
    <row r="1267" spans="1:39" ht="12.75" customHeight="1" x14ac:dyDescent="0.3">
      <c r="A1267" s="4" t="s">
        <v>211</v>
      </c>
      <c r="B1267" s="19">
        <v>5</v>
      </c>
      <c r="C1267" s="20"/>
      <c r="D1267" s="12"/>
      <c r="E1267" s="12"/>
      <c r="AB1267" t="str" cm="1">
        <f t="array" ref="AB1267:AC1267">_xlfn._xlws.FILTER(A1267:Z1267,A1267:Z1267&lt;&gt;"","")</f>
        <v>BIO</v>
      </c>
      <c r="AC1267">
        <v>5</v>
      </c>
      <c r="AD1267" t="str">
        <v/>
      </c>
      <c r="AE1267" t="str">
        <v/>
      </c>
      <c r="AF1267" t="str" cm="1">
        <f t="array" ref="AF1267">IF(AD1267="","",SUMPRODUCT(IF(LEFT($AD$1:AD1267,2)="JS",1,0)))</f>
        <v/>
      </c>
      <c r="AG1267" t="b">
        <f t="shared" si="76"/>
        <v>1</v>
      </c>
      <c r="AH1267" t="str">
        <f t="shared" si="77"/>
        <v/>
      </c>
      <c r="AI1267" t="str">
        <f>IF(AH1267="","",MAX($AF$1:$AF1267))</f>
        <v/>
      </c>
      <c r="AJ1267" t="str">
        <f t="shared" si="78"/>
        <v/>
      </c>
      <c r="AK1267" t="str">
        <f>IF(AJ1267="","",MAX($AF$1:$AF1267))</f>
        <v/>
      </c>
      <c r="AL1267" t="str">
        <f t="shared" si="79"/>
        <v>BIO</v>
      </c>
      <c r="AM1267">
        <f>IF(AL1267="","",MAX($AF$1:$AF1267))</f>
        <v>25</v>
      </c>
    </row>
    <row r="1268" spans="1:39" ht="12.75" customHeight="1" x14ac:dyDescent="0.3">
      <c r="A1268" s="4" t="s">
        <v>213</v>
      </c>
      <c r="B1268" s="19">
        <v>5</v>
      </c>
      <c r="C1268" s="20"/>
      <c r="D1268" s="12"/>
      <c r="E1268" s="12"/>
      <c r="AB1268" t="str" cm="1">
        <f t="array" ref="AB1268:AC1268">_xlfn._xlws.FILTER(A1268:Z1268,A1268:Z1268&lt;&gt;"","")</f>
        <v>BAFS</v>
      </c>
      <c r="AC1268">
        <v>5</v>
      </c>
      <c r="AD1268" t="str">
        <v/>
      </c>
      <c r="AE1268" t="str">
        <v/>
      </c>
      <c r="AF1268" t="str" cm="1">
        <f t="array" ref="AF1268">IF(AD1268="","",SUMPRODUCT(IF(LEFT($AD$1:AD1268,2)="JS",1,0)))</f>
        <v/>
      </c>
      <c r="AG1268" t="b">
        <f t="shared" si="76"/>
        <v>1</v>
      </c>
      <c r="AH1268" t="str">
        <f t="shared" si="77"/>
        <v/>
      </c>
      <c r="AI1268" t="str">
        <f>IF(AH1268="","",MAX($AF$1:$AF1268))</f>
        <v/>
      </c>
      <c r="AJ1268" t="str">
        <f t="shared" si="78"/>
        <v/>
      </c>
      <c r="AK1268" t="str">
        <f>IF(AJ1268="","",MAX($AF$1:$AF1268))</f>
        <v/>
      </c>
      <c r="AL1268" t="str">
        <f t="shared" si="79"/>
        <v>BAFS</v>
      </c>
      <c r="AM1268">
        <f>IF(AL1268="","",MAX($AF$1:$AF1268))</f>
        <v>25</v>
      </c>
    </row>
    <row r="1269" spans="1:39" ht="12.75" customHeight="1" x14ac:dyDescent="0.3">
      <c r="A1269" s="4" t="s">
        <v>116</v>
      </c>
      <c r="B1269" s="19">
        <v>5</v>
      </c>
      <c r="C1269" s="20"/>
      <c r="D1269" s="12"/>
      <c r="E1269" s="12"/>
      <c r="AB1269" t="str" cm="1">
        <f t="array" ref="AB1269:AC1269">_xlfn._xlws.FILTER(A1269:Z1269,A1269:Z1269&lt;&gt;"","")</f>
        <v>Business, Accounting and Financial Studies (Accounting)</v>
      </c>
      <c r="AC1269">
        <v>5</v>
      </c>
      <c r="AD1269" t="str">
        <v/>
      </c>
      <c r="AE1269" t="str">
        <v/>
      </c>
      <c r="AF1269" t="str" cm="1">
        <f t="array" ref="AF1269">IF(AD1269="","",SUMPRODUCT(IF(LEFT($AD$1:AD1269,2)="JS",1,0)))</f>
        <v/>
      </c>
      <c r="AG1269" t="str">
        <f t="shared" si="76"/>
        <v/>
      </c>
      <c r="AH1269" t="str">
        <f t="shared" si="77"/>
        <v/>
      </c>
      <c r="AI1269" t="str">
        <f>IF(AH1269="","",MAX($AF$1:$AF1269))</f>
        <v/>
      </c>
      <c r="AJ1269" t="str">
        <f t="shared" si="78"/>
        <v/>
      </c>
      <c r="AK1269" t="str">
        <f>IF(AJ1269="","",MAX($AF$1:$AF1269))</f>
        <v/>
      </c>
      <c r="AL1269" t="str">
        <f t="shared" si="79"/>
        <v/>
      </c>
      <c r="AM1269" t="str">
        <f>IF(AL1269="","",MAX($AF$1:$AF1269))</f>
        <v/>
      </c>
    </row>
    <row r="1270" spans="1:39" ht="12.75" customHeight="1" x14ac:dyDescent="0.3">
      <c r="A1270" s="4" t="s">
        <v>117</v>
      </c>
      <c r="B1270" s="19">
        <v>5</v>
      </c>
      <c r="C1270" s="20"/>
      <c r="D1270" s="12"/>
      <c r="E1270" s="12"/>
      <c r="AB1270" t="str" cm="1">
        <f t="array" ref="AB1270:AC1270">_xlfn._xlws.FILTER(A1270:Z1270,A1270:Z1270&lt;&gt;"","")</f>
        <v>Business, Accounting and Financial Studies (Business Management)</v>
      </c>
      <c r="AC1270">
        <v>5</v>
      </c>
      <c r="AD1270" t="str">
        <v/>
      </c>
      <c r="AE1270" t="str">
        <v/>
      </c>
      <c r="AF1270" t="str" cm="1">
        <f t="array" ref="AF1270">IF(AD1270="","",SUMPRODUCT(IF(LEFT($AD$1:AD1270,2)="JS",1,0)))</f>
        <v/>
      </c>
      <c r="AG1270" t="str">
        <f t="shared" si="76"/>
        <v/>
      </c>
      <c r="AH1270" t="str">
        <f t="shared" si="77"/>
        <v/>
      </c>
      <c r="AI1270" t="str">
        <f>IF(AH1270="","",MAX($AF$1:$AF1270))</f>
        <v/>
      </c>
      <c r="AJ1270" t="str">
        <f t="shared" si="78"/>
        <v/>
      </c>
      <c r="AK1270" t="str">
        <f>IF(AJ1270="","",MAX($AF$1:$AF1270))</f>
        <v/>
      </c>
      <c r="AL1270" t="str">
        <f t="shared" si="79"/>
        <v/>
      </c>
      <c r="AM1270" t="str">
        <f>IF(AL1270="","",MAX($AF$1:$AF1270))</f>
        <v/>
      </c>
    </row>
    <row r="1271" spans="1:39" ht="12.75" customHeight="1" x14ac:dyDescent="0.3">
      <c r="A1271" s="4" t="s">
        <v>212</v>
      </c>
      <c r="B1271" s="19">
        <v>5</v>
      </c>
      <c r="C1271" s="20"/>
      <c r="D1271" s="12"/>
      <c r="E1271" s="12"/>
      <c r="AB1271" t="str" cm="1">
        <f t="array" ref="AB1271:AC1271">_xlfn._xlws.FILTER(A1271:Z1271,A1271:Z1271&lt;&gt;"","")</f>
        <v>CHEM</v>
      </c>
      <c r="AC1271">
        <v>5</v>
      </c>
      <c r="AD1271" t="str">
        <v/>
      </c>
      <c r="AE1271" t="str">
        <v/>
      </c>
      <c r="AF1271" t="str" cm="1">
        <f t="array" ref="AF1271">IF(AD1271="","",SUMPRODUCT(IF(LEFT($AD$1:AD1271,2)="JS",1,0)))</f>
        <v/>
      </c>
      <c r="AG1271" t="b">
        <f t="shared" si="76"/>
        <v>1</v>
      </c>
      <c r="AH1271" t="str">
        <f t="shared" si="77"/>
        <v/>
      </c>
      <c r="AI1271" t="str">
        <f>IF(AH1271="","",MAX($AF$1:$AF1271))</f>
        <v/>
      </c>
      <c r="AJ1271" t="str">
        <f t="shared" si="78"/>
        <v/>
      </c>
      <c r="AK1271" t="str">
        <f>IF(AJ1271="","",MAX($AF$1:$AF1271))</f>
        <v/>
      </c>
      <c r="AL1271" t="str">
        <f t="shared" si="79"/>
        <v>CHEM</v>
      </c>
      <c r="AM1271">
        <f>IF(AL1271="","",MAX($AF$1:$AF1271))</f>
        <v>25</v>
      </c>
    </row>
    <row r="1272" spans="1:39" ht="12.75" customHeight="1" x14ac:dyDescent="0.3">
      <c r="A1272" s="4" t="s">
        <v>214</v>
      </c>
      <c r="B1272" s="19">
        <v>5</v>
      </c>
      <c r="C1272" s="20"/>
      <c r="D1272" s="12"/>
      <c r="E1272" s="12"/>
      <c r="AB1272" t="str" cm="1">
        <f t="array" ref="AB1272:AC1272">_xlfn._xlws.FILTER(A1272:Z1272,A1272:Z1272&lt;&gt;"","")</f>
        <v>中史</v>
      </c>
      <c r="AC1272">
        <v>5</v>
      </c>
      <c r="AD1272" t="str">
        <v/>
      </c>
      <c r="AE1272" t="str">
        <v/>
      </c>
      <c r="AF1272" t="str" cm="1">
        <f t="array" ref="AF1272">IF(AD1272="","",SUMPRODUCT(IF(LEFT($AD$1:AD1272,2)="JS",1,0)))</f>
        <v/>
      </c>
      <c r="AG1272" t="b">
        <f t="shared" si="76"/>
        <v>1</v>
      </c>
      <c r="AH1272" t="str">
        <f t="shared" si="77"/>
        <v/>
      </c>
      <c r="AI1272" t="str">
        <f>IF(AH1272="","",MAX($AF$1:$AF1272))</f>
        <v/>
      </c>
      <c r="AJ1272" t="str">
        <f t="shared" si="78"/>
        <v/>
      </c>
      <c r="AK1272" t="str">
        <f>IF(AJ1272="","",MAX($AF$1:$AF1272))</f>
        <v/>
      </c>
      <c r="AL1272" t="str">
        <f t="shared" si="79"/>
        <v>中史</v>
      </c>
      <c r="AM1272">
        <f>IF(AL1272="","",MAX($AF$1:$AF1272))</f>
        <v>25</v>
      </c>
    </row>
    <row r="1273" spans="1:39" ht="12.75" customHeight="1" x14ac:dyDescent="0.3">
      <c r="A1273" s="4" t="s">
        <v>216</v>
      </c>
      <c r="B1273" s="19">
        <v>7</v>
      </c>
      <c r="C1273" s="20"/>
      <c r="D1273" s="12"/>
      <c r="E1273" s="12"/>
      <c r="AB1273" t="str" cm="1">
        <f t="array" ref="AB1273:AC1273">_xlfn._xlws.FILTER(A1273:Z1273,A1273:Z1273&lt;&gt;"","")</f>
        <v>中文</v>
      </c>
      <c r="AC1273">
        <v>7</v>
      </c>
      <c r="AD1273" t="str">
        <v/>
      </c>
      <c r="AE1273" t="str">
        <v/>
      </c>
      <c r="AF1273" t="str" cm="1">
        <f t="array" ref="AF1273">IF(AD1273="","",SUMPRODUCT(IF(LEFT($AD$1:AD1273,2)="JS",1,0)))</f>
        <v/>
      </c>
      <c r="AG1273" t="b">
        <f t="shared" si="76"/>
        <v>1</v>
      </c>
      <c r="AH1273" t="str">
        <f t="shared" si="77"/>
        <v/>
      </c>
      <c r="AI1273" t="str">
        <f>IF(AH1273="","",MAX($AF$1:$AF1273))</f>
        <v/>
      </c>
      <c r="AJ1273" t="str">
        <f t="shared" si="78"/>
        <v>中文</v>
      </c>
      <c r="AK1273">
        <f>IF(AJ1273="","",MAX($AF$1:$AF1273))</f>
        <v>25</v>
      </c>
      <c r="AL1273" t="str">
        <f t="shared" si="79"/>
        <v/>
      </c>
      <c r="AM1273" t="str">
        <f>IF(AL1273="","",MAX($AF$1:$AF1273))</f>
        <v/>
      </c>
    </row>
    <row r="1274" spans="1:39" ht="12.75" customHeight="1" x14ac:dyDescent="0.3">
      <c r="A1274" s="4" t="s">
        <v>118</v>
      </c>
      <c r="B1274" s="19">
        <v>5</v>
      </c>
      <c r="C1274" s="20"/>
      <c r="D1274" s="12"/>
      <c r="E1274" s="12"/>
      <c r="AB1274" t="str" cm="1">
        <f t="array" ref="AB1274:AC1274">_xlfn._xlws.FILTER(A1274:Z1274,A1274:Z1274&lt;&gt;"","")</f>
        <v>Chinese Literature</v>
      </c>
      <c r="AC1274">
        <v>5</v>
      </c>
      <c r="AD1274" t="str">
        <v/>
      </c>
      <c r="AE1274" t="str">
        <v/>
      </c>
      <c r="AF1274" t="str" cm="1">
        <f t="array" ref="AF1274">IF(AD1274="","",SUMPRODUCT(IF(LEFT($AD$1:AD1274,2)="JS",1,0)))</f>
        <v/>
      </c>
      <c r="AG1274" t="str">
        <f t="shared" si="76"/>
        <v/>
      </c>
      <c r="AH1274" t="str">
        <f t="shared" si="77"/>
        <v/>
      </c>
      <c r="AI1274" t="str">
        <f>IF(AH1274="","",MAX($AF$1:$AF1274))</f>
        <v/>
      </c>
      <c r="AJ1274" t="str">
        <f t="shared" si="78"/>
        <v/>
      </c>
      <c r="AK1274" t="str">
        <f>IF(AJ1274="","",MAX($AF$1:$AF1274))</f>
        <v/>
      </c>
      <c r="AL1274" t="str">
        <f t="shared" si="79"/>
        <v/>
      </c>
      <c r="AM1274" t="str">
        <f>IF(AL1274="","",MAX($AF$1:$AF1274))</f>
        <v/>
      </c>
    </row>
    <row r="1275" spans="1:39" ht="12.75" customHeight="1" x14ac:dyDescent="0.3">
      <c r="A1275" s="4" t="s">
        <v>119</v>
      </c>
      <c r="B1275" s="19">
        <v>5</v>
      </c>
      <c r="C1275" s="20"/>
      <c r="D1275" s="12"/>
      <c r="E1275" s="12"/>
      <c r="AB1275" t="str" cm="1">
        <f t="array" ref="AB1275:AC1275">_xlfn._xlws.FILTER(A1275:Z1275,A1275:Z1275&lt;&gt;"","")</f>
        <v>Combined Science: Biology + Chemistry</v>
      </c>
      <c r="AC1275">
        <v>5</v>
      </c>
      <c r="AD1275" t="str">
        <v/>
      </c>
      <c r="AE1275" t="str">
        <v/>
      </c>
      <c r="AF1275" t="str" cm="1">
        <f t="array" ref="AF1275">IF(AD1275="","",SUMPRODUCT(IF(LEFT($AD$1:AD1275,2)="JS",1,0)))</f>
        <v/>
      </c>
      <c r="AG1275" t="str">
        <f t="shared" si="76"/>
        <v/>
      </c>
      <c r="AH1275" t="str">
        <f t="shared" si="77"/>
        <v/>
      </c>
      <c r="AI1275" t="str">
        <f>IF(AH1275="","",MAX($AF$1:$AF1275))</f>
        <v/>
      </c>
      <c r="AJ1275" t="str">
        <f t="shared" si="78"/>
        <v/>
      </c>
      <c r="AK1275" t="str">
        <f>IF(AJ1275="","",MAX($AF$1:$AF1275))</f>
        <v/>
      </c>
      <c r="AL1275" t="str">
        <f t="shared" si="79"/>
        <v/>
      </c>
      <c r="AM1275" t="str">
        <f>IF(AL1275="","",MAX($AF$1:$AF1275))</f>
        <v/>
      </c>
    </row>
    <row r="1276" spans="1:39" ht="12.75" customHeight="1" x14ac:dyDescent="0.3">
      <c r="A1276" s="4" t="s">
        <v>120</v>
      </c>
      <c r="B1276" s="19">
        <v>5</v>
      </c>
      <c r="C1276" s="20"/>
      <c r="D1276" s="12"/>
      <c r="E1276" s="12"/>
      <c r="AB1276" t="str" cm="1">
        <f t="array" ref="AB1276:AC1276">_xlfn._xlws.FILTER(A1276:Z1276,A1276:Z1276&lt;&gt;"","")</f>
        <v>Combined Science: Biology + Physics</v>
      </c>
      <c r="AC1276">
        <v>5</v>
      </c>
      <c r="AD1276" t="str">
        <v/>
      </c>
      <c r="AE1276" t="str">
        <v/>
      </c>
      <c r="AF1276" t="str" cm="1">
        <f t="array" ref="AF1276">IF(AD1276="","",SUMPRODUCT(IF(LEFT($AD$1:AD1276,2)="JS",1,0)))</f>
        <v/>
      </c>
      <c r="AG1276" t="str">
        <f t="shared" si="76"/>
        <v/>
      </c>
      <c r="AH1276" t="str">
        <f t="shared" si="77"/>
        <v/>
      </c>
      <c r="AI1276" t="str">
        <f>IF(AH1276="","",MAX($AF$1:$AF1276))</f>
        <v/>
      </c>
      <c r="AJ1276" t="str">
        <f t="shared" si="78"/>
        <v/>
      </c>
      <c r="AK1276" t="str">
        <f>IF(AJ1276="","",MAX($AF$1:$AF1276))</f>
        <v/>
      </c>
      <c r="AL1276" t="str">
        <f t="shared" si="79"/>
        <v/>
      </c>
      <c r="AM1276" t="str">
        <f>IF(AL1276="","",MAX($AF$1:$AF1276))</f>
        <v/>
      </c>
    </row>
    <row r="1277" spans="1:39" ht="12.75" customHeight="1" x14ac:dyDescent="0.3">
      <c r="A1277" s="4" t="s">
        <v>121</v>
      </c>
      <c r="B1277" s="19">
        <v>5</v>
      </c>
      <c r="C1277" s="20"/>
      <c r="D1277" s="12"/>
      <c r="E1277" s="12"/>
      <c r="AB1277" t="str" cm="1">
        <f t="array" ref="AB1277:AC1277">_xlfn._xlws.FILTER(A1277:Z1277,A1277:Z1277&lt;&gt;"","")</f>
        <v>Combined Science: Physics + Chemistry</v>
      </c>
      <c r="AC1277">
        <v>5</v>
      </c>
      <c r="AD1277" t="str">
        <v/>
      </c>
      <c r="AE1277" t="str">
        <v/>
      </c>
      <c r="AF1277" t="str" cm="1">
        <f t="array" ref="AF1277">IF(AD1277="","",SUMPRODUCT(IF(LEFT($AD$1:AD1277,2)="JS",1,0)))</f>
        <v/>
      </c>
      <c r="AG1277" t="str">
        <f t="shared" si="76"/>
        <v/>
      </c>
      <c r="AH1277" t="str">
        <f t="shared" si="77"/>
        <v/>
      </c>
      <c r="AI1277" t="str">
        <f>IF(AH1277="","",MAX($AF$1:$AF1277))</f>
        <v/>
      </c>
      <c r="AJ1277" t="str">
        <f t="shared" si="78"/>
        <v/>
      </c>
      <c r="AK1277" t="str">
        <f>IF(AJ1277="","",MAX($AF$1:$AF1277))</f>
        <v/>
      </c>
      <c r="AL1277" t="str">
        <f t="shared" si="79"/>
        <v/>
      </c>
      <c r="AM1277" t="str">
        <f>IF(AL1277="","",MAX($AF$1:$AF1277))</f>
        <v/>
      </c>
    </row>
    <row r="1278" spans="1:39" ht="12.75" customHeight="1" x14ac:dyDescent="0.3">
      <c r="A1278" s="4" t="s">
        <v>122</v>
      </c>
      <c r="B1278" s="19">
        <v>5</v>
      </c>
      <c r="C1278" s="20"/>
      <c r="D1278" s="12"/>
      <c r="E1278" s="12"/>
      <c r="AB1278" t="str" cm="1">
        <f t="array" ref="AB1278:AC1278">_xlfn._xlws.FILTER(A1278:Z1278,A1278:Z1278&lt;&gt;"","")</f>
        <v>Design and Applied Technology</v>
      </c>
      <c r="AC1278">
        <v>5</v>
      </c>
      <c r="AD1278" t="str">
        <v/>
      </c>
      <c r="AE1278" t="str">
        <v/>
      </c>
      <c r="AF1278" t="str" cm="1">
        <f t="array" ref="AF1278">IF(AD1278="","",SUMPRODUCT(IF(LEFT($AD$1:AD1278,2)="JS",1,0)))</f>
        <v/>
      </c>
      <c r="AG1278" t="str">
        <f t="shared" si="76"/>
        <v/>
      </c>
      <c r="AH1278" t="str">
        <f t="shared" si="77"/>
        <v/>
      </c>
      <c r="AI1278" t="str">
        <f>IF(AH1278="","",MAX($AF$1:$AF1278))</f>
        <v/>
      </c>
      <c r="AJ1278" t="str">
        <f t="shared" si="78"/>
        <v/>
      </c>
      <c r="AK1278" t="str">
        <f>IF(AJ1278="","",MAX($AF$1:$AF1278))</f>
        <v/>
      </c>
      <c r="AL1278" t="str">
        <f t="shared" si="79"/>
        <v/>
      </c>
      <c r="AM1278" t="str">
        <f>IF(AL1278="","",MAX($AF$1:$AF1278))</f>
        <v/>
      </c>
    </row>
    <row r="1279" spans="1:39" ht="12.75" customHeight="1" x14ac:dyDescent="0.3">
      <c r="A1279" s="4" t="s">
        <v>217</v>
      </c>
      <c r="B1279" s="19">
        <v>5</v>
      </c>
      <c r="C1279" s="20"/>
      <c r="D1279" s="12"/>
      <c r="E1279" s="12"/>
      <c r="AB1279" t="str" cm="1">
        <f t="array" ref="AB1279:AC1279">_xlfn._xlws.FILTER(A1279:Z1279,A1279:Z1279&lt;&gt;"","")</f>
        <v>ECON</v>
      </c>
      <c r="AC1279">
        <v>5</v>
      </c>
      <c r="AD1279" t="str">
        <v/>
      </c>
      <c r="AE1279" t="str">
        <v/>
      </c>
      <c r="AF1279" t="str" cm="1">
        <f t="array" ref="AF1279">IF(AD1279="","",SUMPRODUCT(IF(LEFT($AD$1:AD1279,2)="JS",1,0)))</f>
        <v/>
      </c>
      <c r="AG1279" t="b">
        <f t="shared" si="76"/>
        <v>1</v>
      </c>
      <c r="AH1279" t="str">
        <f t="shared" si="77"/>
        <v/>
      </c>
      <c r="AI1279" t="str">
        <f>IF(AH1279="","",MAX($AF$1:$AF1279))</f>
        <v/>
      </c>
      <c r="AJ1279" t="str">
        <f t="shared" si="78"/>
        <v/>
      </c>
      <c r="AK1279" t="str">
        <f>IF(AJ1279="","",MAX($AF$1:$AF1279))</f>
        <v/>
      </c>
      <c r="AL1279" t="str">
        <f t="shared" si="79"/>
        <v>ECON</v>
      </c>
      <c r="AM1279">
        <f>IF(AL1279="","",MAX($AF$1:$AF1279))</f>
        <v>25</v>
      </c>
    </row>
    <row r="1280" spans="1:39" ht="12.75" customHeight="1" x14ac:dyDescent="0.3">
      <c r="A1280" s="4" t="s">
        <v>218</v>
      </c>
      <c r="B1280" s="19">
        <v>10</v>
      </c>
      <c r="C1280" s="20"/>
      <c r="D1280" s="12"/>
      <c r="E1280" s="12"/>
      <c r="AB1280" t="str" cm="1">
        <f t="array" ref="AB1280:AC1280">_xlfn._xlws.FILTER(A1280:Z1280,A1280:Z1280&lt;&gt;"","")</f>
        <v>ENG</v>
      </c>
      <c r="AC1280">
        <v>10</v>
      </c>
      <c r="AD1280" t="str">
        <v/>
      </c>
      <c r="AE1280" t="str">
        <v/>
      </c>
      <c r="AF1280" t="str" cm="1">
        <f t="array" ref="AF1280">IF(AD1280="","",SUMPRODUCT(IF(LEFT($AD$1:AD1280,2)="JS",1,0)))</f>
        <v/>
      </c>
      <c r="AG1280" t="b">
        <f t="shared" si="76"/>
        <v>1</v>
      </c>
      <c r="AH1280" t="str">
        <f t="shared" si="77"/>
        <v>ENG</v>
      </c>
      <c r="AI1280">
        <f>IF(AH1280="","",MAX($AF$1:$AF1280))</f>
        <v>25</v>
      </c>
      <c r="AJ1280" t="str">
        <f t="shared" si="78"/>
        <v/>
      </c>
      <c r="AK1280" t="str">
        <f>IF(AJ1280="","",MAX($AF$1:$AF1280))</f>
        <v/>
      </c>
      <c r="AL1280" t="str">
        <f t="shared" si="79"/>
        <v/>
      </c>
      <c r="AM1280" t="str">
        <f>IF(AL1280="","",MAX($AF$1:$AF1280))</f>
        <v/>
      </c>
    </row>
    <row r="1281" spans="1:39" ht="12.75" customHeight="1" x14ac:dyDescent="0.3">
      <c r="A1281" s="4" t="s">
        <v>123</v>
      </c>
      <c r="B1281" s="19">
        <v>5</v>
      </c>
      <c r="C1281" s="20"/>
      <c r="D1281" s="12"/>
      <c r="E1281" s="12"/>
      <c r="AB1281" t="str" cm="1">
        <f t="array" ref="AB1281:AC1281">_xlfn._xlws.FILTER(A1281:Z1281,A1281:Z1281&lt;&gt;"","")</f>
        <v>Ethics and Religious Studies</v>
      </c>
      <c r="AC1281">
        <v>5</v>
      </c>
      <c r="AD1281" t="str">
        <v/>
      </c>
      <c r="AE1281" t="str">
        <v/>
      </c>
      <c r="AF1281" t="str" cm="1">
        <f t="array" ref="AF1281">IF(AD1281="","",SUMPRODUCT(IF(LEFT($AD$1:AD1281,2)="JS",1,0)))</f>
        <v/>
      </c>
      <c r="AG1281" t="str">
        <f t="shared" ref="AG1281:AG1344" si="80">IF(ISNUMBER(MATCH(AB1281,$AV$3:$AV$18,0)),TRUE,"")</f>
        <v/>
      </c>
      <c r="AH1281" t="str">
        <f t="shared" si="77"/>
        <v/>
      </c>
      <c r="AI1281" t="str">
        <f>IF(AH1281="","",MAX($AF$1:$AF1281))</f>
        <v/>
      </c>
      <c r="AJ1281" t="str">
        <f t="shared" si="78"/>
        <v/>
      </c>
      <c r="AK1281" t="str">
        <f>IF(AJ1281="","",MAX($AF$1:$AF1281))</f>
        <v/>
      </c>
      <c r="AL1281" t="str">
        <f t="shared" si="79"/>
        <v/>
      </c>
      <c r="AM1281" t="str">
        <f>IF(AL1281="","",MAX($AF$1:$AF1281))</f>
        <v/>
      </c>
    </row>
    <row r="1282" spans="1:39" ht="12.75" customHeight="1" x14ac:dyDescent="0.3">
      <c r="A1282" s="4" t="s">
        <v>219</v>
      </c>
      <c r="B1282" s="19">
        <v>5</v>
      </c>
      <c r="C1282" s="20"/>
      <c r="D1282" s="12"/>
      <c r="E1282" s="12"/>
      <c r="AB1282" t="str" cm="1">
        <f t="array" ref="AB1282:AC1282">_xlfn._xlws.FILTER(A1282:Z1282,A1282:Z1282&lt;&gt;"","")</f>
        <v>GEOG</v>
      </c>
      <c r="AC1282">
        <v>5</v>
      </c>
      <c r="AD1282" t="str">
        <v/>
      </c>
      <c r="AE1282" t="str">
        <v/>
      </c>
      <c r="AF1282" t="str" cm="1">
        <f t="array" ref="AF1282">IF(AD1282="","",SUMPRODUCT(IF(LEFT($AD$1:AD1282,2)="JS",1,0)))</f>
        <v/>
      </c>
      <c r="AG1282" t="b">
        <f t="shared" si="80"/>
        <v>1</v>
      </c>
      <c r="AH1282" t="str">
        <f t="shared" ref="AH1282:AH1345" si="81">IF(AND(AC1282=10,AG1282=TRUE),AB1282,"")</f>
        <v/>
      </c>
      <c r="AI1282" t="str">
        <f>IF(AH1282="","",MAX($AF$1:$AF1282))</f>
        <v/>
      </c>
      <c r="AJ1282" t="str">
        <f t="shared" ref="AJ1282:AJ1345" si="82">IF(AND(AC1282=7,AG1282=TRUE),AB1282,"")</f>
        <v/>
      </c>
      <c r="AK1282" t="str">
        <f>IF(AJ1282="","",MAX($AF$1:$AF1282))</f>
        <v/>
      </c>
      <c r="AL1282" t="str">
        <f t="shared" ref="AL1282:AL1345" si="83">IF(AND(AC1282=5,AG1282=TRUE),AB1282,"")</f>
        <v>GEOG</v>
      </c>
      <c r="AM1282">
        <f>IF(AL1282="","",MAX($AF$1:$AF1282))</f>
        <v>25</v>
      </c>
    </row>
    <row r="1283" spans="1:39" ht="12.75" customHeight="1" x14ac:dyDescent="0.3">
      <c r="A1283" s="4" t="s">
        <v>220</v>
      </c>
      <c r="B1283" s="19">
        <v>5</v>
      </c>
      <c r="C1283" s="20"/>
      <c r="D1283" s="12"/>
      <c r="E1283" s="12"/>
      <c r="AB1283" t="str" cm="1">
        <f t="array" ref="AB1283:AC1283">_xlfn._xlws.FILTER(A1283:Z1283,A1283:Z1283&lt;&gt;"","")</f>
        <v>HMSC</v>
      </c>
      <c r="AC1283">
        <v>5</v>
      </c>
      <c r="AD1283" t="str">
        <v/>
      </c>
      <c r="AE1283" t="str">
        <v/>
      </c>
      <c r="AF1283" t="str" cm="1">
        <f t="array" ref="AF1283">IF(AD1283="","",SUMPRODUCT(IF(LEFT($AD$1:AD1283,2)="JS",1,0)))</f>
        <v/>
      </c>
      <c r="AG1283" t="b">
        <f t="shared" si="80"/>
        <v>1</v>
      </c>
      <c r="AH1283" t="str">
        <f t="shared" si="81"/>
        <v/>
      </c>
      <c r="AI1283" t="str">
        <f>IF(AH1283="","",MAX($AF$1:$AF1283))</f>
        <v/>
      </c>
      <c r="AJ1283" t="str">
        <f t="shared" si="82"/>
        <v/>
      </c>
      <c r="AK1283" t="str">
        <f>IF(AJ1283="","",MAX($AF$1:$AF1283))</f>
        <v/>
      </c>
      <c r="AL1283" t="str">
        <f t="shared" si="83"/>
        <v>HMSC</v>
      </c>
      <c r="AM1283">
        <f>IF(AL1283="","",MAX($AF$1:$AF1283))</f>
        <v>25</v>
      </c>
    </row>
    <row r="1284" spans="1:39" ht="12.75" customHeight="1" x14ac:dyDescent="0.3">
      <c r="A1284" s="4" t="s">
        <v>221</v>
      </c>
      <c r="B1284" s="19">
        <v>5</v>
      </c>
      <c r="C1284" s="20"/>
      <c r="D1284" s="12"/>
      <c r="E1284" s="12"/>
      <c r="AB1284" t="str" cm="1">
        <f t="array" ref="AB1284:AC1284">_xlfn._xlws.FILTER(A1284:Z1284,A1284:Z1284&lt;&gt;"","")</f>
        <v>HIST</v>
      </c>
      <c r="AC1284">
        <v>5</v>
      </c>
      <c r="AD1284" t="str">
        <v/>
      </c>
      <c r="AE1284" t="str">
        <v/>
      </c>
      <c r="AF1284" t="str" cm="1">
        <f t="array" ref="AF1284">IF(AD1284="","",SUMPRODUCT(IF(LEFT($AD$1:AD1284,2)="JS",1,0)))</f>
        <v/>
      </c>
      <c r="AG1284" t="b">
        <f t="shared" si="80"/>
        <v>1</v>
      </c>
      <c r="AH1284" t="str">
        <f t="shared" si="81"/>
        <v/>
      </c>
      <c r="AI1284" t="str">
        <f>IF(AH1284="","",MAX($AF$1:$AF1284))</f>
        <v/>
      </c>
      <c r="AJ1284" t="str">
        <f t="shared" si="82"/>
        <v/>
      </c>
      <c r="AK1284" t="str">
        <f>IF(AJ1284="","",MAX($AF$1:$AF1284))</f>
        <v/>
      </c>
      <c r="AL1284" t="str">
        <f t="shared" si="83"/>
        <v>HIST</v>
      </c>
      <c r="AM1284">
        <f>IF(AL1284="","",MAX($AF$1:$AF1284))</f>
        <v>25</v>
      </c>
    </row>
    <row r="1285" spans="1:39" ht="12.75" customHeight="1" x14ac:dyDescent="0.3">
      <c r="A1285" s="4" t="s">
        <v>222</v>
      </c>
      <c r="B1285" s="19">
        <v>5</v>
      </c>
      <c r="C1285" s="20"/>
      <c r="D1285" s="12"/>
      <c r="E1285" s="12"/>
      <c r="AB1285" t="str" cm="1">
        <f t="array" ref="AB1285:AC1285">_xlfn._xlws.FILTER(A1285:Z1285,A1285:Z1285&lt;&gt;"","")</f>
        <v>ICT</v>
      </c>
      <c r="AC1285">
        <v>5</v>
      </c>
      <c r="AD1285" t="str">
        <v/>
      </c>
      <c r="AE1285" t="str">
        <v/>
      </c>
      <c r="AF1285" t="str" cm="1">
        <f t="array" ref="AF1285">IF(AD1285="","",SUMPRODUCT(IF(LEFT($AD$1:AD1285,2)="JS",1,0)))</f>
        <v/>
      </c>
      <c r="AG1285" t="b">
        <f t="shared" si="80"/>
        <v>1</v>
      </c>
      <c r="AH1285" t="str">
        <f t="shared" si="81"/>
        <v/>
      </c>
      <c r="AI1285" t="str">
        <f>IF(AH1285="","",MAX($AF$1:$AF1285))</f>
        <v/>
      </c>
      <c r="AJ1285" t="str">
        <f t="shared" si="82"/>
        <v/>
      </c>
      <c r="AK1285" t="str">
        <f>IF(AJ1285="","",MAX($AF$1:$AF1285))</f>
        <v/>
      </c>
      <c r="AL1285" t="str">
        <f t="shared" si="83"/>
        <v>ICT</v>
      </c>
      <c r="AM1285">
        <f>IF(AL1285="","",MAX($AF$1:$AF1285))</f>
        <v>25</v>
      </c>
    </row>
    <row r="1286" spans="1:39" ht="12.75" customHeight="1" x14ac:dyDescent="0.3">
      <c r="A1286" s="4" t="s">
        <v>124</v>
      </c>
      <c r="B1286" s="19">
        <v>5</v>
      </c>
      <c r="C1286" s="20"/>
      <c r="D1286" s="12"/>
      <c r="E1286" s="12"/>
      <c r="AB1286" t="str" cm="1">
        <f t="array" ref="AB1286:AC1286">_xlfn._xlws.FILTER(A1286:Z1286,A1286:Z1286&lt;&gt;"","")</f>
        <v>Integrated Science</v>
      </c>
      <c r="AC1286">
        <v>5</v>
      </c>
      <c r="AD1286" t="str">
        <v/>
      </c>
      <c r="AE1286" t="str">
        <v/>
      </c>
      <c r="AF1286" t="str" cm="1">
        <f t="array" ref="AF1286">IF(AD1286="","",SUMPRODUCT(IF(LEFT($AD$1:AD1286,2)="JS",1,0)))</f>
        <v/>
      </c>
      <c r="AG1286" t="str">
        <f t="shared" si="80"/>
        <v/>
      </c>
      <c r="AH1286" t="str">
        <f t="shared" si="81"/>
        <v/>
      </c>
      <c r="AI1286" t="str">
        <f>IF(AH1286="","",MAX($AF$1:$AF1286))</f>
        <v/>
      </c>
      <c r="AJ1286" t="str">
        <f t="shared" si="82"/>
        <v/>
      </c>
      <c r="AK1286" t="str">
        <f>IF(AJ1286="","",MAX($AF$1:$AF1286))</f>
        <v/>
      </c>
      <c r="AL1286" t="str">
        <f t="shared" si="83"/>
        <v/>
      </c>
      <c r="AM1286" t="str">
        <f>IF(AL1286="","",MAX($AF$1:$AF1286))</f>
        <v/>
      </c>
    </row>
    <row r="1287" spans="1:39" ht="12.75" customHeight="1" x14ac:dyDescent="0.3">
      <c r="A1287" s="4" t="s">
        <v>223</v>
      </c>
      <c r="B1287" s="19">
        <v>7</v>
      </c>
      <c r="C1287" s="20"/>
      <c r="D1287" s="12"/>
      <c r="E1287" s="12"/>
      <c r="AB1287" t="str" cm="1">
        <f t="array" ref="AB1287:AC1287">_xlfn._xlws.FILTER(A1287:Z1287,A1287:Z1287&lt;&gt;"","")</f>
        <v>通</v>
      </c>
      <c r="AC1287">
        <v>7</v>
      </c>
      <c r="AD1287" t="str">
        <v/>
      </c>
      <c r="AE1287" t="str">
        <v/>
      </c>
      <c r="AF1287" t="str" cm="1">
        <f t="array" ref="AF1287">IF(AD1287="","",SUMPRODUCT(IF(LEFT($AD$1:AD1287,2)="JS",1,0)))</f>
        <v/>
      </c>
      <c r="AG1287" t="b">
        <f t="shared" si="80"/>
        <v>1</v>
      </c>
      <c r="AH1287" t="str">
        <f t="shared" si="81"/>
        <v/>
      </c>
      <c r="AI1287" t="str">
        <f>IF(AH1287="","",MAX($AF$1:$AF1287))</f>
        <v/>
      </c>
      <c r="AJ1287" t="str">
        <f t="shared" si="82"/>
        <v>通</v>
      </c>
      <c r="AK1287">
        <f>IF(AJ1287="","",MAX($AF$1:$AF1287))</f>
        <v>25</v>
      </c>
      <c r="AL1287" t="str">
        <f t="shared" si="83"/>
        <v/>
      </c>
      <c r="AM1287" t="str">
        <f>IF(AL1287="","",MAX($AF$1:$AF1287))</f>
        <v/>
      </c>
    </row>
    <row r="1288" spans="1:39" ht="12.75" customHeight="1" x14ac:dyDescent="0.3">
      <c r="A1288" s="4" t="s">
        <v>125</v>
      </c>
      <c r="B1288" s="19">
        <v>5</v>
      </c>
      <c r="C1288" s="20"/>
      <c r="D1288" s="12"/>
      <c r="E1288" s="12"/>
      <c r="AB1288" t="str" cm="1">
        <f t="array" ref="AB1288:AC1288">_xlfn._xlws.FILTER(A1288:Z1288,A1288:Z1288&lt;&gt;"","")</f>
        <v>Literature in English</v>
      </c>
      <c r="AC1288">
        <v>5</v>
      </c>
      <c r="AD1288" t="str">
        <v/>
      </c>
      <c r="AE1288" t="str">
        <v/>
      </c>
      <c r="AF1288" t="str" cm="1">
        <f t="array" ref="AF1288">IF(AD1288="","",SUMPRODUCT(IF(LEFT($AD$1:AD1288,2)="JS",1,0)))</f>
        <v/>
      </c>
      <c r="AG1288" t="str">
        <f t="shared" si="80"/>
        <v/>
      </c>
      <c r="AH1288" t="str">
        <f t="shared" si="81"/>
        <v/>
      </c>
      <c r="AI1288" t="str">
        <f>IF(AH1288="","",MAX($AF$1:$AF1288))</f>
        <v/>
      </c>
      <c r="AJ1288" t="str">
        <f t="shared" si="82"/>
        <v/>
      </c>
      <c r="AK1288" t="str">
        <f>IF(AJ1288="","",MAX($AF$1:$AF1288))</f>
        <v/>
      </c>
      <c r="AL1288" t="str">
        <f t="shared" si="83"/>
        <v/>
      </c>
      <c r="AM1288" t="str">
        <f>IF(AL1288="","",MAX($AF$1:$AF1288))</f>
        <v/>
      </c>
    </row>
    <row r="1289" spans="1:39" ht="12.75" customHeight="1" x14ac:dyDescent="0.3">
      <c r="A1289" s="4" t="s">
        <v>224</v>
      </c>
      <c r="B1289" s="19">
        <v>10</v>
      </c>
      <c r="C1289" s="20"/>
      <c r="D1289" s="12"/>
      <c r="E1289" s="12"/>
      <c r="AB1289" t="str" cm="1">
        <f t="array" ref="AB1289:AC1289">_xlfn._xlws.FILTER(A1289:Z1289,A1289:Z1289&lt;&gt;"","")</f>
        <v>MATH</v>
      </c>
      <c r="AC1289">
        <v>10</v>
      </c>
      <c r="AD1289" t="str">
        <v/>
      </c>
      <c r="AE1289" t="str">
        <v/>
      </c>
      <c r="AF1289" t="str" cm="1">
        <f t="array" ref="AF1289">IF(AD1289="","",SUMPRODUCT(IF(LEFT($AD$1:AD1289,2)="JS",1,0)))</f>
        <v/>
      </c>
      <c r="AG1289" t="b">
        <f t="shared" si="80"/>
        <v>1</v>
      </c>
      <c r="AH1289" t="str">
        <f t="shared" si="81"/>
        <v>MATH</v>
      </c>
      <c r="AI1289">
        <f>IF(AH1289="","",MAX($AF$1:$AF1289))</f>
        <v>25</v>
      </c>
      <c r="AJ1289" t="str">
        <f t="shared" si="82"/>
        <v/>
      </c>
      <c r="AK1289" t="str">
        <f>IF(AJ1289="","",MAX($AF$1:$AF1289))</f>
        <v/>
      </c>
      <c r="AL1289" t="str">
        <f t="shared" si="83"/>
        <v/>
      </c>
      <c r="AM1289" t="str">
        <f>IF(AL1289="","",MAX($AF$1:$AF1289))</f>
        <v/>
      </c>
    </row>
    <row r="1290" spans="1:39" ht="12.75" customHeight="1" x14ac:dyDescent="0.3">
      <c r="A1290" s="4" t="s">
        <v>225</v>
      </c>
      <c r="B1290" s="19">
        <v>5</v>
      </c>
      <c r="C1290" s="20"/>
      <c r="D1290" s="12"/>
      <c r="E1290" s="12"/>
      <c r="AB1290" t="str" cm="1">
        <f t="array" ref="AB1290:AC1290">_xlfn._xlws.FILTER(A1290:Z1290,A1290:Z1290&lt;&gt;"","")</f>
        <v>M2</v>
      </c>
      <c r="AC1290">
        <v>5</v>
      </c>
      <c r="AD1290" t="str">
        <v/>
      </c>
      <c r="AE1290" t="str">
        <v/>
      </c>
      <c r="AF1290" t="str" cm="1">
        <f t="array" ref="AF1290">IF(AD1290="","",SUMPRODUCT(IF(LEFT($AD$1:AD1290,2)="JS",1,0)))</f>
        <v/>
      </c>
      <c r="AG1290" t="b">
        <f t="shared" si="80"/>
        <v>1</v>
      </c>
      <c r="AH1290" t="str">
        <f t="shared" si="81"/>
        <v/>
      </c>
      <c r="AI1290" t="str">
        <f>IF(AH1290="","",MAX($AF$1:$AF1290))</f>
        <v/>
      </c>
      <c r="AJ1290" t="str">
        <f t="shared" si="82"/>
        <v/>
      </c>
      <c r="AK1290" t="str">
        <f>IF(AJ1290="","",MAX($AF$1:$AF1290))</f>
        <v/>
      </c>
      <c r="AL1290" t="str">
        <f t="shared" si="83"/>
        <v>M2</v>
      </c>
      <c r="AM1290">
        <f>IF(AL1290="","",MAX($AF$1:$AF1290))</f>
        <v>25</v>
      </c>
    </row>
    <row r="1291" spans="1:39" ht="12.75" customHeight="1" x14ac:dyDescent="0.3">
      <c r="A1291" s="4" t="s">
        <v>126</v>
      </c>
      <c r="B1291" s="19">
        <v>5</v>
      </c>
      <c r="C1291" s="20"/>
      <c r="D1291" s="12"/>
      <c r="E1291" s="12"/>
      <c r="AB1291" t="str" cm="1">
        <f t="array" ref="AB1291:AC1291">_xlfn._xlws.FILTER(A1291:Z1291,A1291:Z1291&lt;&gt;"","")</f>
        <v>Mathematics (Extended part - Calculus and Statistics)</v>
      </c>
      <c r="AC1291">
        <v>5</v>
      </c>
      <c r="AD1291" t="str">
        <v/>
      </c>
      <c r="AE1291" t="str">
        <v/>
      </c>
      <c r="AF1291" t="str" cm="1">
        <f t="array" ref="AF1291">IF(AD1291="","",SUMPRODUCT(IF(LEFT($AD$1:AD1291,2)="JS",1,0)))</f>
        <v/>
      </c>
      <c r="AG1291" t="str">
        <f t="shared" si="80"/>
        <v/>
      </c>
      <c r="AH1291" t="str">
        <f t="shared" si="81"/>
        <v/>
      </c>
      <c r="AI1291" t="str">
        <f>IF(AH1291="","",MAX($AF$1:$AF1291))</f>
        <v/>
      </c>
      <c r="AJ1291" t="str">
        <f t="shared" si="82"/>
        <v/>
      </c>
      <c r="AK1291" t="str">
        <f>IF(AJ1291="","",MAX($AF$1:$AF1291))</f>
        <v/>
      </c>
      <c r="AL1291" t="str">
        <f t="shared" si="83"/>
        <v/>
      </c>
      <c r="AM1291" t="str">
        <f>IF(AL1291="","",MAX($AF$1:$AF1291))</f>
        <v/>
      </c>
    </row>
    <row r="1292" spans="1:39" ht="12.75" customHeight="1" x14ac:dyDescent="0.3">
      <c r="A1292" s="4" t="s">
        <v>127</v>
      </c>
      <c r="B1292" s="19">
        <v>5</v>
      </c>
      <c r="C1292" s="20"/>
      <c r="D1292" s="12"/>
      <c r="E1292" s="12"/>
      <c r="AB1292" t="str" cm="1">
        <f t="array" ref="AB1292:AC1292">_xlfn._xlws.FILTER(A1292:Z1292,A1292:Z1292&lt;&gt;"","")</f>
        <v>Music</v>
      </c>
      <c r="AC1292">
        <v>5</v>
      </c>
      <c r="AD1292" t="str">
        <v/>
      </c>
      <c r="AE1292" t="str">
        <v/>
      </c>
      <c r="AF1292" t="str" cm="1">
        <f t="array" ref="AF1292">IF(AD1292="","",SUMPRODUCT(IF(LEFT($AD$1:AD1292,2)="JS",1,0)))</f>
        <v/>
      </c>
      <c r="AG1292" t="str">
        <f t="shared" si="80"/>
        <v/>
      </c>
      <c r="AH1292" t="str">
        <f t="shared" si="81"/>
        <v/>
      </c>
      <c r="AI1292" t="str">
        <f>IF(AH1292="","",MAX($AF$1:$AF1292))</f>
        <v/>
      </c>
      <c r="AJ1292" t="str">
        <f t="shared" si="82"/>
        <v/>
      </c>
      <c r="AK1292" t="str">
        <f>IF(AJ1292="","",MAX($AF$1:$AF1292))</f>
        <v/>
      </c>
      <c r="AL1292" t="str">
        <f t="shared" si="83"/>
        <v/>
      </c>
      <c r="AM1292" t="str">
        <f>IF(AL1292="","",MAX($AF$1:$AF1292))</f>
        <v/>
      </c>
    </row>
    <row r="1293" spans="1:39" ht="12.75" customHeight="1" x14ac:dyDescent="0.3">
      <c r="A1293" s="4" t="s">
        <v>128</v>
      </c>
      <c r="B1293" s="19">
        <v>5</v>
      </c>
      <c r="C1293" s="20"/>
      <c r="D1293" s="12"/>
      <c r="E1293" s="12"/>
      <c r="AB1293" t="str" cm="1">
        <f t="array" ref="AB1293:AC1293">_xlfn._xlws.FILTER(A1293:Z1293,A1293:Z1293&lt;&gt;"","")</f>
        <v>Physical Education</v>
      </c>
      <c r="AC1293">
        <v>5</v>
      </c>
      <c r="AD1293" t="str">
        <v/>
      </c>
      <c r="AE1293" t="str">
        <v/>
      </c>
      <c r="AF1293" t="str" cm="1">
        <f t="array" ref="AF1293">IF(AD1293="","",SUMPRODUCT(IF(LEFT($AD$1:AD1293,2)="JS",1,0)))</f>
        <v/>
      </c>
      <c r="AG1293" t="str">
        <f t="shared" si="80"/>
        <v/>
      </c>
      <c r="AH1293" t="str">
        <f t="shared" si="81"/>
        <v/>
      </c>
      <c r="AI1293" t="str">
        <f>IF(AH1293="","",MAX($AF$1:$AF1293))</f>
        <v/>
      </c>
      <c r="AJ1293" t="str">
        <f t="shared" si="82"/>
        <v/>
      </c>
      <c r="AK1293" t="str">
        <f>IF(AJ1293="","",MAX($AF$1:$AF1293))</f>
        <v/>
      </c>
      <c r="AL1293" t="str">
        <f t="shared" si="83"/>
        <v/>
      </c>
      <c r="AM1293" t="str">
        <f>IF(AL1293="","",MAX($AF$1:$AF1293))</f>
        <v/>
      </c>
    </row>
    <row r="1294" spans="1:39" ht="12.75" customHeight="1" x14ac:dyDescent="0.3">
      <c r="A1294" s="4" t="s">
        <v>226</v>
      </c>
      <c r="B1294" s="19">
        <v>5</v>
      </c>
      <c r="C1294" s="20"/>
      <c r="D1294" s="12"/>
      <c r="E1294" s="12"/>
      <c r="AB1294" t="str" cm="1">
        <f t="array" ref="AB1294:AC1294">_xlfn._xlws.FILTER(A1294:Z1294,A1294:Z1294&lt;&gt;"","")</f>
        <v>PHY</v>
      </c>
      <c r="AC1294">
        <v>5</v>
      </c>
      <c r="AD1294" t="str">
        <v/>
      </c>
      <c r="AE1294" t="str">
        <v/>
      </c>
      <c r="AF1294" t="str" cm="1">
        <f t="array" ref="AF1294">IF(AD1294="","",SUMPRODUCT(IF(LEFT($AD$1:AD1294,2)="JS",1,0)))</f>
        <v/>
      </c>
      <c r="AG1294" t="b">
        <f t="shared" si="80"/>
        <v>1</v>
      </c>
      <c r="AH1294" t="str">
        <f t="shared" si="81"/>
        <v/>
      </c>
      <c r="AI1294" t="str">
        <f>IF(AH1294="","",MAX($AF$1:$AF1294))</f>
        <v/>
      </c>
      <c r="AJ1294" t="str">
        <f t="shared" si="82"/>
        <v/>
      </c>
      <c r="AK1294" t="str">
        <f>IF(AJ1294="","",MAX($AF$1:$AF1294))</f>
        <v/>
      </c>
      <c r="AL1294" t="str">
        <f t="shared" si="83"/>
        <v>PHY</v>
      </c>
      <c r="AM1294">
        <f>IF(AL1294="","",MAX($AF$1:$AF1294))</f>
        <v>25</v>
      </c>
    </row>
    <row r="1295" spans="1:39" ht="12.75" customHeight="1" x14ac:dyDescent="0.3">
      <c r="A1295" s="4" t="s">
        <v>129</v>
      </c>
      <c r="B1295" s="19">
        <v>5</v>
      </c>
      <c r="C1295" s="20"/>
      <c r="D1295" s="12"/>
      <c r="E1295" s="12"/>
      <c r="AB1295" t="str" cm="1">
        <f t="array" ref="AB1295:AC1295">_xlfn._xlws.FILTER(A1295:Z1295,A1295:Z1295&lt;&gt;"","")</f>
        <v>Technology and Living (Fashion, Clothing and Textiles)</v>
      </c>
      <c r="AC1295">
        <v>5</v>
      </c>
      <c r="AD1295" t="str">
        <v/>
      </c>
      <c r="AE1295" t="str">
        <v/>
      </c>
      <c r="AF1295" t="str" cm="1">
        <f t="array" ref="AF1295">IF(AD1295="","",SUMPRODUCT(IF(LEFT($AD$1:AD1295,2)="JS",1,0)))</f>
        <v/>
      </c>
      <c r="AG1295" t="str">
        <f t="shared" si="80"/>
        <v/>
      </c>
      <c r="AH1295" t="str">
        <f t="shared" si="81"/>
        <v/>
      </c>
      <c r="AI1295" t="str">
        <f>IF(AH1295="","",MAX($AF$1:$AF1295))</f>
        <v/>
      </c>
      <c r="AJ1295" t="str">
        <f t="shared" si="82"/>
        <v/>
      </c>
      <c r="AK1295" t="str">
        <f>IF(AJ1295="","",MAX($AF$1:$AF1295))</f>
        <v/>
      </c>
      <c r="AL1295" t="str">
        <f t="shared" si="83"/>
        <v/>
      </c>
      <c r="AM1295" t="str">
        <f>IF(AL1295="","",MAX($AF$1:$AF1295))</f>
        <v/>
      </c>
    </row>
    <row r="1296" spans="1:39" ht="12.75" customHeight="1" x14ac:dyDescent="0.3">
      <c r="A1296" s="4" t="s">
        <v>130</v>
      </c>
      <c r="B1296" s="19">
        <v>5</v>
      </c>
      <c r="C1296" s="20"/>
      <c r="D1296" s="12"/>
      <c r="E1296" s="12"/>
      <c r="AB1296" t="str" cm="1">
        <f t="array" ref="AB1296:AC1296">_xlfn._xlws.FILTER(A1296:Z1296,A1296:Z1296&lt;&gt;"","")</f>
        <v>Technology and Living (Food Science and Technology)</v>
      </c>
      <c r="AC1296">
        <v>5</v>
      </c>
      <c r="AD1296" t="str">
        <v/>
      </c>
      <c r="AE1296" t="str">
        <v/>
      </c>
      <c r="AF1296" t="str" cm="1">
        <f t="array" ref="AF1296">IF(AD1296="","",SUMPRODUCT(IF(LEFT($AD$1:AD1296,2)="JS",1,0)))</f>
        <v/>
      </c>
      <c r="AG1296" t="str">
        <f t="shared" si="80"/>
        <v/>
      </c>
      <c r="AH1296" t="str">
        <f t="shared" si="81"/>
        <v/>
      </c>
      <c r="AI1296" t="str">
        <f>IF(AH1296="","",MAX($AF$1:$AF1296))</f>
        <v/>
      </c>
      <c r="AJ1296" t="str">
        <f t="shared" si="82"/>
        <v/>
      </c>
      <c r="AK1296" t="str">
        <f>IF(AJ1296="","",MAX($AF$1:$AF1296))</f>
        <v/>
      </c>
      <c r="AL1296" t="str">
        <f t="shared" si="83"/>
        <v/>
      </c>
      <c r="AM1296" t="str">
        <f>IF(AL1296="","",MAX($AF$1:$AF1296))</f>
        <v/>
      </c>
    </row>
    <row r="1297" spans="1:39" ht="12.75" customHeight="1" x14ac:dyDescent="0.3">
      <c r="A1297" s="4" t="s">
        <v>131</v>
      </c>
      <c r="B1297" s="19">
        <v>5</v>
      </c>
      <c r="C1297" s="20"/>
      <c r="D1297" s="12"/>
      <c r="E1297" s="12"/>
      <c r="AB1297" t="str" cm="1">
        <f t="array" ref="AB1297:AC1297">_xlfn._xlws.FILTER(A1297:Z1297,A1297:Z1297&lt;&gt;"","")</f>
        <v>Tourism and Hospitality Studies</v>
      </c>
      <c r="AC1297">
        <v>5</v>
      </c>
      <c r="AD1297" t="str">
        <v/>
      </c>
      <c r="AE1297" t="str">
        <v/>
      </c>
      <c r="AF1297" t="str" cm="1">
        <f t="array" ref="AF1297">IF(AD1297="","",SUMPRODUCT(IF(LEFT($AD$1:AD1297,2)="JS",1,0)))</f>
        <v/>
      </c>
      <c r="AG1297" t="str">
        <f t="shared" si="80"/>
        <v/>
      </c>
      <c r="AH1297" t="str">
        <f t="shared" si="81"/>
        <v/>
      </c>
      <c r="AI1297" t="str">
        <f>IF(AH1297="","",MAX($AF$1:$AF1297))</f>
        <v/>
      </c>
      <c r="AJ1297" t="str">
        <f t="shared" si="82"/>
        <v/>
      </c>
      <c r="AK1297" t="str">
        <f>IF(AJ1297="","",MAX($AF$1:$AF1297))</f>
        <v/>
      </c>
      <c r="AL1297" t="str">
        <f t="shared" si="83"/>
        <v/>
      </c>
      <c r="AM1297" t="str">
        <f>IF(AL1297="","",MAX($AF$1:$AF1297))</f>
        <v/>
      </c>
    </row>
    <row r="1298" spans="1:39" ht="12.75" customHeight="1" x14ac:dyDescent="0.3">
      <c r="A1298" s="4" t="s">
        <v>210</v>
      </c>
      <c r="B1298" s="19">
        <v>5</v>
      </c>
      <c r="C1298" s="20"/>
      <c r="D1298" s="12"/>
      <c r="E1298" s="12"/>
      <c r="AB1298" t="str" cm="1">
        <f t="array" ref="AB1298:AC1298">_xlfn._xlws.FILTER(A1298:Z1298,A1298:Z1298&lt;&gt;"","")</f>
        <v>VA</v>
      </c>
      <c r="AC1298">
        <v>5</v>
      </c>
      <c r="AD1298" t="str">
        <v/>
      </c>
      <c r="AE1298" t="str">
        <v/>
      </c>
      <c r="AF1298" t="str" cm="1">
        <f t="array" ref="AF1298">IF(AD1298="","",SUMPRODUCT(IF(LEFT($AD$1:AD1298,2)="JS",1,0)))</f>
        <v/>
      </c>
      <c r="AG1298" t="b">
        <f t="shared" si="80"/>
        <v>1</v>
      </c>
      <c r="AH1298" t="str">
        <f t="shared" si="81"/>
        <v/>
      </c>
      <c r="AI1298" t="str">
        <f>IF(AH1298="","",MAX($AF$1:$AF1298))</f>
        <v/>
      </c>
      <c r="AJ1298" t="str">
        <f t="shared" si="82"/>
        <v/>
      </c>
      <c r="AK1298" t="str">
        <f>IF(AJ1298="","",MAX($AF$1:$AF1298))</f>
        <v/>
      </c>
      <c r="AL1298" t="str">
        <f t="shared" si="83"/>
        <v>VA</v>
      </c>
      <c r="AM1298">
        <f>IF(AL1298="","",MAX($AF$1:$AF1298))</f>
        <v>25</v>
      </c>
    </row>
    <row r="1299" spans="1:39" ht="24.75" customHeight="1" x14ac:dyDescent="0.3">
      <c r="A1299" s="22" t="s">
        <v>132</v>
      </c>
      <c r="B1299" s="22"/>
      <c r="C1299" s="22"/>
      <c r="D1299" s="23"/>
      <c r="E1299" s="23"/>
      <c r="AB1299" t="str" cm="1">
        <f t="array" ref="AB1299">_xlfn._xlws.FILTER(A1299:Z1299,A1299:Z1299&lt;&gt;"","")</f>
        <v>Category B: Applied Learning Subjects</v>
      </c>
      <c r="AD1299" t="str">
        <v/>
      </c>
      <c r="AE1299" t="str">
        <v/>
      </c>
      <c r="AF1299" t="str" cm="1">
        <f t="array" ref="AF1299">IF(AD1299="","",SUMPRODUCT(IF(LEFT($AD$1:AD1299,2)="JS",1,0)))</f>
        <v/>
      </c>
      <c r="AG1299" t="str">
        <f t="shared" si="80"/>
        <v/>
      </c>
      <c r="AH1299" t="str">
        <f t="shared" si="81"/>
        <v/>
      </c>
      <c r="AI1299" t="str">
        <f>IF(AH1299="","",MAX($AF$1:$AF1299))</f>
        <v/>
      </c>
      <c r="AJ1299" t="str">
        <f t="shared" si="82"/>
        <v/>
      </c>
      <c r="AK1299" t="str">
        <f>IF(AJ1299="","",MAX($AF$1:$AF1299))</f>
        <v/>
      </c>
      <c r="AL1299" t="str">
        <f t="shared" si="83"/>
        <v/>
      </c>
      <c r="AM1299" t="str">
        <f>IF(AL1299="","",MAX($AF$1:$AF1299))</f>
        <v/>
      </c>
    </row>
    <row r="1300" spans="1:39" ht="12.75" customHeight="1" x14ac:dyDescent="0.3">
      <c r="A1300" s="3" t="s">
        <v>114</v>
      </c>
      <c r="B1300" s="24" t="s">
        <v>115</v>
      </c>
      <c r="C1300" s="25"/>
      <c r="D1300" s="12"/>
      <c r="E1300" s="12"/>
      <c r="AB1300" t="str" cm="1">
        <f t="array" ref="AB1300:AC1300">_xlfn._xlws.FILTER(A1300:Z1300,A1300:Z1300&lt;&gt;"","")</f>
        <v>Subject Name</v>
      </c>
      <c r="AC1300" t="str">
        <v>Subject Weighting for 2023/24 Admission Exercise *</v>
      </c>
      <c r="AD1300" t="str">
        <v/>
      </c>
      <c r="AE1300" t="str">
        <v/>
      </c>
      <c r="AF1300" t="str" cm="1">
        <f t="array" ref="AF1300">IF(AD1300="","",SUMPRODUCT(IF(LEFT($AD$1:AD1300,2)="JS",1,0)))</f>
        <v/>
      </c>
      <c r="AG1300" t="str">
        <f t="shared" si="80"/>
        <v/>
      </c>
      <c r="AH1300" t="str">
        <f t="shared" si="81"/>
        <v/>
      </c>
      <c r="AI1300" t="str">
        <f>IF(AH1300="","",MAX($AF$1:$AF1300))</f>
        <v/>
      </c>
      <c r="AJ1300" t="str">
        <f t="shared" si="82"/>
        <v/>
      </c>
      <c r="AK1300" t="str">
        <f>IF(AJ1300="","",MAX($AF$1:$AF1300))</f>
        <v/>
      </c>
      <c r="AL1300" t="str">
        <f t="shared" si="83"/>
        <v/>
      </c>
      <c r="AM1300" t="str">
        <f>IF(AL1300="","",MAX($AF$1:$AF1300))</f>
        <v/>
      </c>
    </row>
    <row r="1301" spans="1:39" ht="12.75" customHeight="1" x14ac:dyDescent="0.3">
      <c r="A1301" s="4" t="s">
        <v>133</v>
      </c>
      <c r="B1301" s="19">
        <v>5</v>
      </c>
      <c r="C1301" s="20"/>
      <c r="D1301" s="12"/>
      <c r="E1301" s="12"/>
      <c r="AB1301" t="str" cm="1">
        <f t="array" ref="AB1301:AC1301">_xlfn._xlws.FILTER(A1301:Z1301,A1301:Z1301&lt;&gt;"","")</f>
        <v>Accounting in Practice</v>
      </c>
      <c r="AC1301">
        <v>5</v>
      </c>
      <c r="AD1301" t="str">
        <v/>
      </c>
      <c r="AE1301" t="str">
        <v/>
      </c>
      <c r="AF1301" t="str" cm="1">
        <f t="array" ref="AF1301">IF(AD1301="","",SUMPRODUCT(IF(LEFT($AD$1:AD1301,2)="JS",1,0)))</f>
        <v/>
      </c>
      <c r="AG1301" t="str">
        <f t="shared" si="80"/>
        <v/>
      </c>
      <c r="AH1301" t="str">
        <f t="shared" si="81"/>
        <v/>
      </c>
      <c r="AI1301" t="str">
        <f>IF(AH1301="","",MAX($AF$1:$AF1301))</f>
        <v/>
      </c>
      <c r="AJ1301" t="str">
        <f t="shared" si="82"/>
        <v/>
      </c>
      <c r="AK1301" t="str">
        <f>IF(AJ1301="","",MAX($AF$1:$AF1301))</f>
        <v/>
      </c>
      <c r="AL1301" t="str">
        <f t="shared" si="83"/>
        <v/>
      </c>
      <c r="AM1301" t="str">
        <f>IF(AL1301="","",MAX($AF$1:$AF1301))</f>
        <v/>
      </c>
    </row>
    <row r="1302" spans="1:39" ht="12.75" customHeight="1" x14ac:dyDescent="0.3">
      <c r="A1302" s="4" t="s">
        <v>134</v>
      </c>
      <c r="B1302" s="19">
        <v>5</v>
      </c>
      <c r="C1302" s="20"/>
      <c r="D1302" s="12"/>
      <c r="E1302" s="12"/>
      <c r="AB1302" t="str" cm="1">
        <f t="array" ref="AB1302:AC1302">_xlfn._xlws.FILTER(A1302:Z1302,A1302:Z1302&lt;&gt;"","")</f>
        <v>Applied Psychology</v>
      </c>
      <c r="AC1302">
        <v>5</v>
      </c>
      <c r="AD1302" t="str">
        <v/>
      </c>
      <c r="AE1302" t="str">
        <v/>
      </c>
      <c r="AF1302" t="str" cm="1">
        <f t="array" ref="AF1302">IF(AD1302="","",SUMPRODUCT(IF(LEFT($AD$1:AD1302,2)="JS",1,0)))</f>
        <v/>
      </c>
      <c r="AG1302" t="str">
        <f t="shared" si="80"/>
        <v/>
      </c>
      <c r="AH1302" t="str">
        <f t="shared" si="81"/>
        <v/>
      </c>
      <c r="AI1302" t="str">
        <f>IF(AH1302="","",MAX($AF$1:$AF1302))</f>
        <v/>
      </c>
      <c r="AJ1302" t="str">
        <f t="shared" si="82"/>
        <v/>
      </c>
      <c r="AK1302" t="str">
        <f>IF(AJ1302="","",MAX($AF$1:$AF1302))</f>
        <v/>
      </c>
      <c r="AL1302" t="str">
        <f t="shared" si="83"/>
        <v/>
      </c>
      <c r="AM1302" t="str">
        <f>IF(AL1302="","",MAX($AF$1:$AF1302))</f>
        <v/>
      </c>
    </row>
    <row r="1303" spans="1:39" ht="12.75" customHeight="1" x14ac:dyDescent="0.3">
      <c r="A1303" s="4" t="s">
        <v>186</v>
      </c>
      <c r="B1303" s="19">
        <v>5</v>
      </c>
      <c r="C1303" s="20"/>
      <c r="D1303" s="12"/>
      <c r="E1303" s="12"/>
      <c r="AB1303" t="str" cm="1">
        <f t="array" ref="AB1303:AC1303">_xlfn._xlws.FILTER(A1303:Z1303,A1303:Z1303&lt;&gt;"","")</f>
        <v>Aviation Studies</v>
      </c>
      <c r="AC1303">
        <v>5</v>
      </c>
      <c r="AD1303" t="str">
        <v/>
      </c>
      <c r="AE1303" t="str">
        <v/>
      </c>
      <c r="AF1303" t="str" cm="1">
        <f t="array" ref="AF1303">IF(AD1303="","",SUMPRODUCT(IF(LEFT($AD$1:AD1303,2)="JS",1,0)))</f>
        <v/>
      </c>
      <c r="AG1303" t="str">
        <f t="shared" si="80"/>
        <v/>
      </c>
      <c r="AH1303" t="str">
        <f t="shared" si="81"/>
        <v/>
      </c>
      <c r="AI1303" t="str">
        <f>IF(AH1303="","",MAX($AF$1:$AF1303))</f>
        <v/>
      </c>
      <c r="AJ1303" t="str">
        <f t="shared" si="82"/>
        <v/>
      </c>
      <c r="AK1303" t="str">
        <f>IF(AJ1303="","",MAX($AF$1:$AF1303))</f>
        <v/>
      </c>
      <c r="AL1303" t="str">
        <f t="shared" si="83"/>
        <v/>
      </c>
      <c r="AM1303" t="str">
        <f>IF(AL1303="","",MAX($AF$1:$AF1303))</f>
        <v/>
      </c>
    </row>
    <row r="1304" spans="1:39" ht="12.75" customHeight="1" x14ac:dyDescent="0.3">
      <c r="A1304" s="4" t="s">
        <v>187</v>
      </c>
      <c r="B1304" s="19">
        <v>5</v>
      </c>
      <c r="C1304" s="20"/>
      <c r="D1304" s="12"/>
      <c r="E1304" s="12"/>
      <c r="AB1304" t="str" cm="1">
        <f t="array" ref="AB1304:AC1304">_xlfn._xlws.FILTER(A1304:Z1304,A1304:Z1304&lt;&gt;"","")</f>
        <v>Data Application for Business</v>
      </c>
      <c r="AC1304">
        <v>5</v>
      </c>
      <c r="AD1304" t="str">
        <v/>
      </c>
      <c r="AE1304" t="str">
        <v/>
      </c>
      <c r="AF1304" t="str" cm="1">
        <f t="array" ref="AF1304">IF(AD1304="","",SUMPRODUCT(IF(LEFT($AD$1:AD1304,2)="JS",1,0)))</f>
        <v/>
      </c>
      <c r="AG1304" t="str">
        <f t="shared" si="80"/>
        <v/>
      </c>
      <c r="AH1304" t="str">
        <f t="shared" si="81"/>
        <v/>
      </c>
      <c r="AI1304" t="str">
        <f>IF(AH1304="","",MAX($AF$1:$AF1304))</f>
        <v/>
      </c>
      <c r="AJ1304" t="str">
        <f t="shared" si="82"/>
        <v/>
      </c>
      <c r="AK1304" t="str">
        <f>IF(AJ1304="","",MAX($AF$1:$AF1304))</f>
        <v/>
      </c>
      <c r="AL1304" t="str">
        <f t="shared" si="83"/>
        <v/>
      </c>
      <c r="AM1304" t="str">
        <f>IF(AL1304="","",MAX($AF$1:$AF1304))</f>
        <v/>
      </c>
    </row>
    <row r="1305" spans="1:39" ht="12.75" customHeight="1" x14ac:dyDescent="0.3">
      <c r="A1305" s="4" t="s">
        <v>188</v>
      </c>
      <c r="B1305" s="19">
        <v>5</v>
      </c>
      <c r="C1305" s="20"/>
      <c r="D1305" s="12"/>
      <c r="E1305" s="12"/>
      <c r="AB1305" t="str" cm="1">
        <f t="array" ref="AB1305:AC1305">_xlfn._xlws.FILTER(A1305:Z1305,A1305:Z1305&lt;&gt;"","")</f>
        <v>Entrepreneurship for SME</v>
      </c>
      <c r="AC1305">
        <v>5</v>
      </c>
      <c r="AD1305" t="str">
        <v/>
      </c>
      <c r="AE1305" t="str">
        <v/>
      </c>
      <c r="AF1305" t="str" cm="1">
        <f t="array" ref="AF1305">IF(AD1305="","",SUMPRODUCT(IF(LEFT($AD$1:AD1305,2)="JS",1,0)))</f>
        <v/>
      </c>
      <c r="AG1305" t="str">
        <f t="shared" si="80"/>
        <v/>
      </c>
      <c r="AH1305" t="str">
        <f t="shared" si="81"/>
        <v/>
      </c>
      <c r="AI1305" t="str">
        <f>IF(AH1305="","",MAX($AF$1:$AF1305))</f>
        <v/>
      </c>
      <c r="AJ1305" t="str">
        <f t="shared" si="82"/>
        <v/>
      </c>
      <c r="AK1305" t="str">
        <f>IF(AJ1305="","",MAX($AF$1:$AF1305))</f>
        <v/>
      </c>
      <c r="AL1305" t="str">
        <f t="shared" si="83"/>
        <v/>
      </c>
      <c r="AM1305" t="str">
        <f>IF(AL1305="","",MAX($AF$1:$AF1305))</f>
        <v/>
      </c>
    </row>
    <row r="1306" spans="1:39" ht="12.75" customHeight="1" x14ac:dyDescent="0.3">
      <c r="A1306" s="4" t="s">
        <v>189</v>
      </c>
      <c r="B1306" s="19">
        <v>5</v>
      </c>
      <c r="C1306" s="20"/>
      <c r="D1306" s="12"/>
      <c r="E1306" s="12"/>
      <c r="AB1306" t="str" cm="1">
        <f t="array" ref="AB1306:AC1306">_xlfn._xlws.FILTER(A1306:Z1306,A1306:Z1306&lt;&gt;"","")</f>
        <v>Environmental Engineering</v>
      </c>
      <c r="AC1306">
        <v>5</v>
      </c>
      <c r="AD1306" t="str">
        <v/>
      </c>
      <c r="AE1306" t="str">
        <v/>
      </c>
      <c r="AF1306" t="str" cm="1">
        <f t="array" ref="AF1306">IF(AD1306="","",SUMPRODUCT(IF(LEFT($AD$1:AD1306,2)="JS",1,0)))</f>
        <v/>
      </c>
      <c r="AG1306" t="str">
        <f t="shared" si="80"/>
        <v/>
      </c>
      <c r="AH1306" t="str">
        <f t="shared" si="81"/>
        <v/>
      </c>
      <c r="AI1306" t="str">
        <f>IF(AH1306="","",MAX($AF$1:$AF1306))</f>
        <v/>
      </c>
      <c r="AJ1306" t="str">
        <f t="shared" si="82"/>
        <v/>
      </c>
      <c r="AK1306" t="str">
        <f>IF(AJ1306="","",MAX($AF$1:$AF1306))</f>
        <v/>
      </c>
      <c r="AL1306" t="str">
        <f t="shared" si="83"/>
        <v/>
      </c>
      <c r="AM1306" t="str">
        <f>IF(AL1306="","",MAX($AF$1:$AF1306))</f>
        <v/>
      </c>
    </row>
    <row r="1307" spans="1:39" ht="12.75" customHeight="1" x14ac:dyDescent="0.3">
      <c r="A1307" s="4" t="s">
        <v>190</v>
      </c>
      <c r="B1307" s="19">
        <v>5</v>
      </c>
      <c r="C1307" s="20"/>
      <c r="D1307" s="12"/>
      <c r="E1307" s="12"/>
      <c r="AB1307" t="str" cm="1">
        <f t="array" ref="AB1307:AC1307">_xlfn._xlws.FILTER(A1307:Z1307,A1307:Z1307&lt;&gt;"","")</f>
        <v>Food and Beverage Operations</v>
      </c>
      <c r="AC1307">
        <v>5</v>
      </c>
      <c r="AD1307" t="str">
        <v/>
      </c>
      <c r="AE1307" t="str">
        <v/>
      </c>
      <c r="AF1307" t="str" cm="1">
        <f t="array" ref="AF1307">IF(AD1307="","",SUMPRODUCT(IF(LEFT($AD$1:AD1307,2)="JS",1,0)))</f>
        <v/>
      </c>
      <c r="AG1307" t="str">
        <f t="shared" si="80"/>
        <v/>
      </c>
      <c r="AH1307" t="str">
        <f t="shared" si="81"/>
        <v/>
      </c>
      <c r="AI1307" t="str">
        <f>IF(AH1307="","",MAX($AF$1:$AF1307))</f>
        <v/>
      </c>
      <c r="AJ1307" t="str">
        <f t="shared" si="82"/>
        <v/>
      </c>
      <c r="AK1307" t="str">
        <f>IF(AJ1307="","",MAX($AF$1:$AF1307))</f>
        <v/>
      </c>
      <c r="AL1307" t="str">
        <f t="shared" si="83"/>
        <v/>
      </c>
      <c r="AM1307" t="str">
        <f>IF(AL1307="","",MAX($AF$1:$AF1307))</f>
        <v/>
      </c>
    </row>
    <row r="1308" spans="1:39" ht="12.75" customHeight="1" x14ac:dyDescent="0.3">
      <c r="A1308" s="4" t="s">
        <v>191</v>
      </c>
      <c r="B1308" s="19">
        <v>5</v>
      </c>
      <c r="C1308" s="20"/>
      <c r="D1308" s="12"/>
      <c r="E1308" s="12"/>
      <c r="AB1308" t="str" cm="1">
        <f t="array" ref="AB1308:AC1308">_xlfn._xlws.FILTER(A1308:Z1308,A1308:Z1308&lt;&gt;"","")</f>
        <v>Fundamental Health Care</v>
      </c>
      <c r="AC1308">
        <v>5</v>
      </c>
      <c r="AD1308" t="str">
        <v/>
      </c>
      <c r="AE1308" t="str">
        <v/>
      </c>
      <c r="AF1308" t="str" cm="1">
        <f t="array" ref="AF1308">IF(AD1308="","",SUMPRODUCT(IF(LEFT($AD$1:AD1308,2)="JS",1,0)))</f>
        <v/>
      </c>
      <c r="AG1308" t="str">
        <f t="shared" si="80"/>
        <v/>
      </c>
      <c r="AH1308" t="str">
        <f t="shared" si="81"/>
        <v/>
      </c>
      <c r="AI1308" t="str">
        <f>IF(AH1308="","",MAX($AF$1:$AF1308))</f>
        <v/>
      </c>
      <c r="AJ1308" t="str">
        <f t="shared" si="82"/>
        <v/>
      </c>
      <c r="AK1308" t="str">
        <f>IF(AJ1308="","",MAX($AF$1:$AF1308))</f>
        <v/>
      </c>
      <c r="AL1308" t="str">
        <f t="shared" si="83"/>
        <v/>
      </c>
      <c r="AM1308" t="str">
        <f>IF(AL1308="","",MAX($AF$1:$AF1308))</f>
        <v/>
      </c>
    </row>
    <row r="1309" spans="1:39" ht="12.75" customHeight="1" x14ac:dyDescent="0.3">
      <c r="A1309" s="4" t="s">
        <v>192</v>
      </c>
      <c r="B1309" s="19">
        <v>5</v>
      </c>
      <c r="C1309" s="20"/>
      <c r="D1309" s="12"/>
      <c r="E1309" s="12"/>
      <c r="AB1309" t="str" cm="1">
        <f t="array" ref="AB1309:AC1309">_xlfn._xlws.FILTER(A1309:Z1309,A1309:Z1309&lt;&gt;"","")</f>
        <v>Hotel Operations</v>
      </c>
      <c r="AC1309">
        <v>5</v>
      </c>
      <c r="AD1309" t="str">
        <v/>
      </c>
      <c r="AE1309" t="str">
        <v/>
      </c>
      <c r="AF1309" t="str" cm="1">
        <f t="array" ref="AF1309">IF(AD1309="","",SUMPRODUCT(IF(LEFT($AD$1:AD1309,2)="JS",1,0)))</f>
        <v/>
      </c>
      <c r="AG1309" t="str">
        <f t="shared" si="80"/>
        <v/>
      </c>
      <c r="AH1309" t="str">
        <f t="shared" si="81"/>
        <v/>
      </c>
      <c r="AI1309" t="str">
        <f>IF(AH1309="","",MAX($AF$1:$AF1309))</f>
        <v/>
      </c>
      <c r="AJ1309" t="str">
        <f t="shared" si="82"/>
        <v/>
      </c>
      <c r="AK1309" t="str">
        <f>IF(AJ1309="","",MAX($AF$1:$AF1309))</f>
        <v/>
      </c>
      <c r="AL1309" t="str">
        <f t="shared" si="83"/>
        <v/>
      </c>
      <c r="AM1309" t="str">
        <f>IF(AL1309="","",MAX($AF$1:$AF1309))</f>
        <v/>
      </c>
    </row>
    <row r="1310" spans="1:39" ht="12.75" customHeight="1" x14ac:dyDescent="0.3">
      <c r="A1310" s="4" t="s">
        <v>193</v>
      </c>
      <c r="B1310" s="19">
        <v>5</v>
      </c>
      <c r="C1310" s="20"/>
      <c r="D1310" s="12"/>
      <c r="E1310" s="12"/>
      <c r="AB1310" t="str" cm="1">
        <f t="array" ref="AB1310:AC1310">_xlfn._xlws.FILTER(A1310:Z1310,A1310:Z1310&lt;&gt;"","")</f>
        <v>Internet of Everything Application</v>
      </c>
      <c r="AC1310">
        <v>5</v>
      </c>
      <c r="AD1310" t="str">
        <v/>
      </c>
      <c r="AE1310" t="str">
        <v/>
      </c>
      <c r="AF1310" t="str" cm="1">
        <f t="array" ref="AF1310">IF(AD1310="","",SUMPRODUCT(IF(LEFT($AD$1:AD1310,2)="JS",1,0)))</f>
        <v/>
      </c>
      <c r="AG1310" t="str">
        <f t="shared" si="80"/>
        <v/>
      </c>
      <c r="AH1310" t="str">
        <f t="shared" si="81"/>
        <v/>
      </c>
      <c r="AI1310" t="str">
        <f>IF(AH1310="","",MAX($AF$1:$AF1310))</f>
        <v/>
      </c>
      <c r="AJ1310" t="str">
        <f t="shared" si="82"/>
        <v/>
      </c>
      <c r="AK1310" t="str">
        <f>IF(AJ1310="","",MAX($AF$1:$AF1310))</f>
        <v/>
      </c>
      <c r="AL1310" t="str">
        <f t="shared" si="83"/>
        <v/>
      </c>
      <c r="AM1310" t="str">
        <f>IF(AL1310="","",MAX($AF$1:$AF1310))</f>
        <v/>
      </c>
    </row>
    <row r="1311" spans="1:39" ht="12.75" customHeight="1" x14ac:dyDescent="0.3">
      <c r="A1311" s="4" t="s">
        <v>194</v>
      </c>
      <c r="B1311" s="19">
        <v>5</v>
      </c>
      <c r="C1311" s="20"/>
      <c r="D1311" s="12"/>
      <c r="E1311" s="12"/>
      <c r="AB1311" t="str" cm="1">
        <f t="array" ref="AB1311:AC1311">_xlfn._xlws.FILTER(A1311:Z1311,A1311:Z1311&lt;&gt;"","")</f>
        <v>Law Enforcement in Hong Kong</v>
      </c>
      <c r="AC1311">
        <v>5</v>
      </c>
      <c r="AD1311" t="str">
        <v/>
      </c>
      <c r="AE1311" t="str">
        <v/>
      </c>
      <c r="AF1311" t="str" cm="1">
        <f t="array" ref="AF1311">IF(AD1311="","",SUMPRODUCT(IF(LEFT($AD$1:AD1311,2)="JS",1,0)))</f>
        <v/>
      </c>
      <c r="AG1311" t="str">
        <f t="shared" si="80"/>
        <v/>
      </c>
      <c r="AH1311" t="str">
        <f t="shared" si="81"/>
        <v/>
      </c>
      <c r="AI1311" t="str">
        <f>IF(AH1311="","",MAX($AF$1:$AF1311))</f>
        <v/>
      </c>
      <c r="AJ1311" t="str">
        <f t="shared" si="82"/>
        <v/>
      </c>
      <c r="AK1311" t="str">
        <f>IF(AJ1311="","",MAX($AF$1:$AF1311))</f>
        <v/>
      </c>
      <c r="AL1311" t="str">
        <f t="shared" si="83"/>
        <v/>
      </c>
      <c r="AM1311" t="str">
        <f>IF(AL1311="","",MAX($AF$1:$AF1311))</f>
        <v/>
      </c>
    </row>
    <row r="1312" spans="1:39" ht="12.75" customHeight="1" x14ac:dyDescent="0.3">
      <c r="A1312" s="4" t="s">
        <v>195</v>
      </c>
      <c r="B1312" s="19">
        <v>5</v>
      </c>
      <c r="C1312" s="20"/>
      <c r="D1312" s="12"/>
      <c r="E1312" s="12"/>
      <c r="AB1312" t="str" cm="1">
        <f t="array" ref="AB1312:AC1312">_xlfn._xlws.FILTER(A1312:Z1312,A1312:Z1312&lt;&gt;"","")</f>
        <v>Marketing and Online Promotion</v>
      </c>
      <c r="AC1312">
        <v>5</v>
      </c>
      <c r="AD1312" t="str">
        <v/>
      </c>
      <c r="AE1312" t="str">
        <v/>
      </c>
      <c r="AF1312" t="str" cm="1">
        <f t="array" ref="AF1312">IF(AD1312="","",SUMPRODUCT(IF(LEFT($AD$1:AD1312,2)="JS",1,0)))</f>
        <v/>
      </c>
      <c r="AG1312" t="str">
        <f t="shared" si="80"/>
        <v/>
      </c>
      <c r="AH1312" t="str">
        <f t="shared" si="81"/>
        <v/>
      </c>
      <c r="AI1312" t="str">
        <f>IF(AH1312="","",MAX($AF$1:$AF1312))</f>
        <v/>
      </c>
      <c r="AJ1312" t="str">
        <f t="shared" si="82"/>
        <v/>
      </c>
      <c r="AK1312" t="str">
        <f>IF(AJ1312="","",MAX($AF$1:$AF1312))</f>
        <v/>
      </c>
      <c r="AL1312" t="str">
        <f t="shared" si="83"/>
        <v/>
      </c>
      <c r="AM1312" t="str">
        <f>IF(AL1312="","",MAX($AF$1:$AF1312))</f>
        <v/>
      </c>
    </row>
    <row r="1313" spans="1:39" ht="12.75" customHeight="1" x14ac:dyDescent="0.3">
      <c r="A1313" s="4" t="s">
        <v>143</v>
      </c>
      <c r="B1313" s="19">
        <v>5</v>
      </c>
      <c r="C1313" s="20"/>
      <c r="D1313" s="12"/>
      <c r="E1313" s="12"/>
      <c r="AB1313" t="str" cm="1">
        <f t="array" ref="AB1313:AC1313">_xlfn._xlws.FILTER(A1313:Z1313,A1313:Z1313&lt;&gt;"","")</f>
        <v>Marketing in Global Trade</v>
      </c>
      <c r="AC1313">
        <v>5</v>
      </c>
      <c r="AD1313" t="str">
        <v/>
      </c>
      <c r="AE1313" t="str">
        <v/>
      </c>
      <c r="AF1313" t="str" cm="1">
        <f t="array" ref="AF1313">IF(AD1313="","",SUMPRODUCT(IF(LEFT($AD$1:AD1313,2)="JS",1,0)))</f>
        <v/>
      </c>
      <c r="AG1313" t="str">
        <f t="shared" si="80"/>
        <v/>
      </c>
      <c r="AH1313" t="str">
        <f t="shared" si="81"/>
        <v/>
      </c>
      <c r="AI1313" t="str">
        <f>IF(AH1313="","",MAX($AF$1:$AF1313))</f>
        <v/>
      </c>
      <c r="AJ1313" t="str">
        <f t="shared" si="82"/>
        <v/>
      </c>
      <c r="AK1313" t="str">
        <f>IF(AJ1313="","",MAX($AF$1:$AF1313))</f>
        <v/>
      </c>
      <c r="AL1313" t="str">
        <f t="shared" si="83"/>
        <v/>
      </c>
      <c r="AM1313" t="str">
        <f>IF(AL1313="","",MAX($AF$1:$AF1313))</f>
        <v/>
      </c>
    </row>
    <row r="1314" spans="1:39" ht="12.75" customHeight="1" x14ac:dyDescent="0.3">
      <c r="A1314" s="4" t="s">
        <v>196</v>
      </c>
      <c r="B1314" s="19">
        <v>5</v>
      </c>
      <c r="C1314" s="20"/>
      <c r="D1314" s="12"/>
      <c r="E1314" s="12"/>
      <c r="AB1314" t="str" cm="1">
        <f t="array" ref="AB1314:AC1314">_xlfn._xlws.FILTER(A1314:Z1314,A1314:Z1314&lt;&gt;"","")</f>
        <v>Mobile and Online Apps Development</v>
      </c>
      <c r="AC1314">
        <v>5</v>
      </c>
      <c r="AD1314" t="str">
        <v/>
      </c>
      <c r="AE1314" t="str">
        <v/>
      </c>
      <c r="AF1314" t="str" cm="1">
        <f t="array" ref="AF1314">IF(AD1314="","",SUMPRODUCT(IF(LEFT($AD$1:AD1314,2)="JS",1,0)))</f>
        <v/>
      </c>
      <c r="AG1314" t="str">
        <f t="shared" si="80"/>
        <v/>
      </c>
      <c r="AH1314" t="str">
        <f t="shared" si="81"/>
        <v/>
      </c>
      <c r="AI1314" t="str">
        <f>IF(AH1314="","",MAX($AF$1:$AF1314))</f>
        <v/>
      </c>
      <c r="AJ1314" t="str">
        <f t="shared" si="82"/>
        <v/>
      </c>
      <c r="AK1314" t="str">
        <f>IF(AJ1314="","",MAX($AF$1:$AF1314))</f>
        <v/>
      </c>
      <c r="AL1314" t="str">
        <f t="shared" si="83"/>
        <v/>
      </c>
      <c r="AM1314" t="str">
        <f>IF(AL1314="","",MAX($AF$1:$AF1314))</f>
        <v/>
      </c>
    </row>
    <row r="1315" spans="1:39" ht="12.75" customHeight="1" x14ac:dyDescent="0.3">
      <c r="A1315" s="4" t="s">
        <v>145</v>
      </c>
      <c r="B1315" s="19">
        <v>5</v>
      </c>
      <c r="C1315" s="20"/>
      <c r="D1315" s="12"/>
      <c r="E1315" s="12"/>
      <c r="AB1315" t="str" cm="1">
        <f t="array" ref="AB1315:AC1315">_xlfn._xlws.FILTER(A1315:Z1315,A1315:Z1315&lt;&gt;"","")</f>
        <v>New Media Communication Strategies</v>
      </c>
      <c r="AC1315">
        <v>5</v>
      </c>
      <c r="AD1315" t="str">
        <v/>
      </c>
      <c r="AE1315" t="str">
        <v/>
      </c>
      <c r="AF1315" t="str" cm="1">
        <f t="array" ref="AF1315">IF(AD1315="","",SUMPRODUCT(IF(LEFT($AD$1:AD1315,2)="JS",1,0)))</f>
        <v/>
      </c>
      <c r="AG1315" t="str">
        <f t="shared" si="80"/>
        <v/>
      </c>
      <c r="AH1315" t="str">
        <f t="shared" si="81"/>
        <v/>
      </c>
      <c r="AI1315" t="str">
        <f>IF(AH1315="","",MAX($AF$1:$AF1315))</f>
        <v/>
      </c>
      <c r="AJ1315" t="str">
        <f t="shared" si="82"/>
        <v/>
      </c>
      <c r="AK1315" t="str">
        <f>IF(AJ1315="","",MAX($AF$1:$AF1315))</f>
        <v/>
      </c>
      <c r="AL1315" t="str">
        <f t="shared" si="83"/>
        <v/>
      </c>
      <c r="AM1315" t="str">
        <f>IF(AL1315="","",MAX($AF$1:$AF1315))</f>
        <v/>
      </c>
    </row>
    <row r="1316" spans="1:39" ht="12.75" customHeight="1" x14ac:dyDescent="0.3">
      <c r="A1316" s="4" t="s">
        <v>146</v>
      </c>
      <c r="B1316" s="19">
        <v>5</v>
      </c>
      <c r="C1316" s="20"/>
      <c r="D1316" s="12"/>
      <c r="E1316" s="12"/>
      <c r="AB1316" t="str" cm="1">
        <f t="array" ref="AB1316:AC1316">_xlfn._xlws.FILTER(A1316:Z1316,A1316:Z1316&lt;&gt;"","")</f>
        <v>Practical Psychology</v>
      </c>
      <c r="AC1316">
        <v>5</v>
      </c>
      <c r="AD1316" t="str">
        <v/>
      </c>
      <c r="AE1316" t="str">
        <v/>
      </c>
      <c r="AF1316" t="str" cm="1">
        <f t="array" ref="AF1316">IF(AD1316="","",SUMPRODUCT(IF(LEFT($AD$1:AD1316,2)="JS",1,0)))</f>
        <v/>
      </c>
      <c r="AG1316" t="str">
        <f t="shared" si="80"/>
        <v/>
      </c>
      <c r="AH1316" t="str">
        <f t="shared" si="81"/>
        <v/>
      </c>
      <c r="AI1316" t="str">
        <f>IF(AH1316="","",MAX($AF$1:$AF1316))</f>
        <v/>
      </c>
      <c r="AJ1316" t="str">
        <f t="shared" si="82"/>
        <v/>
      </c>
      <c r="AK1316" t="str">
        <f>IF(AJ1316="","",MAX($AF$1:$AF1316))</f>
        <v/>
      </c>
      <c r="AL1316" t="str">
        <f t="shared" si="83"/>
        <v/>
      </c>
      <c r="AM1316" t="str">
        <f>IF(AL1316="","",MAX($AF$1:$AF1316))</f>
        <v/>
      </c>
    </row>
    <row r="1317" spans="1:39" ht="12.75" customHeight="1" x14ac:dyDescent="0.3">
      <c r="A1317" s="4" t="s">
        <v>197</v>
      </c>
      <c r="B1317" s="19">
        <v>5</v>
      </c>
      <c r="C1317" s="20"/>
      <c r="D1317" s="12"/>
      <c r="E1317" s="12"/>
      <c r="AB1317" t="str" cm="1">
        <f t="array" ref="AB1317:AC1317">_xlfn._xlws.FILTER(A1317:Z1317,A1317:Z1317&lt;&gt;"","")</f>
        <v>Purchasing and Merchandising</v>
      </c>
      <c r="AC1317">
        <v>5</v>
      </c>
      <c r="AD1317" t="str">
        <v/>
      </c>
      <c r="AE1317" t="str">
        <v/>
      </c>
      <c r="AF1317" t="str" cm="1">
        <f t="array" ref="AF1317">IF(AD1317="","",SUMPRODUCT(IF(LEFT($AD$1:AD1317,2)="JS",1,0)))</f>
        <v/>
      </c>
      <c r="AG1317" t="str">
        <f t="shared" si="80"/>
        <v/>
      </c>
      <c r="AH1317" t="str">
        <f t="shared" si="81"/>
        <v/>
      </c>
      <c r="AI1317" t="str">
        <f>IF(AH1317="","",MAX($AF$1:$AF1317))</f>
        <v/>
      </c>
      <c r="AJ1317" t="str">
        <f t="shared" si="82"/>
        <v/>
      </c>
      <c r="AK1317" t="str">
        <f>IF(AJ1317="","",MAX($AF$1:$AF1317))</f>
        <v/>
      </c>
      <c r="AL1317" t="str">
        <f t="shared" si="83"/>
        <v/>
      </c>
      <c r="AM1317" t="str">
        <f>IF(AL1317="","",MAX($AF$1:$AF1317))</f>
        <v/>
      </c>
    </row>
    <row r="1318" spans="1:39" ht="24.75" customHeight="1" x14ac:dyDescent="0.3">
      <c r="A1318" s="22" t="s">
        <v>150</v>
      </c>
      <c r="B1318" s="22"/>
      <c r="C1318" s="22"/>
      <c r="D1318" s="23"/>
      <c r="E1318" s="23"/>
      <c r="AB1318" t="str" cm="1">
        <f t="array" ref="AB1318">_xlfn._xlws.FILTER(A1318:Z1318,A1318:Z1318&lt;&gt;"","")</f>
        <v>Category C: Other Language Subjects</v>
      </c>
      <c r="AD1318" t="str">
        <v/>
      </c>
      <c r="AE1318" t="str">
        <v/>
      </c>
      <c r="AF1318" t="str" cm="1">
        <f t="array" ref="AF1318">IF(AD1318="","",SUMPRODUCT(IF(LEFT($AD$1:AD1318,2)="JS",1,0)))</f>
        <v/>
      </c>
      <c r="AG1318" t="str">
        <f t="shared" si="80"/>
        <v/>
      </c>
      <c r="AH1318" t="str">
        <f t="shared" si="81"/>
        <v/>
      </c>
      <c r="AI1318" t="str">
        <f>IF(AH1318="","",MAX($AF$1:$AF1318))</f>
        <v/>
      </c>
      <c r="AJ1318" t="str">
        <f t="shared" si="82"/>
        <v/>
      </c>
      <c r="AK1318" t="str">
        <f>IF(AJ1318="","",MAX($AF$1:$AF1318))</f>
        <v/>
      </c>
      <c r="AL1318" t="str">
        <f t="shared" si="83"/>
        <v/>
      </c>
      <c r="AM1318" t="str">
        <f>IF(AL1318="","",MAX($AF$1:$AF1318))</f>
        <v/>
      </c>
    </row>
    <row r="1319" spans="1:39" ht="12.75" customHeight="1" x14ac:dyDescent="0.3">
      <c r="A1319" s="3" t="s">
        <v>114</v>
      </c>
      <c r="B1319" s="24" t="s">
        <v>115</v>
      </c>
      <c r="C1319" s="25"/>
      <c r="D1319" s="12"/>
      <c r="E1319" s="12"/>
      <c r="AB1319" t="str" cm="1">
        <f t="array" ref="AB1319:AC1319">_xlfn._xlws.FILTER(A1319:Z1319,A1319:Z1319&lt;&gt;"","")</f>
        <v>Subject Name</v>
      </c>
      <c r="AC1319" t="str">
        <v>Subject Weighting for 2023/24 Admission Exercise *</v>
      </c>
      <c r="AD1319" t="str">
        <v/>
      </c>
      <c r="AE1319" t="str">
        <v/>
      </c>
      <c r="AF1319" t="str" cm="1">
        <f t="array" ref="AF1319">IF(AD1319="","",SUMPRODUCT(IF(LEFT($AD$1:AD1319,2)="JS",1,0)))</f>
        <v/>
      </c>
      <c r="AG1319" t="str">
        <f t="shared" si="80"/>
        <v/>
      </c>
      <c r="AH1319" t="str">
        <f t="shared" si="81"/>
        <v/>
      </c>
      <c r="AI1319" t="str">
        <f>IF(AH1319="","",MAX($AF$1:$AF1319))</f>
        <v/>
      </c>
      <c r="AJ1319" t="str">
        <f t="shared" si="82"/>
        <v/>
      </c>
      <c r="AK1319" t="str">
        <f>IF(AJ1319="","",MAX($AF$1:$AF1319))</f>
        <v/>
      </c>
      <c r="AL1319" t="str">
        <f t="shared" si="83"/>
        <v/>
      </c>
      <c r="AM1319" t="str">
        <f>IF(AL1319="","",MAX($AF$1:$AF1319))</f>
        <v/>
      </c>
    </row>
    <row r="1320" spans="1:39" ht="12.75" customHeight="1" x14ac:dyDescent="0.3">
      <c r="A1320" s="4" t="s">
        <v>151</v>
      </c>
      <c r="B1320" s="19">
        <v>5</v>
      </c>
      <c r="C1320" s="20"/>
      <c r="D1320" s="12"/>
      <c r="E1320" s="12"/>
      <c r="AB1320" t="str" cm="1">
        <f t="array" ref="AB1320:AC1320">_xlfn._xlws.FILTER(A1320:Z1320,A1320:Z1320&lt;&gt;"","")</f>
        <v>French</v>
      </c>
      <c r="AC1320">
        <v>5</v>
      </c>
      <c r="AD1320" t="str">
        <v/>
      </c>
      <c r="AE1320" t="str">
        <v/>
      </c>
      <c r="AF1320" t="str" cm="1">
        <f t="array" ref="AF1320">IF(AD1320="","",SUMPRODUCT(IF(LEFT($AD$1:AD1320,2)="JS",1,0)))</f>
        <v/>
      </c>
      <c r="AG1320" t="str">
        <f t="shared" si="80"/>
        <v/>
      </c>
      <c r="AH1320" t="str">
        <f t="shared" si="81"/>
        <v/>
      </c>
      <c r="AI1320" t="str">
        <f>IF(AH1320="","",MAX($AF$1:$AF1320))</f>
        <v/>
      </c>
      <c r="AJ1320" t="str">
        <f t="shared" si="82"/>
        <v/>
      </c>
      <c r="AK1320" t="str">
        <f>IF(AJ1320="","",MAX($AF$1:$AF1320))</f>
        <v/>
      </c>
      <c r="AL1320" t="str">
        <f t="shared" si="83"/>
        <v/>
      </c>
      <c r="AM1320" t="str">
        <f>IF(AL1320="","",MAX($AF$1:$AF1320))</f>
        <v/>
      </c>
    </row>
    <row r="1321" spans="1:39" ht="12.75" customHeight="1" x14ac:dyDescent="0.3">
      <c r="A1321" s="4" t="s">
        <v>152</v>
      </c>
      <c r="B1321" s="19">
        <v>5</v>
      </c>
      <c r="C1321" s="20"/>
      <c r="D1321" s="12"/>
      <c r="E1321" s="12"/>
      <c r="AB1321" t="str" cm="1">
        <f t="array" ref="AB1321:AC1321">_xlfn._xlws.FILTER(A1321:Z1321,A1321:Z1321&lt;&gt;"","")</f>
        <v>German</v>
      </c>
      <c r="AC1321">
        <v>5</v>
      </c>
      <c r="AD1321" t="str">
        <v/>
      </c>
      <c r="AE1321" t="str">
        <v/>
      </c>
      <c r="AF1321" t="str" cm="1">
        <f t="array" ref="AF1321">IF(AD1321="","",SUMPRODUCT(IF(LEFT($AD$1:AD1321,2)="JS",1,0)))</f>
        <v/>
      </c>
      <c r="AG1321" t="str">
        <f t="shared" si="80"/>
        <v/>
      </c>
      <c r="AH1321" t="str">
        <f t="shared" si="81"/>
        <v/>
      </c>
      <c r="AI1321" t="str">
        <f>IF(AH1321="","",MAX($AF$1:$AF1321))</f>
        <v/>
      </c>
      <c r="AJ1321" t="str">
        <f t="shared" si="82"/>
        <v/>
      </c>
      <c r="AK1321" t="str">
        <f>IF(AJ1321="","",MAX($AF$1:$AF1321))</f>
        <v/>
      </c>
      <c r="AL1321" t="str">
        <f t="shared" si="83"/>
        <v/>
      </c>
      <c r="AM1321" t="str">
        <f>IF(AL1321="","",MAX($AF$1:$AF1321))</f>
        <v/>
      </c>
    </row>
    <row r="1322" spans="1:39" ht="12.75" customHeight="1" x14ac:dyDescent="0.3">
      <c r="A1322" s="4" t="s">
        <v>153</v>
      </c>
      <c r="B1322" s="19">
        <v>5</v>
      </c>
      <c r="C1322" s="20"/>
      <c r="D1322" s="12"/>
      <c r="E1322" s="12"/>
      <c r="AB1322" t="str" cm="1">
        <f t="array" ref="AB1322:AC1322">_xlfn._xlws.FILTER(A1322:Z1322,A1322:Z1322&lt;&gt;"","")</f>
        <v>Hindi</v>
      </c>
      <c r="AC1322">
        <v>5</v>
      </c>
      <c r="AD1322" t="str">
        <v/>
      </c>
      <c r="AE1322" t="str">
        <v/>
      </c>
      <c r="AF1322" t="str" cm="1">
        <f t="array" ref="AF1322">IF(AD1322="","",SUMPRODUCT(IF(LEFT($AD$1:AD1322,2)="JS",1,0)))</f>
        <v/>
      </c>
      <c r="AG1322" t="str">
        <f t="shared" si="80"/>
        <v/>
      </c>
      <c r="AH1322" t="str">
        <f t="shared" si="81"/>
        <v/>
      </c>
      <c r="AI1322" t="str">
        <f>IF(AH1322="","",MAX($AF$1:$AF1322))</f>
        <v/>
      </c>
      <c r="AJ1322" t="str">
        <f t="shared" si="82"/>
        <v/>
      </c>
      <c r="AK1322" t="str">
        <f>IF(AJ1322="","",MAX($AF$1:$AF1322))</f>
        <v/>
      </c>
      <c r="AL1322" t="str">
        <f t="shared" si="83"/>
        <v/>
      </c>
      <c r="AM1322" t="str">
        <f>IF(AL1322="","",MAX($AF$1:$AF1322))</f>
        <v/>
      </c>
    </row>
    <row r="1323" spans="1:39" ht="12.75" customHeight="1" x14ac:dyDescent="0.3">
      <c r="A1323" s="4" t="s">
        <v>154</v>
      </c>
      <c r="B1323" s="19">
        <v>5</v>
      </c>
      <c r="C1323" s="20"/>
      <c r="D1323" s="12"/>
      <c r="E1323" s="12"/>
      <c r="AB1323" t="str" cm="1">
        <f t="array" ref="AB1323:AC1323">_xlfn._xlws.FILTER(A1323:Z1323,A1323:Z1323&lt;&gt;"","")</f>
        <v>Japanese</v>
      </c>
      <c r="AC1323">
        <v>5</v>
      </c>
      <c r="AD1323" t="str">
        <v/>
      </c>
      <c r="AE1323" t="str">
        <v/>
      </c>
      <c r="AF1323" t="str" cm="1">
        <f t="array" ref="AF1323">IF(AD1323="","",SUMPRODUCT(IF(LEFT($AD$1:AD1323,2)="JS",1,0)))</f>
        <v/>
      </c>
      <c r="AG1323" t="str">
        <f t="shared" si="80"/>
        <v/>
      </c>
      <c r="AH1323" t="str">
        <f t="shared" si="81"/>
        <v/>
      </c>
      <c r="AI1323" t="str">
        <f>IF(AH1323="","",MAX($AF$1:$AF1323))</f>
        <v/>
      </c>
      <c r="AJ1323" t="str">
        <f t="shared" si="82"/>
        <v/>
      </c>
      <c r="AK1323" t="str">
        <f>IF(AJ1323="","",MAX($AF$1:$AF1323))</f>
        <v/>
      </c>
      <c r="AL1323" t="str">
        <f t="shared" si="83"/>
        <v/>
      </c>
      <c r="AM1323" t="str">
        <f>IF(AL1323="","",MAX($AF$1:$AF1323))</f>
        <v/>
      </c>
    </row>
    <row r="1324" spans="1:39" ht="12.75" customHeight="1" x14ac:dyDescent="0.3">
      <c r="A1324" s="4" t="s">
        <v>155</v>
      </c>
      <c r="B1324" s="19">
        <v>5</v>
      </c>
      <c r="C1324" s="20"/>
      <c r="D1324" s="12"/>
      <c r="E1324" s="12"/>
      <c r="AB1324" t="str" cm="1">
        <f t="array" ref="AB1324:AC1324">_xlfn._xlws.FILTER(A1324:Z1324,A1324:Z1324&lt;&gt;"","")</f>
        <v>Spanish</v>
      </c>
      <c r="AC1324">
        <v>5</v>
      </c>
      <c r="AD1324" t="str">
        <v/>
      </c>
      <c r="AE1324" t="str">
        <v/>
      </c>
      <c r="AF1324" t="str" cm="1">
        <f t="array" ref="AF1324">IF(AD1324="","",SUMPRODUCT(IF(LEFT($AD$1:AD1324,2)="JS",1,0)))</f>
        <v/>
      </c>
      <c r="AG1324" t="str">
        <f t="shared" si="80"/>
        <v/>
      </c>
      <c r="AH1324" t="str">
        <f t="shared" si="81"/>
        <v/>
      </c>
      <c r="AI1324" t="str">
        <f>IF(AH1324="","",MAX($AF$1:$AF1324))</f>
        <v/>
      </c>
      <c r="AJ1324" t="str">
        <f t="shared" si="82"/>
        <v/>
      </c>
      <c r="AK1324" t="str">
        <f>IF(AJ1324="","",MAX($AF$1:$AF1324))</f>
        <v/>
      </c>
      <c r="AL1324" t="str">
        <f t="shared" si="83"/>
        <v/>
      </c>
      <c r="AM1324" t="str">
        <f>IF(AL1324="","",MAX($AF$1:$AF1324))</f>
        <v/>
      </c>
    </row>
    <row r="1325" spans="1:39" ht="12.75" customHeight="1" x14ac:dyDescent="0.3">
      <c r="A1325" s="4" t="s">
        <v>156</v>
      </c>
      <c r="B1325" s="19">
        <v>5</v>
      </c>
      <c r="C1325" s="20"/>
      <c r="D1325" s="12"/>
      <c r="E1325" s="12"/>
      <c r="AB1325" t="str" cm="1">
        <f t="array" ref="AB1325:AC1325">_xlfn._xlws.FILTER(A1325:Z1325,A1325:Z1325&lt;&gt;"","")</f>
        <v>Urdu</v>
      </c>
      <c r="AC1325">
        <v>5</v>
      </c>
      <c r="AD1325" t="str">
        <v/>
      </c>
      <c r="AE1325" t="str">
        <v/>
      </c>
      <c r="AF1325" t="str" cm="1">
        <f t="array" ref="AF1325">IF(AD1325="","",SUMPRODUCT(IF(LEFT($AD$1:AD1325,2)="JS",1,0)))</f>
        <v/>
      </c>
      <c r="AG1325" t="str">
        <f t="shared" si="80"/>
        <v/>
      </c>
      <c r="AH1325" t="str">
        <f t="shared" si="81"/>
        <v/>
      </c>
      <c r="AI1325" t="str">
        <f>IF(AH1325="","",MAX($AF$1:$AF1325))</f>
        <v/>
      </c>
      <c r="AJ1325" t="str">
        <f t="shared" si="82"/>
        <v/>
      </c>
      <c r="AK1325" t="str">
        <f>IF(AJ1325="","",MAX($AF$1:$AF1325))</f>
        <v/>
      </c>
      <c r="AL1325" t="str">
        <f t="shared" si="83"/>
        <v/>
      </c>
      <c r="AM1325" t="str">
        <f>IF(AL1325="","",MAX($AF$1:$AF1325))</f>
        <v/>
      </c>
    </row>
    <row r="1326" spans="1:39" ht="24.75" customHeight="1" x14ac:dyDescent="0.3">
      <c r="A1326" s="21" t="s">
        <v>157</v>
      </c>
      <c r="B1326" s="21"/>
      <c r="C1326" s="21"/>
      <c r="D1326" s="21"/>
      <c r="E1326" s="21"/>
      <c r="AB1326" t="str" cm="1">
        <f t="array" ref="AB1326">_xlfn._xlws.FILTER(A1326:Z1326,A1326:Z1326&lt;&gt;"","")</f>
        <v>* Subject Weighting may be adjusted in the next admissions exercise</v>
      </c>
      <c r="AD1326" t="str">
        <v/>
      </c>
      <c r="AE1326" t="str">
        <v/>
      </c>
      <c r="AF1326" t="str" cm="1">
        <f t="array" ref="AF1326">IF(AD1326="","",SUMPRODUCT(IF(LEFT($AD$1:AD1326,2)="JS",1,0)))</f>
        <v/>
      </c>
      <c r="AG1326" t="str">
        <f t="shared" si="80"/>
        <v/>
      </c>
      <c r="AH1326" t="str">
        <f t="shared" si="81"/>
        <v/>
      </c>
      <c r="AI1326" t="str">
        <f>IF(AH1326="","",MAX($AF$1:$AF1326))</f>
        <v/>
      </c>
      <c r="AJ1326" t="str">
        <f t="shared" si="82"/>
        <v/>
      </c>
      <c r="AK1326" t="str">
        <f>IF(AJ1326="","",MAX($AF$1:$AF1326))</f>
        <v/>
      </c>
      <c r="AL1326" t="str">
        <f t="shared" si="83"/>
        <v/>
      </c>
      <c r="AM1326" t="str">
        <f>IF(AL1326="","",MAX($AF$1:$AF1326))</f>
        <v/>
      </c>
    </row>
    <row r="1327" spans="1:39" ht="15" customHeight="1" x14ac:dyDescent="0.3">
      <c r="A1327" s="18" t="s">
        <v>198</v>
      </c>
      <c r="B1327" s="18"/>
      <c r="C1327" s="18"/>
      <c r="D1327" s="1"/>
      <c r="AB1327" t="str" cm="1">
        <f t="array" ref="AB1327">_xlfn._xlws.FILTER(A1327:Z1327,A1327:Z1327&lt;&gt;"","")</f>
        <v>JUPAS Code: JS3612</v>
      </c>
      <c r="AD1327" t="str">
        <v>JS3612</v>
      </c>
      <c r="AE1327" t="str">
        <v/>
      </c>
      <c r="AF1327" cm="1">
        <f t="array" ref="AF1327">IF(AD1327="","",SUMPRODUCT(IF(LEFT($AD$1:AD1327,2)="JS",1,0)))</f>
        <v>26</v>
      </c>
      <c r="AG1327" t="str">
        <f t="shared" si="80"/>
        <v/>
      </c>
      <c r="AH1327" t="str">
        <f t="shared" si="81"/>
        <v/>
      </c>
      <c r="AI1327" t="str">
        <f>IF(AH1327="","",MAX($AF$1:$AF1327))</f>
        <v/>
      </c>
      <c r="AJ1327" t="str">
        <f t="shared" si="82"/>
        <v/>
      </c>
      <c r="AK1327" t="str">
        <f>IF(AJ1327="","",MAX($AF$1:$AF1327))</f>
        <v/>
      </c>
      <c r="AL1327" t="str">
        <f t="shared" si="83"/>
        <v/>
      </c>
      <c r="AM1327" t="str">
        <f>IF(AL1327="","",MAX($AF$1:$AF1327))</f>
        <v/>
      </c>
    </row>
    <row r="1328" spans="1:39" ht="13.5" customHeight="1" x14ac:dyDescent="0.3">
      <c r="A1328" s="18" t="s">
        <v>199</v>
      </c>
      <c r="B1328" s="18"/>
      <c r="C1328" s="18"/>
      <c r="D1328" s="1"/>
      <c r="AB1328" t="str" cm="1">
        <f t="array" ref="AB1328">_xlfn._xlws.FILTER(A1328:Z1328,A1328:Z1328&lt;&gt;"","")</f>
        <v>Programme Title: BSc (Hons) Scheme in Medical Laboratory Science and Radiography - Radiography</v>
      </c>
      <c r="AD1328" t="str">
        <v/>
      </c>
      <c r="AE1328" t="str">
        <v>BSc (Hons) Scheme in Medical Laboratory Science and Radiography - Radiography</v>
      </c>
      <c r="AF1328" t="str" cm="1">
        <f t="array" ref="AF1328">IF(AD1328="","",SUMPRODUCT(IF(LEFT($AD$1:AD1328,2)="JS",1,0)))</f>
        <v/>
      </c>
      <c r="AG1328" t="str">
        <f t="shared" si="80"/>
        <v/>
      </c>
      <c r="AH1328" t="str">
        <f t="shared" si="81"/>
        <v/>
      </c>
      <c r="AI1328" t="str">
        <f>IF(AH1328="","",MAX($AF$1:$AF1328))</f>
        <v/>
      </c>
      <c r="AJ1328" t="str">
        <f t="shared" si="82"/>
        <v/>
      </c>
      <c r="AK1328" t="str">
        <f>IF(AJ1328="","",MAX($AF$1:$AF1328))</f>
        <v/>
      </c>
      <c r="AL1328" t="str">
        <f t="shared" si="83"/>
        <v/>
      </c>
      <c r="AM1328" t="str">
        <f>IF(AL1328="","",MAX($AF$1:$AF1328))</f>
        <v/>
      </c>
    </row>
    <row r="1329" spans="1:39" ht="14.5" customHeight="1" x14ac:dyDescent="0.3">
      <c r="A1329" s="12"/>
      <c r="B1329" s="12"/>
      <c r="C1329" s="2"/>
      <c r="D1329" s="2"/>
      <c r="AB1329" t="str" cm="1">
        <f t="array" ref="AB1329">_xlfn._xlws.FILTER(A1329:Z1329,A1329:Z1329&lt;&gt;"","")</f>
        <v/>
      </c>
      <c r="AD1329" t="str">
        <v/>
      </c>
      <c r="AE1329" t="str">
        <v/>
      </c>
      <c r="AF1329" t="str" cm="1">
        <f t="array" ref="AF1329">IF(AD1329="","",SUMPRODUCT(IF(LEFT($AD$1:AD1329,2)="JS",1,0)))</f>
        <v/>
      </c>
      <c r="AG1329" t="str">
        <f t="shared" si="80"/>
        <v/>
      </c>
      <c r="AH1329" t="str">
        <f t="shared" si="81"/>
        <v/>
      </c>
      <c r="AI1329" t="str">
        <f>IF(AH1329="","",MAX($AF$1:$AF1329))</f>
        <v/>
      </c>
      <c r="AJ1329" t="str">
        <f t="shared" si="82"/>
        <v/>
      </c>
      <c r="AK1329" t="str">
        <f>IF(AJ1329="","",MAX($AF$1:$AF1329))</f>
        <v/>
      </c>
      <c r="AL1329" t="str">
        <f t="shared" si="83"/>
        <v/>
      </c>
      <c r="AM1329" t="str">
        <f>IF(AL1329="","",MAX($AF$1:$AF1329))</f>
        <v/>
      </c>
    </row>
    <row r="1330" spans="1:39" ht="13.5" customHeight="1" x14ac:dyDescent="0.3">
      <c r="A1330" s="13" t="s">
        <v>2</v>
      </c>
      <c r="B1330" s="13"/>
      <c r="C1330" s="13"/>
      <c r="D1330" s="13"/>
      <c r="AB1330" t="str" cm="1">
        <f t="array" ref="AB1330">_xlfn._xlws.FILTER(A1330:Z1330,A1330:Z1330&lt;&gt;"","")</f>
        <v>Category A: Core and Elective Subjects</v>
      </c>
      <c r="AD1330" t="str">
        <v/>
      </c>
      <c r="AE1330" t="str">
        <v/>
      </c>
      <c r="AF1330" t="str" cm="1">
        <f t="array" ref="AF1330">IF(AD1330="","",SUMPRODUCT(IF(LEFT($AD$1:AD1330,2)="JS",1,0)))</f>
        <v/>
      </c>
      <c r="AG1330" t="str">
        <f t="shared" si="80"/>
        <v/>
      </c>
      <c r="AH1330" t="str">
        <f t="shared" si="81"/>
        <v/>
      </c>
      <c r="AI1330" t="str">
        <f>IF(AH1330="","",MAX($AF$1:$AF1330))</f>
        <v/>
      </c>
      <c r="AJ1330" t="str">
        <f t="shared" si="82"/>
        <v/>
      </c>
      <c r="AK1330" t="str">
        <f>IF(AJ1330="","",MAX($AF$1:$AF1330))</f>
        <v/>
      </c>
      <c r="AL1330" t="str">
        <f t="shared" si="83"/>
        <v/>
      </c>
      <c r="AM1330" t="str">
        <f>IF(AL1330="","",MAX($AF$1:$AF1330))</f>
        <v/>
      </c>
    </row>
    <row r="1331" spans="1:39" ht="13.5" customHeight="1" x14ac:dyDescent="0.3">
      <c r="A1331" s="14" t="s">
        <v>3</v>
      </c>
      <c r="B1331" s="15"/>
      <c r="C1331" s="16" t="s">
        <v>4</v>
      </c>
      <c r="D1331" s="17"/>
      <c r="AB1331" t="str" cm="1">
        <f t="array" ref="AB1331:AC1331">_xlfn._xlws.FILTER(A1331:Z1331,A1331:Z1331&lt;&gt;"","")</f>
        <v>Subject Name</v>
      </c>
      <c r="AC1331" t="str">
        <v>Subject Weighting for 2023/24 Admission Exercise *</v>
      </c>
      <c r="AD1331" t="str">
        <v/>
      </c>
      <c r="AE1331" t="str">
        <v/>
      </c>
      <c r="AF1331" t="str" cm="1">
        <f t="array" ref="AF1331">IF(AD1331="","",SUMPRODUCT(IF(LEFT($AD$1:AD1331,2)="JS",1,0)))</f>
        <v/>
      </c>
      <c r="AG1331" t="str">
        <f t="shared" si="80"/>
        <v/>
      </c>
      <c r="AH1331" t="str">
        <f t="shared" si="81"/>
        <v/>
      </c>
      <c r="AI1331" t="str">
        <f>IF(AH1331="","",MAX($AF$1:$AF1331))</f>
        <v/>
      </c>
      <c r="AJ1331" t="str">
        <f t="shared" si="82"/>
        <v/>
      </c>
      <c r="AK1331" t="str">
        <f>IF(AJ1331="","",MAX($AF$1:$AF1331))</f>
        <v/>
      </c>
      <c r="AL1331" t="str">
        <f t="shared" si="83"/>
        <v/>
      </c>
      <c r="AM1331" t="str">
        <f>IF(AL1331="","",MAX($AF$1:$AF1331))</f>
        <v/>
      </c>
    </row>
    <row r="1332" spans="1:39" ht="13.5" customHeight="1" x14ac:dyDescent="0.3">
      <c r="A1332" s="8" t="s">
        <v>211</v>
      </c>
      <c r="B1332" s="9"/>
      <c r="C1332" s="10">
        <v>10</v>
      </c>
      <c r="D1332" s="11"/>
      <c r="AB1332" t="str" cm="1">
        <f t="array" ref="AB1332:AC1332">_xlfn._xlws.FILTER(A1332:Z1332,A1332:Z1332&lt;&gt;"","")</f>
        <v>BIO</v>
      </c>
      <c r="AC1332">
        <v>10</v>
      </c>
      <c r="AD1332" t="str">
        <v/>
      </c>
      <c r="AE1332" t="str">
        <v/>
      </c>
      <c r="AF1332" t="str" cm="1">
        <f t="array" ref="AF1332">IF(AD1332="","",SUMPRODUCT(IF(LEFT($AD$1:AD1332,2)="JS",1,0)))</f>
        <v/>
      </c>
      <c r="AG1332" t="b">
        <f t="shared" si="80"/>
        <v>1</v>
      </c>
      <c r="AH1332" t="str">
        <f t="shared" si="81"/>
        <v>BIO</v>
      </c>
      <c r="AI1332">
        <f>IF(AH1332="","",MAX($AF$1:$AF1332))</f>
        <v>26</v>
      </c>
      <c r="AJ1332" t="str">
        <f t="shared" si="82"/>
        <v/>
      </c>
      <c r="AK1332" t="str">
        <f>IF(AJ1332="","",MAX($AF$1:$AF1332))</f>
        <v/>
      </c>
      <c r="AL1332" t="str">
        <f t="shared" si="83"/>
        <v/>
      </c>
      <c r="AM1332" t="str">
        <f>IF(AL1332="","",MAX($AF$1:$AF1332))</f>
        <v/>
      </c>
    </row>
    <row r="1333" spans="1:39" ht="13.5" customHeight="1" x14ac:dyDescent="0.3">
      <c r="A1333" s="8" t="s">
        <v>213</v>
      </c>
      <c r="B1333" s="9"/>
      <c r="C1333" s="10">
        <v>5</v>
      </c>
      <c r="D1333" s="11"/>
      <c r="AB1333" t="str" cm="1">
        <f t="array" ref="AB1333:AC1333">_xlfn._xlws.FILTER(A1333:Z1333,A1333:Z1333&lt;&gt;"","")</f>
        <v>BAFS</v>
      </c>
      <c r="AC1333">
        <v>5</v>
      </c>
      <c r="AD1333" t="str">
        <v/>
      </c>
      <c r="AE1333" t="str">
        <v/>
      </c>
      <c r="AF1333" t="str" cm="1">
        <f t="array" ref="AF1333">IF(AD1333="","",SUMPRODUCT(IF(LEFT($AD$1:AD1333,2)="JS",1,0)))</f>
        <v/>
      </c>
      <c r="AG1333" t="b">
        <f t="shared" si="80"/>
        <v>1</v>
      </c>
      <c r="AH1333" t="str">
        <f t="shared" si="81"/>
        <v/>
      </c>
      <c r="AI1333" t="str">
        <f>IF(AH1333="","",MAX($AF$1:$AF1333))</f>
        <v/>
      </c>
      <c r="AJ1333" t="str">
        <f t="shared" si="82"/>
        <v/>
      </c>
      <c r="AK1333" t="str">
        <f>IF(AJ1333="","",MAX($AF$1:$AF1333))</f>
        <v/>
      </c>
      <c r="AL1333" t="str">
        <f t="shared" si="83"/>
        <v>BAFS</v>
      </c>
      <c r="AM1333">
        <f>IF(AL1333="","",MAX($AF$1:$AF1333))</f>
        <v>26</v>
      </c>
    </row>
    <row r="1334" spans="1:39" ht="13.5" customHeight="1" x14ac:dyDescent="0.3">
      <c r="A1334" s="8" t="s">
        <v>5</v>
      </c>
      <c r="B1334" s="9"/>
      <c r="C1334" s="10">
        <v>5</v>
      </c>
      <c r="D1334" s="11"/>
      <c r="AB1334" t="str" cm="1">
        <f t="array" ref="AB1334:AC1334">_xlfn._xlws.FILTER(A1334:Z1334,A1334:Z1334&lt;&gt;"","")</f>
        <v>Business, Accounting and Financial Studies (Accounting)</v>
      </c>
      <c r="AC1334">
        <v>5</v>
      </c>
      <c r="AD1334" t="str">
        <v/>
      </c>
      <c r="AE1334" t="str">
        <v/>
      </c>
      <c r="AF1334" t="str" cm="1">
        <f t="array" ref="AF1334">IF(AD1334="","",SUMPRODUCT(IF(LEFT($AD$1:AD1334,2)="JS",1,0)))</f>
        <v/>
      </c>
      <c r="AG1334" t="str">
        <f t="shared" si="80"/>
        <v/>
      </c>
      <c r="AH1334" t="str">
        <f t="shared" si="81"/>
        <v/>
      </c>
      <c r="AI1334" t="str">
        <f>IF(AH1334="","",MAX($AF$1:$AF1334))</f>
        <v/>
      </c>
      <c r="AJ1334" t="str">
        <f t="shared" si="82"/>
        <v/>
      </c>
      <c r="AK1334" t="str">
        <f>IF(AJ1334="","",MAX($AF$1:$AF1334))</f>
        <v/>
      </c>
      <c r="AL1334" t="str">
        <f t="shared" si="83"/>
        <v/>
      </c>
      <c r="AM1334" t="str">
        <f>IF(AL1334="","",MAX($AF$1:$AF1334))</f>
        <v/>
      </c>
    </row>
    <row r="1335" spans="1:39" ht="13.5" customHeight="1" x14ac:dyDescent="0.3">
      <c r="A1335" s="8" t="s">
        <v>6</v>
      </c>
      <c r="B1335" s="9"/>
      <c r="C1335" s="10">
        <v>5</v>
      </c>
      <c r="D1335" s="11"/>
      <c r="AB1335" t="str" cm="1">
        <f t="array" ref="AB1335:AC1335">_xlfn._xlws.FILTER(A1335:Z1335,A1335:Z1335&lt;&gt;"","")</f>
        <v>Business, Accounting and Financial Studies (Business Management)</v>
      </c>
      <c r="AC1335">
        <v>5</v>
      </c>
      <c r="AD1335" t="str">
        <v/>
      </c>
      <c r="AE1335" t="str">
        <v/>
      </c>
      <c r="AF1335" t="str" cm="1">
        <f t="array" ref="AF1335">IF(AD1335="","",SUMPRODUCT(IF(LEFT($AD$1:AD1335,2)="JS",1,0)))</f>
        <v/>
      </c>
      <c r="AG1335" t="str">
        <f t="shared" si="80"/>
        <v/>
      </c>
      <c r="AH1335" t="str">
        <f t="shared" si="81"/>
        <v/>
      </c>
      <c r="AI1335" t="str">
        <f>IF(AH1335="","",MAX($AF$1:$AF1335))</f>
        <v/>
      </c>
      <c r="AJ1335" t="str">
        <f t="shared" si="82"/>
        <v/>
      </c>
      <c r="AK1335" t="str">
        <f>IF(AJ1335="","",MAX($AF$1:$AF1335))</f>
        <v/>
      </c>
      <c r="AL1335" t="str">
        <f t="shared" si="83"/>
        <v/>
      </c>
      <c r="AM1335" t="str">
        <f>IF(AL1335="","",MAX($AF$1:$AF1335))</f>
        <v/>
      </c>
    </row>
    <row r="1336" spans="1:39" ht="13.5" customHeight="1" x14ac:dyDescent="0.3">
      <c r="A1336" s="8" t="s">
        <v>212</v>
      </c>
      <c r="B1336" s="9"/>
      <c r="C1336" s="10">
        <v>10</v>
      </c>
      <c r="D1336" s="11"/>
      <c r="AB1336" t="str" cm="1">
        <f t="array" ref="AB1336:AC1336">_xlfn._xlws.FILTER(A1336:Z1336,A1336:Z1336&lt;&gt;"","")</f>
        <v>CHEM</v>
      </c>
      <c r="AC1336">
        <v>10</v>
      </c>
      <c r="AD1336" t="str">
        <v/>
      </c>
      <c r="AE1336" t="str">
        <v/>
      </c>
      <c r="AF1336" t="str" cm="1">
        <f t="array" ref="AF1336">IF(AD1336="","",SUMPRODUCT(IF(LEFT($AD$1:AD1336,2)="JS",1,0)))</f>
        <v/>
      </c>
      <c r="AG1336" t="b">
        <f t="shared" si="80"/>
        <v>1</v>
      </c>
      <c r="AH1336" t="str">
        <f t="shared" si="81"/>
        <v>CHEM</v>
      </c>
      <c r="AI1336">
        <f>IF(AH1336="","",MAX($AF$1:$AF1336))</f>
        <v>26</v>
      </c>
      <c r="AJ1336" t="str">
        <f t="shared" si="82"/>
        <v/>
      </c>
      <c r="AK1336" t="str">
        <f>IF(AJ1336="","",MAX($AF$1:$AF1336))</f>
        <v/>
      </c>
      <c r="AL1336" t="str">
        <f t="shared" si="83"/>
        <v/>
      </c>
      <c r="AM1336" t="str">
        <f>IF(AL1336="","",MAX($AF$1:$AF1336))</f>
        <v/>
      </c>
    </row>
    <row r="1337" spans="1:39" ht="13.5" customHeight="1" x14ac:dyDescent="0.3">
      <c r="A1337" s="8" t="s">
        <v>214</v>
      </c>
      <c r="B1337" s="9"/>
      <c r="C1337" s="10">
        <v>5</v>
      </c>
      <c r="D1337" s="11"/>
      <c r="AB1337" t="str" cm="1">
        <f t="array" ref="AB1337:AC1337">_xlfn._xlws.FILTER(A1337:Z1337,A1337:Z1337&lt;&gt;"","")</f>
        <v>中史</v>
      </c>
      <c r="AC1337">
        <v>5</v>
      </c>
      <c r="AD1337" t="str">
        <v/>
      </c>
      <c r="AE1337" t="str">
        <v/>
      </c>
      <c r="AF1337" t="str" cm="1">
        <f t="array" ref="AF1337">IF(AD1337="","",SUMPRODUCT(IF(LEFT($AD$1:AD1337,2)="JS",1,0)))</f>
        <v/>
      </c>
      <c r="AG1337" t="b">
        <f t="shared" si="80"/>
        <v>1</v>
      </c>
      <c r="AH1337" t="str">
        <f t="shared" si="81"/>
        <v/>
      </c>
      <c r="AI1337" t="str">
        <f>IF(AH1337="","",MAX($AF$1:$AF1337))</f>
        <v/>
      </c>
      <c r="AJ1337" t="str">
        <f t="shared" si="82"/>
        <v/>
      </c>
      <c r="AK1337" t="str">
        <f>IF(AJ1337="","",MAX($AF$1:$AF1337))</f>
        <v/>
      </c>
      <c r="AL1337" t="str">
        <f t="shared" si="83"/>
        <v>中史</v>
      </c>
      <c r="AM1337">
        <f>IF(AL1337="","",MAX($AF$1:$AF1337))</f>
        <v>26</v>
      </c>
    </row>
    <row r="1338" spans="1:39" ht="13.5" customHeight="1" x14ac:dyDescent="0.3">
      <c r="A1338" s="8" t="s">
        <v>216</v>
      </c>
      <c r="B1338" s="9"/>
      <c r="C1338" s="10">
        <v>10</v>
      </c>
      <c r="D1338" s="11"/>
      <c r="AB1338" t="str" cm="1">
        <f t="array" ref="AB1338:AC1338">_xlfn._xlws.FILTER(A1338:Z1338,A1338:Z1338&lt;&gt;"","")</f>
        <v>中文</v>
      </c>
      <c r="AC1338">
        <v>10</v>
      </c>
      <c r="AD1338" t="str">
        <v/>
      </c>
      <c r="AE1338" t="str">
        <v/>
      </c>
      <c r="AF1338" t="str" cm="1">
        <f t="array" ref="AF1338">IF(AD1338="","",SUMPRODUCT(IF(LEFT($AD$1:AD1338,2)="JS",1,0)))</f>
        <v/>
      </c>
      <c r="AG1338" t="b">
        <f t="shared" si="80"/>
        <v>1</v>
      </c>
      <c r="AH1338" t="str">
        <f t="shared" si="81"/>
        <v>中文</v>
      </c>
      <c r="AI1338">
        <f>IF(AH1338="","",MAX($AF$1:$AF1338))</f>
        <v>26</v>
      </c>
      <c r="AJ1338" t="str">
        <f t="shared" si="82"/>
        <v/>
      </c>
      <c r="AK1338" t="str">
        <f>IF(AJ1338="","",MAX($AF$1:$AF1338))</f>
        <v/>
      </c>
      <c r="AL1338" t="str">
        <f t="shared" si="83"/>
        <v/>
      </c>
      <c r="AM1338" t="str">
        <f>IF(AL1338="","",MAX($AF$1:$AF1338))</f>
        <v/>
      </c>
    </row>
    <row r="1339" spans="1:39" ht="13.5" customHeight="1" x14ac:dyDescent="0.3">
      <c r="A1339" s="8" t="s">
        <v>7</v>
      </c>
      <c r="B1339" s="9"/>
      <c r="C1339" s="10">
        <v>5</v>
      </c>
      <c r="D1339" s="11"/>
      <c r="AB1339" t="str" cm="1">
        <f t="array" ref="AB1339:AC1339">_xlfn._xlws.FILTER(A1339:Z1339,A1339:Z1339&lt;&gt;"","")</f>
        <v>Chinese Literature</v>
      </c>
      <c r="AC1339">
        <v>5</v>
      </c>
      <c r="AD1339" t="str">
        <v/>
      </c>
      <c r="AE1339" t="str">
        <v/>
      </c>
      <c r="AF1339" t="str" cm="1">
        <f t="array" ref="AF1339">IF(AD1339="","",SUMPRODUCT(IF(LEFT($AD$1:AD1339,2)="JS",1,0)))</f>
        <v/>
      </c>
      <c r="AG1339" t="str">
        <f t="shared" si="80"/>
        <v/>
      </c>
      <c r="AH1339" t="str">
        <f t="shared" si="81"/>
        <v/>
      </c>
      <c r="AI1339" t="str">
        <f>IF(AH1339="","",MAX($AF$1:$AF1339))</f>
        <v/>
      </c>
      <c r="AJ1339" t="str">
        <f t="shared" si="82"/>
        <v/>
      </c>
      <c r="AK1339" t="str">
        <f>IF(AJ1339="","",MAX($AF$1:$AF1339))</f>
        <v/>
      </c>
      <c r="AL1339" t="str">
        <f t="shared" si="83"/>
        <v/>
      </c>
      <c r="AM1339" t="str">
        <f>IF(AL1339="","",MAX($AF$1:$AF1339))</f>
        <v/>
      </c>
    </row>
    <row r="1340" spans="1:39" ht="13.5" customHeight="1" x14ac:dyDescent="0.3">
      <c r="A1340" s="8" t="s">
        <v>8</v>
      </c>
      <c r="B1340" s="9"/>
      <c r="C1340" s="10">
        <v>10</v>
      </c>
      <c r="D1340" s="11"/>
      <c r="AB1340" t="str" cm="1">
        <f t="array" ref="AB1340:AC1340">_xlfn._xlws.FILTER(A1340:Z1340,A1340:Z1340&lt;&gt;"","")</f>
        <v>Combined Science: Biology + Chemistry</v>
      </c>
      <c r="AC1340">
        <v>10</v>
      </c>
      <c r="AD1340" t="str">
        <v/>
      </c>
      <c r="AE1340" t="str">
        <v/>
      </c>
      <c r="AF1340" t="str" cm="1">
        <f t="array" ref="AF1340">IF(AD1340="","",SUMPRODUCT(IF(LEFT($AD$1:AD1340,2)="JS",1,0)))</f>
        <v/>
      </c>
      <c r="AG1340" t="str">
        <f t="shared" si="80"/>
        <v/>
      </c>
      <c r="AH1340" t="str">
        <f t="shared" si="81"/>
        <v/>
      </c>
      <c r="AI1340" t="str">
        <f>IF(AH1340="","",MAX($AF$1:$AF1340))</f>
        <v/>
      </c>
      <c r="AJ1340" t="str">
        <f t="shared" si="82"/>
        <v/>
      </c>
      <c r="AK1340" t="str">
        <f>IF(AJ1340="","",MAX($AF$1:$AF1340))</f>
        <v/>
      </c>
      <c r="AL1340" t="str">
        <f t="shared" si="83"/>
        <v/>
      </c>
      <c r="AM1340" t="str">
        <f>IF(AL1340="","",MAX($AF$1:$AF1340))</f>
        <v/>
      </c>
    </row>
    <row r="1341" spans="1:39" ht="13.5" customHeight="1" x14ac:dyDescent="0.3">
      <c r="A1341" s="8" t="s">
        <v>9</v>
      </c>
      <c r="B1341" s="9"/>
      <c r="C1341" s="10">
        <v>10</v>
      </c>
      <c r="D1341" s="11"/>
      <c r="AB1341" t="str" cm="1">
        <f t="array" ref="AB1341:AC1341">_xlfn._xlws.FILTER(A1341:Z1341,A1341:Z1341&lt;&gt;"","")</f>
        <v>Combined Science: Biology + Physics</v>
      </c>
      <c r="AC1341">
        <v>10</v>
      </c>
      <c r="AD1341" t="str">
        <v/>
      </c>
      <c r="AE1341" t="str">
        <v/>
      </c>
      <c r="AF1341" t="str" cm="1">
        <f t="array" ref="AF1341">IF(AD1341="","",SUMPRODUCT(IF(LEFT($AD$1:AD1341,2)="JS",1,0)))</f>
        <v/>
      </c>
      <c r="AG1341" t="str">
        <f t="shared" si="80"/>
        <v/>
      </c>
      <c r="AH1341" t="str">
        <f t="shared" si="81"/>
        <v/>
      </c>
      <c r="AI1341" t="str">
        <f>IF(AH1341="","",MAX($AF$1:$AF1341))</f>
        <v/>
      </c>
      <c r="AJ1341" t="str">
        <f t="shared" si="82"/>
        <v/>
      </c>
      <c r="AK1341" t="str">
        <f>IF(AJ1341="","",MAX($AF$1:$AF1341))</f>
        <v/>
      </c>
      <c r="AL1341" t="str">
        <f t="shared" si="83"/>
        <v/>
      </c>
      <c r="AM1341" t="str">
        <f>IF(AL1341="","",MAX($AF$1:$AF1341))</f>
        <v/>
      </c>
    </row>
    <row r="1342" spans="1:39" ht="13.5" customHeight="1" x14ac:dyDescent="0.3">
      <c r="A1342" s="8" t="s">
        <v>10</v>
      </c>
      <c r="B1342" s="9"/>
      <c r="C1342" s="10">
        <v>10</v>
      </c>
      <c r="D1342" s="11"/>
      <c r="AB1342" t="str" cm="1">
        <f t="array" ref="AB1342:AC1342">_xlfn._xlws.FILTER(A1342:Z1342,A1342:Z1342&lt;&gt;"","")</f>
        <v>Combined Science: Physics + Chemistry</v>
      </c>
      <c r="AC1342">
        <v>10</v>
      </c>
      <c r="AD1342" t="str">
        <v/>
      </c>
      <c r="AE1342" t="str">
        <v/>
      </c>
      <c r="AF1342" t="str" cm="1">
        <f t="array" ref="AF1342">IF(AD1342="","",SUMPRODUCT(IF(LEFT($AD$1:AD1342,2)="JS",1,0)))</f>
        <v/>
      </c>
      <c r="AG1342" t="str">
        <f t="shared" si="80"/>
        <v/>
      </c>
      <c r="AH1342" t="str">
        <f t="shared" si="81"/>
        <v/>
      </c>
      <c r="AI1342" t="str">
        <f>IF(AH1342="","",MAX($AF$1:$AF1342))</f>
        <v/>
      </c>
      <c r="AJ1342" t="str">
        <f t="shared" si="82"/>
        <v/>
      </c>
      <c r="AK1342" t="str">
        <f>IF(AJ1342="","",MAX($AF$1:$AF1342))</f>
        <v/>
      </c>
      <c r="AL1342" t="str">
        <f t="shared" si="83"/>
        <v/>
      </c>
      <c r="AM1342" t="str">
        <f>IF(AL1342="","",MAX($AF$1:$AF1342))</f>
        <v/>
      </c>
    </row>
    <row r="1343" spans="1:39" ht="13.5" customHeight="1" x14ac:dyDescent="0.3">
      <c r="A1343" s="8" t="s">
        <v>11</v>
      </c>
      <c r="B1343" s="9"/>
      <c r="C1343" s="10">
        <v>5</v>
      </c>
      <c r="D1343" s="11"/>
      <c r="AB1343" t="str" cm="1">
        <f t="array" ref="AB1343:AC1343">_xlfn._xlws.FILTER(A1343:Z1343,A1343:Z1343&lt;&gt;"","")</f>
        <v>Design and Applied Technology</v>
      </c>
      <c r="AC1343">
        <v>5</v>
      </c>
      <c r="AD1343" t="str">
        <v/>
      </c>
      <c r="AE1343" t="str">
        <v/>
      </c>
      <c r="AF1343" t="str" cm="1">
        <f t="array" ref="AF1343">IF(AD1343="","",SUMPRODUCT(IF(LEFT($AD$1:AD1343,2)="JS",1,0)))</f>
        <v/>
      </c>
      <c r="AG1343" t="str">
        <f t="shared" si="80"/>
        <v/>
      </c>
      <c r="AH1343" t="str">
        <f t="shared" si="81"/>
        <v/>
      </c>
      <c r="AI1343" t="str">
        <f>IF(AH1343="","",MAX($AF$1:$AF1343))</f>
        <v/>
      </c>
      <c r="AJ1343" t="str">
        <f t="shared" si="82"/>
        <v/>
      </c>
      <c r="AK1343" t="str">
        <f>IF(AJ1343="","",MAX($AF$1:$AF1343))</f>
        <v/>
      </c>
      <c r="AL1343" t="str">
        <f t="shared" si="83"/>
        <v/>
      </c>
      <c r="AM1343" t="str">
        <f>IF(AL1343="","",MAX($AF$1:$AF1343))</f>
        <v/>
      </c>
    </row>
    <row r="1344" spans="1:39" ht="13.5" customHeight="1" x14ac:dyDescent="0.3">
      <c r="A1344" s="8" t="s">
        <v>217</v>
      </c>
      <c r="B1344" s="9"/>
      <c r="C1344" s="10">
        <v>5</v>
      </c>
      <c r="D1344" s="11"/>
      <c r="AB1344" t="str" cm="1">
        <f t="array" ref="AB1344:AC1344">_xlfn._xlws.FILTER(A1344:Z1344,A1344:Z1344&lt;&gt;"","")</f>
        <v>ECON</v>
      </c>
      <c r="AC1344">
        <v>5</v>
      </c>
      <c r="AD1344" t="str">
        <v/>
      </c>
      <c r="AE1344" t="str">
        <v/>
      </c>
      <c r="AF1344" t="str" cm="1">
        <f t="array" ref="AF1344">IF(AD1344="","",SUMPRODUCT(IF(LEFT($AD$1:AD1344,2)="JS",1,0)))</f>
        <v/>
      </c>
      <c r="AG1344" t="b">
        <f t="shared" si="80"/>
        <v>1</v>
      </c>
      <c r="AH1344" t="str">
        <f t="shared" si="81"/>
        <v/>
      </c>
      <c r="AI1344" t="str">
        <f>IF(AH1344="","",MAX($AF$1:$AF1344))</f>
        <v/>
      </c>
      <c r="AJ1344" t="str">
        <f t="shared" si="82"/>
        <v/>
      </c>
      <c r="AK1344" t="str">
        <f>IF(AJ1344="","",MAX($AF$1:$AF1344))</f>
        <v/>
      </c>
      <c r="AL1344" t="str">
        <f t="shared" si="83"/>
        <v>ECON</v>
      </c>
      <c r="AM1344">
        <f>IF(AL1344="","",MAX($AF$1:$AF1344))</f>
        <v>26</v>
      </c>
    </row>
    <row r="1345" spans="1:39" ht="13.5" customHeight="1" x14ac:dyDescent="0.3">
      <c r="A1345" s="8" t="s">
        <v>218</v>
      </c>
      <c r="B1345" s="9"/>
      <c r="C1345" s="10">
        <v>10</v>
      </c>
      <c r="D1345" s="11"/>
      <c r="AB1345" t="str" cm="1">
        <f t="array" ref="AB1345:AC1345">_xlfn._xlws.FILTER(A1345:Z1345,A1345:Z1345&lt;&gt;"","")</f>
        <v>ENG</v>
      </c>
      <c r="AC1345">
        <v>10</v>
      </c>
      <c r="AD1345" t="str">
        <v/>
      </c>
      <c r="AE1345" t="str">
        <v/>
      </c>
      <c r="AF1345" t="str" cm="1">
        <f t="array" ref="AF1345">IF(AD1345="","",SUMPRODUCT(IF(LEFT($AD$1:AD1345,2)="JS",1,0)))</f>
        <v/>
      </c>
      <c r="AG1345" t="b">
        <f t="shared" ref="AG1345:AG1408" si="84">IF(ISNUMBER(MATCH(AB1345,$AV$3:$AV$18,0)),TRUE,"")</f>
        <v>1</v>
      </c>
      <c r="AH1345" t="str">
        <f t="shared" si="81"/>
        <v>ENG</v>
      </c>
      <c r="AI1345">
        <f>IF(AH1345="","",MAX($AF$1:$AF1345))</f>
        <v>26</v>
      </c>
      <c r="AJ1345" t="str">
        <f t="shared" si="82"/>
        <v/>
      </c>
      <c r="AK1345" t="str">
        <f>IF(AJ1345="","",MAX($AF$1:$AF1345))</f>
        <v/>
      </c>
      <c r="AL1345" t="str">
        <f t="shared" si="83"/>
        <v/>
      </c>
      <c r="AM1345" t="str">
        <f>IF(AL1345="","",MAX($AF$1:$AF1345))</f>
        <v/>
      </c>
    </row>
    <row r="1346" spans="1:39" ht="13.5" customHeight="1" x14ac:dyDescent="0.3">
      <c r="A1346" s="8" t="s">
        <v>12</v>
      </c>
      <c r="B1346" s="9"/>
      <c r="C1346" s="10">
        <v>5</v>
      </c>
      <c r="D1346" s="11"/>
      <c r="AB1346" t="str" cm="1">
        <f t="array" ref="AB1346:AC1346">_xlfn._xlws.FILTER(A1346:Z1346,A1346:Z1346&lt;&gt;"","")</f>
        <v>Ethics and Religious Studies</v>
      </c>
      <c r="AC1346">
        <v>5</v>
      </c>
      <c r="AD1346" t="str">
        <v/>
      </c>
      <c r="AE1346" t="str">
        <v/>
      </c>
      <c r="AF1346" t="str" cm="1">
        <f t="array" ref="AF1346">IF(AD1346="","",SUMPRODUCT(IF(LEFT($AD$1:AD1346,2)="JS",1,0)))</f>
        <v/>
      </c>
      <c r="AG1346" t="str">
        <f t="shared" si="84"/>
        <v/>
      </c>
      <c r="AH1346" t="str">
        <f t="shared" ref="AH1346:AH1409" si="85">IF(AND(AC1346=10,AG1346=TRUE),AB1346,"")</f>
        <v/>
      </c>
      <c r="AI1346" t="str">
        <f>IF(AH1346="","",MAX($AF$1:$AF1346))</f>
        <v/>
      </c>
      <c r="AJ1346" t="str">
        <f t="shared" ref="AJ1346:AJ1409" si="86">IF(AND(AC1346=7,AG1346=TRUE),AB1346,"")</f>
        <v/>
      </c>
      <c r="AK1346" t="str">
        <f>IF(AJ1346="","",MAX($AF$1:$AF1346))</f>
        <v/>
      </c>
      <c r="AL1346" t="str">
        <f t="shared" ref="AL1346:AL1409" si="87">IF(AND(AC1346=5,AG1346=TRUE),AB1346,"")</f>
        <v/>
      </c>
      <c r="AM1346" t="str">
        <f>IF(AL1346="","",MAX($AF$1:$AF1346))</f>
        <v/>
      </c>
    </row>
    <row r="1347" spans="1:39" ht="13.5" customHeight="1" x14ac:dyDescent="0.3">
      <c r="A1347" s="8" t="s">
        <v>219</v>
      </c>
      <c r="B1347" s="9"/>
      <c r="C1347" s="10">
        <v>5</v>
      </c>
      <c r="D1347" s="11"/>
      <c r="AB1347" t="str" cm="1">
        <f t="array" ref="AB1347:AC1347">_xlfn._xlws.FILTER(A1347:Z1347,A1347:Z1347&lt;&gt;"","")</f>
        <v>GEOG</v>
      </c>
      <c r="AC1347">
        <v>5</v>
      </c>
      <c r="AD1347" t="str">
        <v/>
      </c>
      <c r="AE1347" t="str">
        <v/>
      </c>
      <c r="AF1347" t="str" cm="1">
        <f t="array" ref="AF1347">IF(AD1347="","",SUMPRODUCT(IF(LEFT($AD$1:AD1347,2)="JS",1,0)))</f>
        <v/>
      </c>
      <c r="AG1347" t="b">
        <f t="shared" si="84"/>
        <v>1</v>
      </c>
      <c r="AH1347" t="str">
        <f t="shared" si="85"/>
        <v/>
      </c>
      <c r="AI1347" t="str">
        <f>IF(AH1347="","",MAX($AF$1:$AF1347))</f>
        <v/>
      </c>
      <c r="AJ1347" t="str">
        <f t="shared" si="86"/>
        <v/>
      </c>
      <c r="AK1347" t="str">
        <f>IF(AJ1347="","",MAX($AF$1:$AF1347))</f>
        <v/>
      </c>
      <c r="AL1347" t="str">
        <f t="shared" si="87"/>
        <v>GEOG</v>
      </c>
      <c r="AM1347">
        <f>IF(AL1347="","",MAX($AF$1:$AF1347))</f>
        <v>26</v>
      </c>
    </row>
    <row r="1348" spans="1:39" ht="13.5" customHeight="1" x14ac:dyDescent="0.3">
      <c r="A1348" s="8" t="s">
        <v>220</v>
      </c>
      <c r="B1348" s="9"/>
      <c r="C1348" s="10">
        <v>5</v>
      </c>
      <c r="D1348" s="11"/>
      <c r="AB1348" t="str" cm="1">
        <f t="array" ref="AB1348:AC1348">_xlfn._xlws.FILTER(A1348:Z1348,A1348:Z1348&lt;&gt;"","")</f>
        <v>HMSC</v>
      </c>
      <c r="AC1348">
        <v>5</v>
      </c>
      <c r="AD1348" t="str">
        <v/>
      </c>
      <c r="AE1348" t="str">
        <v/>
      </c>
      <c r="AF1348" t="str" cm="1">
        <f t="array" ref="AF1348">IF(AD1348="","",SUMPRODUCT(IF(LEFT($AD$1:AD1348,2)="JS",1,0)))</f>
        <v/>
      </c>
      <c r="AG1348" t="b">
        <f t="shared" si="84"/>
        <v>1</v>
      </c>
      <c r="AH1348" t="str">
        <f t="shared" si="85"/>
        <v/>
      </c>
      <c r="AI1348" t="str">
        <f>IF(AH1348="","",MAX($AF$1:$AF1348))</f>
        <v/>
      </c>
      <c r="AJ1348" t="str">
        <f t="shared" si="86"/>
        <v/>
      </c>
      <c r="AK1348" t="str">
        <f>IF(AJ1348="","",MAX($AF$1:$AF1348))</f>
        <v/>
      </c>
      <c r="AL1348" t="str">
        <f t="shared" si="87"/>
        <v>HMSC</v>
      </c>
      <c r="AM1348">
        <f>IF(AL1348="","",MAX($AF$1:$AF1348))</f>
        <v>26</v>
      </c>
    </row>
    <row r="1349" spans="1:39" ht="13.5" customHeight="1" x14ac:dyDescent="0.3">
      <c r="A1349" s="8" t="s">
        <v>221</v>
      </c>
      <c r="B1349" s="9"/>
      <c r="C1349" s="10">
        <v>5</v>
      </c>
      <c r="D1349" s="11"/>
      <c r="AB1349" t="str" cm="1">
        <f t="array" ref="AB1349:AC1349">_xlfn._xlws.FILTER(A1349:Z1349,A1349:Z1349&lt;&gt;"","")</f>
        <v>HIST</v>
      </c>
      <c r="AC1349">
        <v>5</v>
      </c>
      <c r="AD1349" t="str">
        <v/>
      </c>
      <c r="AE1349" t="str">
        <v/>
      </c>
      <c r="AF1349" t="str" cm="1">
        <f t="array" ref="AF1349">IF(AD1349="","",SUMPRODUCT(IF(LEFT($AD$1:AD1349,2)="JS",1,0)))</f>
        <v/>
      </c>
      <c r="AG1349" t="b">
        <f t="shared" si="84"/>
        <v>1</v>
      </c>
      <c r="AH1349" t="str">
        <f t="shared" si="85"/>
        <v/>
      </c>
      <c r="AI1349" t="str">
        <f>IF(AH1349="","",MAX($AF$1:$AF1349))</f>
        <v/>
      </c>
      <c r="AJ1349" t="str">
        <f t="shared" si="86"/>
        <v/>
      </c>
      <c r="AK1349" t="str">
        <f>IF(AJ1349="","",MAX($AF$1:$AF1349))</f>
        <v/>
      </c>
      <c r="AL1349" t="str">
        <f t="shared" si="87"/>
        <v>HIST</v>
      </c>
      <c r="AM1349">
        <f>IF(AL1349="","",MAX($AF$1:$AF1349))</f>
        <v>26</v>
      </c>
    </row>
    <row r="1350" spans="1:39" ht="13.5" customHeight="1" x14ac:dyDescent="0.3">
      <c r="A1350" s="8" t="s">
        <v>222</v>
      </c>
      <c r="B1350" s="9"/>
      <c r="C1350" s="10">
        <v>5</v>
      </c>
      <c r="D1350" s="11"/>
      <c r="AB1350" t="str" cm="1">
        <f t="array" ref="AB1350:AC1350">_xlfn._xlws.FILTER(A1350:Z1350,A1350:Z1350&lt;&gt;"","")</f>
        <v>ICT</v>
      </c>
      <c r="AC1350">
        <v>5</v>
      </c>
      <c r="AD1350" t="str">
        <v/>
      </c>
      <c r="AE1350" t="str">
        <v/>
      </c>
      <c r="AF1350" t="str" cm="1">
        <f t="array" ref="AF1350">IF(AD1350="","",SUMPRODUCT(IF(LEFT($AD$1:AD1350,2)="JS",1,0)))</f>
        <v/>
      </c>
      <c r="AG1350" t="b">
        <f t="shared" si="84"/>
        <v>1</v>
      </c>
      <c r="AH1350" t="str">
        <f t="shared" si="85"/>
        <v/>
      </c>
      <c r="AI1350" t="str">
        <f>IF(AH1350="","",MAX($AF$1:$AF1350))</f>
        <v/>
      </c>
      <c r="AJ1350" t="str">
        <f t="shared" si="86"/>
        <v/>
      </c>
      <c r="AK1350" t="str">
        <f>IF(AJ1350="","",MAX($AF$1:$AF1350))</f>
        <v/>
      </c>
      <c r="AL1350" t="str">
        <f t="shared" si="87"/>
        <v>ICT</v>
      </c>
      <c r="AM1350">
        <f>IF(AL1350="","",MAX($AF$1:$AF1350))</f>
        <v>26</v>
      </c>
    </row>
    <row r="1351" spans="1:39" ht="13.5" customHeight="1" x14ac:dyDescent="0.3">
      <c r="A1351" s="8" t="s">
        <v>13</v>
      </c>
      <c r="B1351" s="9"/>
      <c r="C1351" s="10">
        <v>5</v>
      </c>
      <c r="D1351" s="11"/>
      <c r="AB1351" t="str" cm="1">
        <f t="array" ref="AB1351:AC1351">_xlfn._xlws.FILTER(A1351:Z1351,A1351:Z1351&lt;&gt;"","")</f>
        <v>Integrated Science</v>
      </c>
      <c r="AC1351">
        <v>5</v>
      </c>
      <c r="AD1351" t="str">
        <v/>
      </c>
      <c r="AE1351" t="str">
        <v/>
      </c>
      <c r="AF1351" t="str" cm="1">
        <f t="array" ref="AF1351">IF(AD1351="","",SUMPRODUCT(IF(LEFT($AD$1:AD1351,2)="JS",1,0)))</f>
        <v/>
      </c>
      <c r="AG1351" t="str">
        <f t="shared" si="84"/>
        <v/>
      </c>
      <c r="AH1351" t="str">
        <f t="shared" si="85"/>
        <v/>
      </c>
      <c r="AI1351" t="str">
        <f>IF(AH1351="","",MAX($AF$1:$AF1351))</f>
        <v/>
      </c>
      <c r="AJ1351" t="str">
        <f t="shared" si="86"/>
        <v/>
      </c>
      <c r="AK1351" t="str">
        <f>IF(AJ1351="","",MAX($AF$1:$AF1351))</f>
        <v/>
      </c>
      <c r="AL1351" t="str">
        <f t="shared" si="87"/>
        <v/>
      </c>
      <c r="AM1351" t="str">
        <f>IF(AL1351="","",MAX($AF$1:$AF1351))</f>
        <v/>
      </c>
    </row>
    <row r="1352" spans="1:39" ht="13.5" customHeight="1" x14ac:dyDescent="0.3">
      <c r="A1352" s="8" t="s">
        <v>223</v>
      </c>
      <c r="B1352" s="9"/>
      <c r="C1352" s="10">
        <v>7</v>
      </c>
      <c r="D1352" s="11"/>
      <c r="AB1352" t="str" cm="1">
        <f t="array" ref="AB1352:AC1352">_xlfn._xlws.FILTER(A1352:Z1352,A1352:Z1352&lt;&gt;"","")</f>
        <v>通</v>
      </c>
      <c r="AC1352">
        <v>7</v>
      </c>
      <c r="AD1352" t="str">
        <v/>
      </c>
      <c r="AE1352" t="str">
        <v/>
      </c>
      <c r="AF1352" t="str" cm="1">
        <f t="array" ref="AF1352">IF(AD1352="","",SUMPRODUCT(IF(LEFT($AD$1:AD1352,2)="JS",1,0)))</f>
        <v/>
      </c>
      <c r="AG1352" t="b">
        <f t="shared" si="84"/>
        <v>1</v>
      </c>
      <c r="AH1352" t="str">
        <f t="shared" si="85"/>
        <v/>
      </c>
      <c r="AI1352" t="str">
        <f>IF(AH1352="","",MAX($AF$1:$AF1352))</f>
        <v/>
      </c>
      <c r="AJ1352" t="str">
        <f t="shared" si="86"/>
        <v>通</v>
      </c>
      <c r="AK1352">
        <f>IF(AJ1352="","",MAX($AF$1:$AF1352))</f>
        <v>26</v>
      </c>
      <c r="AL1352" t="str">
        <f t="shared" si="87"/>
        <v/>
      </c>
      <c r="AM1352" t="str">
        <f>IF(AL1352="","",MAX($AF$1:$AF1352))</f>
        <v/>
      </c>
    </row>
    <row r="1353" spans="1:39" ht="13.5" customHeight="1" x14ac:dyDescent="0.3">
      <c r="A1353" s="8" t="s">
        <v>14</v>
      </c>
      <c r="B1353" s="9"/>
      <c r="C1353" s="10">
        <v>5</v>
      </c>
      <c r="D1353" s="11"/>
      <c r="AB1353" t="str" cm="1">
        <f t="array" ref="AB1353:AC1353">_xlfn._xlws.FILTER(A1353:Z1353,A1353:Z1353&lt;&gt;"","")</f>
        <v>Literature in English</v>
      </c>
      <c r="AC1353">
        <v>5</v>
      </c>
      <c r="AD1353" t="str">
        <v/>
      </c>
      <c r="AE1353" t="str">
        <v/>
      </c>
      <c r="AF1353" t="str" cm="1">
        <f t="array" ref="AF1353">IF(AD1353="","",SUMPRODUCT(IF(LEFT($AD$1:AD1353,2)="JS",1,0)))</f>
        <v/>
      </c>
      <c r="AG1353" t="str">
        <f t="shared" si="84"/>
        <v/>
      </c>
      <c r="AH1353" t="str">
        <f t="shared" si="85"/>
        <v/>
      </c>
      <c r="AI1353" t="str">
        <f>IF(AH1353="","",MAX($AF$1:$AF1353))</f>
        <v/>
      </c>
      <c r="AJ1353" t="str">
        <f t="shared" si="86"/>
        <v/>
      </c>
      <c r="AK1353" t="str">
        <f>IF(AJ1353="","",MAX($AF$1:$AF1353))</f>
        <v/>
      </c>
      <c r="AL1353" t="str">
        <f t="shared" si="87"/>
        <v/>
      </c>
      <c r="AM1353" t="str">
        <f>IF(AL1353="","",MAX($AF$1:$AF1353))</f>
        <v/>
      </c>
    </row>
    <row r="1354" spans="1:39" ht="13.5" customHeight="1" x14ac:dyDescent="0.3">
      <c r="A1354" s="8" t="s">
        <v>224</v>
      </c>
      <c r="B1354" s="9"/>
      <c r="C1354" s="10">
        <v>10</v>
      </c>
      <c r="D1354" s="11"/>
      <c r="AB1354" t="str" cm="1">
        <f t="array" ref="AB1354:AC1354">_xlfn._xlws.FILTER(A1354:Z1354,A1354:Z1354&lt;&gt;"","")</f>
        <v>MATH</v>
      </c>
      <c r="AC1354">
        <v>10</v>
      </c>
      <c r="AD1354" t="str">
        <v/>
      </c>
      <c r="AE1354" t="str">
        <v/>
      </c>
      <c r="AF1354" t="str" cm="1">
        <f t="array" ref="AF1354">IF(AD1354="","",SUMPRODUCT(IF(LEFT($AD$1:AD1354,2)="JS",1,0)))</f>
        <v/>
      </c>
      <c r="AG1354" t="b">
        <f t="shared" si="84"/>
        <v>1</v>
      </c>
      <c r="AH1354" t="str">
        <f t="shared" si="85"/>
        <v>MATH</v>
      </c>
      <c r="AI1354">
        <f>IF(AH1354="","",MAX($AF$1:$AF1354))</f>
        <v>26</v>
      </c>
      <c r="AJ1354" t="str">
        <f t="shared" si="86"/>
        <v/>
      </c>
      <c r="AK1354" t="str">
        <f>IF(AJ1354="","",MAX($AF$1:$AF1354))</f>
        <v/>
      </c>
      <c r="AL1354" t="str">
        <f t="shared" si="87"/>
        <v/>
      </c>
      <c r="AM1354" t="str">
        <f>IF(AL1354="","",MAX($AF$1:$AF1354))</f>
        <v/>
      </c>
    </row>
    <row r="1355" spans="1:39" ht="13.5" customHeight="1" x14ac:dyDescent="0.3">
      <c r="A1355" s="8" t="s">
        <v>225</v>
      </c>
      <c r="B1355" s="9"/>
      <c r="C1355" s="10">
        <v>7</v>
      </c>
      <c r="D1355" s="11"/>
      <c r="AB1355" t="str" cm="1">
        <f t="array" ref="AB1355:AC1355">_xlfn._xlws.FILTER(A1355:Z1355,A1355:Z1355&lt;&gt;"","")</f>
        <v>M2</v>
      </c>
      <c r="AC1355">
        <v>7</v>
      </c>
      <c r="AD1355" t="str">
        <v/>
      </c>
      <c r="AE1355" t="str">
        <v/>
      </c>
      <c r="AF1355" t="str" cm="1">
        <f t="array" ref="AF1355">IF(AD1355="","",SUMPRODUCT(IF(LEFT($AD$1:AD1355,2)="JS",1,0)))</f>
        <v/>
      </c>
      <c r="AG1355" t="b">
        <f t="shared" si="84"/>
        <v>1</v>
      </c>
      <c r="AH1355" t="str">
        <f t="shared" si="85"/>
        <v/>
      </c>
      <c r="AI1355" t="str">
        <f>IF(AH1355="","",MAX($AF$1:$AF1355))</f>
        <v/>
      </c>
      <c r="AJ1355" t="str">
        <f t="shared" si="86"/>
        <v>M2</v>
      </c>
      <c r="AK1355">
        <f>IF(AJ1355="","",MAX($AF$1:$AF1355))</f>
        <v>26</v>
      </c>
      <c r="AL1355" t="str">
        <f t="shared" si="87"/>
        <v/>
      </c>
      <c r="AM1355" t="str">
        <f>IF(AL1355="","",MAX($AF$1:$AF1355))</f>
        <v/>
      </c>
    </row>
    <row r="1356" spans="1:39" ht="13.5" customHeight="1" x14ac:dyDescent="0.3">
      <c r="A1356" s="8" t="s">
        <v>15</v>
      </c>
      <c r="B1356" s="9"/>
      <c r="C1356" s="10">
        <v>7</v>
      </c>
      <c r="D1356" s="11"/>
      <c r="AB1356" t="str" cm="1">
        <f t="array" ref="AB1356:AC1356">_xlfn._xlws.FILTER(A1356:Z1356,A1356:Z1356&lt;&gt;"","")</f>
        <v>Mathematics (Extended part - Calculus and Statistics)</v>
      </c>
      <c r="AC1356">
        <v>7</v>
      </c>
      <c r="AD1356" t="str">
        <v/>
      </c>
      <c r="AE1356" t="str">
        <v/>
      </c>
      <c r="AF1356" t="str" cm="1">
        <f t="array" ref="AF1356">IF(AD1356="","",SUMPRODUCT(IF(LEFT($AD$1:AD1356,2)="JS",1,0)))</f>
        <v/>
      </c>
      <c r="AG1356" t="str">
        <f t="shared" si="84"/>
        <v/>
      </c>
      <c r="AH1356" t="str">
        <f t="shared" si="85"/>
        <v/>
      </c>
      <c r="AI1356" t="str">
        <f>IF(AH1356="","",MAX($AF$1:$AF1356))</f>
        <v/>
      </c>
      <c r="AJ1356" t="str">
        <f t="shared" si="86"/>
        <v/>
      </c>
      <c r="AK1356" t="str">
        <f>IF(AJ1356="","",MAX($AF$1:$AF1356))</f>
        <v/>
      </c>
      <c r="AL1356" t="str">
        <f t="shared" si="87"/>
        <v/>
      </c>
      <c r="AM1356" t="str">
        <f>IF(AL1356="","",MAX($AF$1:$AF1356))</f>
        <v/>
      </c>
    </row>
    <row r="1357" spans="1:39" ht="13.5" customHeight="1" x14ac:dyDescent="0.3">
      <c r="A1357" s="8" t="s">
        <v>16</v>
      </c>
      <c r="B1357" s="9"/>
      <c r="C1357" s="10">
        <v>5</v>
      </c>
      <c r="D1357" s="11"/>
      <c r="AB1357" t="str" cm="1">
        <f t="array" ref="AB1357:AC1357">_xlfn._xlws.FILTER(A1357:Z1357,A1357:Z1357&lt;&gt;"","")</f>
        <v>Music</v>
      </c>
      <c r="AC1357">
        <v>5</v>
      </c>
      <c r="AD1357" t="str">
        <v/>
      </c>
      <c r="AE1357" t="str">
        <v/>
      </c>
      <c r="AF1357" t="str" cm="1">
        <f t="array" ref="AF1357">IF(AD1357="","",SUMPRODUCT(IF(LEFT($AD$1:AD1357,2)="JS",1,0)))</f>
        <v/>
      </c>
      <c r="AG1357" t="str">
        <f t="shared" si="84"/>
        <v/>
      </c>
      <c r="AH1357" t="str">
        <f t="shared" si="85"/>
        <v/>
      </c>
      <c r="AI1357" t="str">
        <f>IF(AH1357="","",MAX($AF$1:$AF1357))</f>
        <v/>
      </c>
      <c r="AJ1357" t="str">
        <f t="shared" si="86"/>
        <v/>
      </c>
      <c r="AK1357" t="str">
        <f>IF(AJ1357="","",MAX($AF$1:$AF1357))</f>
        <v/>
      </c>
      <c r="AL1357" t="str">
        <f t="shared" si="87"/>
        <v/>
      </c>
      <c r="AM1357" t="str">
        <f>IF(AL1357="","",MAX($AF$1:$AF1357))</f>
        <v/>
      </c>
    </row>
    <row r="1358" spans="1:39" ht="13.5" customHeight="1" x14ac:dyDescent="0.3">
      <c r="A1358" s="8" t="s">
        <v>17</v>
      </c>
      <c r="B1358" s="9"/>
      <c r="C1358" s="10">
        <v>5</v>
      </c>
      <c r="D1358" s="11"/>
      <c r="AB1358" t="str" cm="1">
        <f t="array" ref="AB1358:AC1358">_xlfn._xlws.FILTER(A1358:Z1358,A1358:Z1358&lt;&gt;"","")</f>
        <v>Physical Education</v>
      </c>
      <c r="AC1358">
        <v>5</v>
      </c>
      <c r="AD1358" t="str">
        <v/>
      </c>
      <c r="AE1358" t="str">
        <v/>
      </c>
      <c r="AF1358" t="str" cm="1">
        <f t="array" ref="AF1358">IF(AD1358="","",SUMPRODUCT(IF(LEFT($AD$1:AD1358,2)="JS",1,0)))</f>
        <v/>
      </c>
      <c r="AG1358" t="str">
        <f t="shared" si="84"/>
        <v/>
      </c>
      <c r="AH1358" t="str">
        <f t="shared" si="85"/>
        <v/>
      </c>
      <c r="AI1358" t="str">
        <f>IF(AH1358="","",MAX($AF$1:$AF1358))</f>
        <v/>
      </c>
      <c r="AJ1358" t="str">
        <f t="shared" si="86"/>
        <v/>
      </c>
      <c r="AK1358" t="str">
        <f>IF(AJ1358="","",MAX($AF$1:$AF1358))</f>
        <v/>
      </c>
      <c r="AL1358" t="str">
        <f t="shared" si="87"/>
        <v/>
      </c>
      <c r="AM1358" t="str">
        <f>IF(AL1358="","",MAX($AF$1:$AF1358))</f>
        <v/>
      </c>
    </row>
    <row r="1359" spans="1:39" ht="13.5" customHeight="1" x14ac:dyDescent="0.3">
      <c r="A1359" s="8" t="s">
        <v>226</v>
      </c>
      <c r="B1359" s="9"/>
      <c r="C1359" s="10">
        <v>10</v>
      </c>
      <c r="D1359" s="11"/>
      <c r="AB1359" t="str" cm="1">
        <f t="array" ref="AB1359:AC1359">_xlfn._xlws.FILTER(A1359:Z1359,A1359:Z1359&lt;&gt;"","")</f>
        <v>PHY</v>
      </c>
      <c r="AC1359">
        <v>10</v>
      </c>
      <c r="AD1359" t="str">
        <v/>
      </c>
      <c r="AE1359" t="str">
        <v/>
      </c>
      <c r="AF1359" t="str" cm="1">
        <f t="array" ref="AF1359">IF(AD1359="","",SUMPRODUCT(IF(LEFT($AD$1:AD1359,2)="JS",1,0)))</f>
        <v/>
      </c>
      <c r="AG1359" t="b">
        <f t="shared" si="84"/>
        <v>1</v>
      </c>
      <c r="AH1359" t="str">
        <f t="shared" si="85"/>
        <v>PHY</v>
      </c>
      <c r="AI1359">
        <f>IF(AH1359="","",MAX($AF$1:$AF1359))</f>
        <v>26</v>
      </c>
      <c r="AJ1359" t="str">
        <f t="shared" si="86"/>
        <v/>
      </c>
      <c r="AK1359" t="str">
        <f>IF(AJ1359="","",MAX($AF$1:$AF1359))</f>
        <v/>
      </c>
      <c r="AL1359" t="str">
        <f t="shared" si="87"/>
        <v/>
      </c>
      <c r="AM1359" t="str">
        <f>IF(AL1359="","",MAX($AF$1:$AF1359))</f>
        <v/>
      </c>
    </row>
    <row r="1360" spans="1:39" ht="13.5" customHeight="1" x14ac:dyDescent="0.3">
      <c r="A1360" s="8" t="s">
        <v>18</v>
      </c>
      <c r="B1360" s="9"/>
      <c r="C1360" s="10">
        <v>5</v>
      </c>
      <c r="D1360" s="11"/>
      <c r="AB1360" t="str" cm="1">
        <f t="array" ref="AB1360:AC1360">_xlfn._xlws.FILTER(A1360:Z1360,A1360:Z1360&lt;&gt;"","")</f>
        <v>Technology and Living (Fashion, Clothing and Textiles)</v>
      </c>
      <c r="AC1360">
        <v>5</v>
      </c>
      <c r="AD1360" t="str">
        <v/>
      </c>
      <c r="AE1360" t="str">
        <v/>
      </c>
      <c r="AF1360" t="str" cm="1">
        <f t="array" ref="AF1360">IF(AD1360="","",SUMPRODUCT(IF(LEFT($AD$1:AD1360,2)="JS",1,0)))</f>
        <v/>
      </c>
      <c r="AG1360" t="str">
        <f t="shared" si="84"/>
        <v/>
      </c>
      <c r="AH1360" t="str">
        <f t="shared" si="85"/>
        <v/>
      </c>
      <c r="AI1360" t="str">
        <f>IF(AH1360="","",MAX($AF$1:$AF1360))</f>
        <v/>
      </c>
      <c r="AJ1360" t="str">
        <f t="shared" si="86"/>
        <v/>
      </c>
      <c r="AK1360" t="str">
        <f>IF(AJ1360="","",MAX($AF$1:$AF1360))</f>
        <v/>
      </c>
      <c r="AL1360" t="str">
        <f t="shared" si="87"/>
        <v/>
      </c>
      <c r="AM1360" t="str">
        <f>IF(AL1360="","",MAX($AF$1:$AF1360))</f>
        <v/>
      </c>
    </row>
    <row r="1361" spans="1:39" ht="13.5" customHeight="1" x14ac:dyDescent="0.3">
      <c r="A1361" s="8" t="s">
        <v>19</v>
      </c>
      <c r="B1361" s="9"/>
      <c r="C1361" s="10">
        <v>5</v>
      </c>
      <c r="D1361" s="11"/>
      <c r="AB1361" t="str" cm="1">
        <f t="array" ref="AB1361:AC1361">_xlfn._xlws.FILTER(A1361:Z1361,A1361:Z1361&lt;&gt;"","")</f>
        <v>Technology and Living (Food Science and Technology)</v>
      </c>
      <c r="AC1361">
        <v>5</v>
      </c>
      <c r="AD1361" t="str">
        <v/>
      </c>
      <c r="AE1361" t="str">
        <v/>
      </c>
      <c r="AF1361" t="str" cm="1">
        <f t="array" ref="AF1361">IF(AD1361="","",SUMPRODUCT(IF(LEFT($AD$1:AD1361,2)="JS",1,0)))</f>
        <v/>
      </c>
      <c r="AG1361" t="str">
        <f t="shared" si="84"/>
        <v/>
      </c>
      <c r="AH1361" t="str">
        <f t="shared" si="85"/>
        <v/>
      </c>
      <c r="AI1361" t="str">
        <f>IF(AH1361="","",MAX($AF$1:$AF1361))</f>
        <v/>
      </c>
      <c r="AJ1361" t="str">
        <f t="shared" si="86"/>
        <v/>
      </c>
      <c r="AK1361" t="str">
        <f>IF(AJ1361="","",MAX($AF$1:$AF1361))</f>
        <v/>
      </c>
      <c r="AL1361" t="str">
        <f t="shared" si="87"/>
        <v/>
      </c>
      <c r="AM1361" t="str">
        <f>IF(AL1361="","",MAX($AF$1:$AF1361))</f>
        <v/>
      </c>
    </row>
    <row r="1362" spans="1:39" ht="13.5" customHeight="1" x14ac:dyDescent="0.3">
      <c r="A1362" s="8" t="s">
        <v>20</v>
      </c>
      <c r="B1362" s="9"/>
      <c r="C1362" s="10">
        <v>5</v>
      </c>
      <c r="D1362" s="11"/>
      <c r="AB1362" t="str" cm="1">
        <f t="array" ref="AB1362:AC1362">_xlfn._xlws.FILTER(A1362:Z1362,A1362:Z1362&lt;&gt;"","")</f>
        <v>Tourism and Hospitality Studies</v>
      </c>
      <c r="AC1362">
        <v>5</v>
      </c>
      <c r="AD1362" t="str">
        <v/>
      </c>
      <c r="AE1362" t="str">
        <v/>
      </c>
      <c r="AF1362" t="str" cm="1">
        <f t="array" ref="AF1362">IF(AD1362="","",SUMPRODUCT(IF(LEFT($AD$1:AD1362,2)="JS",1,0)))</f>
        <v/>
      </c>
      <c r="AG1362" t="str">
        <f t="shared" si="84"/>
        <v/>
      </c>
      <c r="AH1362" t="str">
        <f t="shared" si="85"/>
        <v/>
      </c>
      <c r="AI1362" t="str">
        <f>IF(AH1362="","",MAX($AF$1:$AF1362))</f>
        <v/>
      </c>
      <c r="AJ1362" t="str">
        <f t="shared" si="86"/>
        <v/>
      </c>
      <c r="AK1362" t="str">
        <f>IF(AJ1362="","",MAX($AF$1:$AF1362))</f>
        <v/>
      </c>
      <c r="AL1362" t="str">
        <f t="shared" si="87"/>
        <v/>
      </c>
      <c r="AM1362" t="str">
        <f>IF(AL1362="","",MAX($AF$1:$AF1362))</f>
        <v/>
      </c>
    </row>
    <row r="1363" spans="1:39" ht="13.5" customHeight="1" x14ac:dyDescent="0.3">
      <c r="A1363" s="8" t="s">
        <v>210</v>
      </c>
      <c r="B1363" s="9"/>
      <c r="C1363" s="10">
        <v>5</v>
      </c>
      <c r="D1363" s="11"/>
      <c r="AB1363" t="str" cm="1">
        <f t="array" ref="AB1363:AC1363">_xlfn._xlws.FILTER(A1363:Z1363,A1363:Z1363&lt;&gt;"","")</f>
        <v>VA</v>
      </c>
      <c r="AC1363">
        <v>5</v>
      </c>
      <c r="AD1363" t="str">
        <v/>
      </c>
      <c r="AE1363" t="str">
        <v/>
      </c>
      <c r="AF1363" t="str" cm="1">
        <f t="array" ref="AF1363">IF(AD1363="","",SUMPRODUCT(IF(LEFT($AD$1:AD1363,2)="JS",1,0)))</f>
        <v/>
      </c>
      <c r="AG1363" t="b">
        <f t="shared" si="84"/>
        <v>1</v>
      </c>
      <c r="AH1363" t="str">
        <f t="shared" si="85"/>
        <v/>
      </c>
      <c r="AI1363" t="str">
        <f>IF(AH1363="","",MAX($AF$1:$AF1363))</f>
        <v/>
      </c>
      <c r="AJ1363" t="str">
        <f t="shared" si="86"/>
        <v/>
      </c>
      <c r="AK1363" t="str">
        <f>IF(AJ1363="","",MAX($AF$1:$AF1363))</f>
        <v/>
      </c>
      <c r="AL1363" t="str">
        <f t="shared" si="87"/>
        <v>VA</v>
      </c>
      <c r="AM1363">
        <f>IF(AL1363="","",MAX($AF$1:$AF1363))</f>
        <v>26</v>
      </c>
    </row>
    <row r="1364" spans="1:39" ht="14.5" customHeight="1" x14ac:dyDescent="0.3">
      <c r="A1364" s="12"/>
      <c r="B1364" s="12"/>
      <c r="C1364" s="2"/>
      <c r="D1364" s="2"/>
      <c r="AB1364" t="str" cm="1">
        <f t="array" ref="AB1364">_xlfn._xlws.FILTER(A1364:Z1364,A1364:Z1364&lt;&gt;"","")</f>
        <v/>
      </c>
      <c r="AD1364" t="str">
        <v/>
      </c>
      <c r="AE1364" t="str">
        <v/>
      </c>
      <c r="AF1364" t="str" cm="1">
        <f t="array" ref="AF1364">IF(AD1364="","",SUMPRODUCT(IF(LEFT($AD$1:AD1364,2)="JS",1,0)))</f>
        <v/>
      </c>
      <c r="AG1364" t="str">
        <f t="shared" si="84"/>
        <v/>
      </c>
      <c r="AH1364" t="str">
        <f t="shared" si="85"/>
        <v/>
      </c>
      <c r="AI1364" t="str">
        <f>IF(AH1364="","",MAX($AF$1:$AF1364))</f>
        <v/>
      </c>
      <c r="AJ1364" t="str">
        <f t="shared" si="86"/>
        <v/>
      </c>
      <c r="AK1364" t="str">
        <f>IF(AJ1364="","",MAX($AF$1:$AF1364))</f>
        <v/>
      </c>
      <c r="AL1364" t="str">
        <f t="shared" si="87"/>
        <v/>
      </c>
      <c r="AM1364" t="str">
        <f>IF(AL1364="","",MAX($AF$1:$AF1364))</f>
        <v/>
      </c>
    </row>
    <row r="1365" spans="1:39" ht="13.5" customHeight="1" x14ac:dyDescent="0.3">
      <c r="A1365" s="13" t="s">
        <v>34</v>
      </c>
      <c r="B1365" s="13"/>
      <c r="C1365" s="13"/>
      <c r="D1365" s="13"/>
      <c r="AB1365" t="str" cm="1">
        <f t="array" ref="AB1365">_xlfn._xlws.FILTER(A1365:Z1365,A1365:Z1365&lt;&gt;"","")</f>
        <v>Category C: Other Language Subjects</v>
      </c>
      <c r="AD1365" t="str">
        <v/>
      </c>
      <c r="AE1365" t="str">
        <v/>
      </c>
      <c r="AF1365" t="str" cm="1">
        <f t="array" ref="AF1365">IF(AD1365="","",SUMPRODUCT(IF(LEFT($AD$1:AD1365,2)="JS",1,0)))</f>
        <v/>
      </c>
      <c r="AG1365" t="str">
        <f t="shared" si="84"/>
        <v/>
      </c>
      <c r="AH1365" t="str">
        <f t="shared" si="85"/>
        <v/>
      </c>
      <c r="AI1365" t="str">
        <f>IF(AH1365="","",MAX($AF$1:$AF1365))</f>
        <v/>
      </c>
      <c r="AJ1365" t="str">
        <f t="shared" si="86"/>
        <v/>
      </c>
      <c r="AK1365" t="str">
        <f>IF(AJ1365="","",MAX($AF$1:$AF1365))</f>
        <v/>
      </c>
      <c r="AL1365" t="str">
        <f t="shared" si="87"/>
        <v/>
      </c>
      <c r="AM1365" t="str">
        <f>IF(AL1365="","",MAX($AF$1:$AF1365))</f>
        <v/>
      </c>
    </row>
    <row r="1366" spans="1:39" ht="13.5" customHeight="1" x14ac:dyDescent="0.3">
      <c r="A1366" s="14" t="s">
        <v>3</v>
      </c>
      <c r="B1366" s="15"/>
      <c r="C1366" s="16" t="s">
        <v>4</v>
      </c>
      <c r="D1366" s="17"/>
      <c r="AB1366" t="str" cm="1">
        <f t="array" ref="AB1366:AC1366">_xlfn._xlws.FILTER(A1366:Z1366,A1366:Z1366&lt;&gt;"","")</f>
        <v>Subject Name</v>
      </c>
      <c r="AC1366" t="str">
        <v>Subject Weighting for 2023/24 Admission Exercise *</v>
      </c>
      <c r="AD1366" t="str">
        <v/>
      </c>
      <c r="AE1366" t="str">
        <v/>
      </c>
      <c r="AF1366" t="str" cm="1">
        <f t="array" ref="AF1366">IF(AD1366="","",SUMPRODUCT(IF(LEFT($AD$1:AD1366,2)="JS",1,0)))</f>
        <v/>
      </c>
      <c r="AG1366" t="str">
        <f t="shared" si="84"/>
        <v/>
      </c>
      <c r="AH1366" t="str">
        <f t="shared" si="85"/>
        <v/>
      </c>
      <c r="AI1366" t="str">
        <f>IF(AH1366="","",MAX($AF$1:$AF1366))</f>
        <v/>
      </c>
      <c r="AJ1366" t="str">
        <f t="shared" si="86"/>
        <v/>
      </c>
      <c r="AK1366" t="str">
        <f>IF(AJ1366="","",MAX($AF$1:$AF1366))</f>
        <v/>
      </c>
      <c r="AL1366" t="str">
        <f t="shared" si="87"/>
        <v/>
      </c>
      <c r="AM1366" t="str">
        <f>IF(AL1366="","",MAX($AF$1:$AF1366))</f>
        <v/>
      </c>
    </row>
    <row r="1367" spans="1:39" ht="13.5" customHeight="1" x14ac:dyDescent="0.3">
      <c r="A1367" s="8" t="s">
        <v>35</v>
      </c>
      <c r="B1367" s="9"/>
      <c r="C1367" s="10">
        <v>5</v>
      </c>
      <c r="D1367" s="11"/>
      <c r="AB1367" t="str" cm="1">
        <f t="array" ref="AB1367:AC1367">_xlfn._xlws.FILTER(A1367:Z1367,A1367:Z1367&lt;&gt;"","")</f>
        <v>French</v>
      </c>
      <c r="AC1367">
        <v>5</v>
      </c>
      <c r="AD1367" t="str">
        <v/>
      </c>
      <c r="AE1367" t="str">
        <v/>
      </c>
      <c r="AF1367" t="str" cm="1">
        <f t="array" ref="AF1367">IF(AD1367="","",SUMPRODUCT(IF(LEFT($AD$1:AD1367,2)="JS",1,0)))</f>
        <v/>
      </c>
      <c r="AG1367" t="str">
        <f t="shared" si="84"/>
        <v/>
      </c>
      <c r="AH1367" t="str">
        <f t="shared" si="85"/>
        <v/>
      </c>
      <c r="AI1367" t="str">
        <f>IF(AH1367="","",MAX($AF$1:$AF1367))</f>
        <v/>
      </c>
      <c r="AJ1367" t="str">
        <f t="shared" si="86"/>
        <v/>
      </c>
      <c r="AK1367" t="str">
        <f>IF(AJ1367="","",MAX($AF$1:$AF1367))</f>
        <v/>
      </c>
      <c r="AL1367" t="str">
        <f t="shared" si="87"/>
        <v/>
      </c>
      <c r="AM1367" t="str">
        <f>IF(AL1367="","",MAX($AF$1:$AF1367))</f>
        <v/>
      </c>
    </row>
    <row r="1368" spans="1:39" ht="13.5" customHeight="1" x14ac:dyDescent="0.3">
      <c r="A1368" s="8" t="s">
        <v>36</v>
      </c>
      <c r="B1368" s="9"/>
      <c r="C1368" s="10">
        <v>5</v>
      </c>
      <c r="D1368" s="11"/>
      <c r="AB1368" t="str" cm="1">
        <f t="array" ref="AB1368:AC1368">_xlfn._xlws.FILTER(A1368:Z1368,A1368:Z1368&lt;&gt;"","")</f>
        <v>German</v>
      </c>
      <c r="AC1368">
        <v>5</v>
      </c>
      <c r="AD1368" t="str">
        <v/>
      </c>
      <c r="AE1368" t="str">
        <v/>
      </c>
      <c r="AF1368" t="str" cm="1">
        <f t="array" ref="AF1368">IF(AD1368="","",SUMPRODUCT(IF(LEFT($AD$1:AD1368,2)="JS",1,0)))</f>
        <v/>
      </c>
      <c r="AG1368" t="str">
        <f t="shared" si="84"/>
        <v/>
      </c>
      <c r="AH1368" t="str">
        <f t="shared" si="85"/>
        <v/>
      </c>
      <c r="AI1368" t="str">
        <f>IF(AH1368="","",MAX($AF$1:$AF1368))</f>
        <v/>
      </c>
      <c r="AJ1368" t="str">
        <f t="shared" si="86"/>
        <v/>
      </c>
      <c r="AK1368" t="str">
        <f>IF(AJ1368="","",MAX($AF$1:$AF1368))</f>
        <v/>
      </c>
      <c r="AL1368" t="str">
        <f t="shared" si="87"/>
        <v/>
      </c>
      <c r="AM1368" t="str">
        <f>IF(AL1368="","",MAX($AF$1:$AF1368))</f>
        <v/>
      </c>
    </row>
    <row r="1369" spans="1:39" ht="13.5" customHeight="1" x14ac:dyDescent="0.3">
      <c r="A1369" s="8" t="s">
        <v>37</v>
      </c>
      <c r="B1369" s="9"/>
      <c r="C1369" s="10">
        <v>5</v>
      </c>
      <c r="D1369" s="11"/>
      <c r="AB1369" t="str" cm="1">
        <f t="array" ref="AB1369:AC1369">_xlfn._xlws.FILTER(A1369:Z1369,A1369:Z1369&lt;&gt;"","")</f>
        <v>Hindi</v>
      </c>
      <c r="AC1369">
        <v>5</v>
      </c>
      <c r="AD1369" t="str">
        <v/>
      </c>
      <c r="AE1369" t="str">
        <v/>
      </c>
      <c r="AF1369" t="str" cm="1">
        <f t="array" ref="AF1369">IF(AD1369="","",SUMPRODUCT(IF(LEFT($AD$1:AD1369,2)="JS",1,0)))</f>
        <v/>
      </c>
      <c r="AG1369" t="str">
        <f t="shared" si="84"/>
        <v/>
      </c>
      <c r="AH1369" t="str">
        <f t="shared" si="85"/>
        <v/>
      </c>
      <c r="AI1369" t="str">
        <f>IF(AH1369="","",MAX($AF$1:$AF1369))</f>
        <v/>
      </c>
      <c r="AJ1369" t="str">
        <f t="shared" si="86"/>
        <v/>
      </c>
      <c r="AK1369" t="str">
        <f>IF(AJ1369="","",MAX($AF$1:$AF1369))</f>
        <v/>
      </c>
      <c r="AL1369" t="str">
        <f t="shared" si="87"/>
        <v/>
      </c>
      <c r="AM1369" t="str">
        <f>IF(AL1369="","",MAX($AF$1:$AF1369))</f>
        <v/>
      </c>
    </row>
    <row r="1370" spans="1:39" ht="13.5" customHeight="1" x14ac:dyDescent="0.3">
      <c r="A1370" s="8" t="s">
        <v>38</v>
      </c>
      <c r="B1370" s="9"/>
      <c r="C1370" s="10">
        <v>5</v>
      </c>
      <c r="D1370" s="11"/>
      <c r="AB1370" t="str" cm="1">
        <f t="array" ref="AB1370:AC1370">_xlfn._xlws.FILTER(A1370:Z1370,A1370:Z1370&lt;&gt;"","")</f>
        <v>Japanese</v>
      </c>
      <c r="AC1370">
        <v>5</v>
      </c>
      <c r="AD1370" t="str">
        <v/>
      </c>
      <c r="AE1370" t="str">
        <v/>
      </c>
      <c r="AF1370" t="str" cm="1">
        <f t="array" ref="AF1370">IF(AD1370="","",SUMPRODUCT(IF(LEFT($AD$1:AD1370,2)="JS",1,0)))</f>
        <v/>
      </c>
      <c r="AG1370" t="str">
        <f t="shared" si="84"/>
        <v/>
      </c>
      <c r="AH1370" t="str">
        <f t="shared" si="85"/>
        <v/>
      </c>
      <c r="AI1370" t="str">
        <f>IF(AH1370="","",MAX($AF$1:$AF1370))</f>
        <v/>
      </c>
      <c r="AJ1370" t="str">
        <f t="shared" si="86"/>
        <v/>
      </c>
      <c r="AK1370" t="str">
        <f>IF(AJ1370="","",MAX($AF$1:$AF1370))</f>
        <v/>
      </c>
      <c r="AL1370" t="str">
        <f t="shared" si="87"/>
        <v/>
      </c>
      <c r="AM1370" t="str">
        <f>IF(AL1370="","",MAX($AF$1:$AF1370))</f>
        <v/>
      </c>
    </row>
    <row r="1371" spans="1:39" ht="13.5" customHeight="1" x14ac:dyDescent="0.3">
      <c r="A1371" s="8" t="s">
        <v>39</v>
      </c>
      <c r="B1371" s="9"/>
      <c r="C1371" s="10">
        <v>5</v>
      </c>
      <c r="D1371" s="11"/>
      <c r="AB1371" t="str" cm="1">
        <f t="array" ref="AB1371:AC1371">_xlfn._xlws.FILTER(A1371:Z1371,A1371:Z1371&lt;&gt;"","")</f>
        <v>Spanish</v>
      </c>
      <c r="AC1371">
        <v>5</v>
      </c>
      <c r="AD1371" t="str">
        <v/>
      </c>
      <c r="AE1371" t="str">
        <v/>
      </c>
      <c r="AF1371" t="str" cm="1">
        <f t="array" ref="AF1371">IF(AD1371="","",SUMPRODUCT(IF(LEFT($AD$1:AD1371,2)="JS",1,0)))</f>
        <v/>
      </c>
      <c r="AG1371" t="str">
        <f t="shared" si="84"/>
        <v/>
      </c>
      <c r="AH1371" t="str">
        <f t="shared" si="85"/>
        <v/>
      </c>
      <c r="AI1371" t="str">
        <f>IF(AH1371="","",MAX($AF$1:$AF1371))</f>
        <v/>
      </c>
      <c r="AJ1371" t="str">
        <f t="shared" si="86"/>
        <v/>
      </c>
      <c r="AK1371" t="str">
        <f>IF(AJ1371="","",MAX($AF$1:$AF1371))</f>
        <v/>
      </c>
      <c r="AL1371" t="str">
        <f t="shared" si="87"/>
        <v/>
      </c>
      <c r="AM1371" t="str">
        <f>IF(AL1371="","",MAX($AF$1:$AF1371))</f>
        <v/>
      </c>
    </row>
    <row r="1372" spans="1:39" ht="13.5" customHeight="1" x14ac:dyDescent="0.3">
      <c r="A1372" s="8" t="s">
        <v>40</v>
      </c>
      <c r="B1372" s="9"/>
      <c r="C1372" s="10">
        <v>5</v>
      </c>
      <c r="D1372" s="11"/>
      <c r="AB1372" t="str" cm="1">
        <f t="array" ref="AB1372:AC1372">_xlfn._xlws.FILTER(A1372:Z1372,A1372:Z1372&lt;&gt;"","")</f>
        <v>Urdu</v>
      </c>
      <c r="AC1372">
        <v>5</v>
      </c>
      <c r="AD1372" t="str">
        <v/>
      </c>
      <c r="AE1372" t="str">
        <v/>
      </c>
      <c r="AF1372" t="str" cm="1">
        <f t="array" ref="AF1372">IF(AD1372="","",SUMPRODUCT(IF(LEFT($AD$1:AD1372,2)="JS",1,0)))</f>
        <v/>
      </c>
      <c r="AG1372" t="str">
        <f t="shared" si="84"/>
        <v/>
      </c>
      <c r="AH1372" t="str">
        <f t="shared" si="85"/>
        <v/>
      </c>
      <c r="AI1372" t="str">
        <f>IF(AH1372="","",MAX($AF$1:$AF1372))</f>
        <v/>
      </c>
      <c r="AJ1372" t="str">
        <f t="shared" si="86"/>
        <v/>
      </c>
      <c r="AK1372" t="str">
        <f>IF(AJ1372="","",MAX($AF$1:$AF1372))</f>
        <v/>
      </c>
      <c r="AL1372" t="str">
        <f t="shared" si="87"/>
        <v/>
      </c>
      <c r="AM1372" t="str">
        <f>IF(AL1372="","",MAX($AF$1:$AF1372))</f>
        <v/>
      </c>
    </row>
    <row r="1373" spans="1:39" ht="15" customHeight="1" x14ac:dyDescent="0.3">
      <c r="A1373" s="18" t="s">
        <v>200</v>
      </c>
      <c r="B1373" s="18"/>
      <c r="C1373" s="18"/>
      <c r="D1373" s="1"/>
      <c r="AB1373" t="str" cm="1">
        <f t="array" ref="AB1373">_xlfn._xlws.FILTER(A1373:Z1373,A1373:Z1373&lt;&gt;"","")</f>
        <v>JUPAS Code: JS3624</v>
      </c>
      <c r="AD1373" t="str">
        <v>JS3624</v>
      </c>
      <c r="AE1373" t="str">
        <v/>
      </c>
      <c r="AF1373" cm="1">
        <f t="array" ref="AF1373">IF(AD1373="","",SUMPRODUCT(IF(LEFT($AD$1:AD1373,2)="JS",1,0)))</f>
        <v>27</v>
      </c>
      <c r="AG1373" t="str">
        <f t="shared" si="84"/>
        <v/>
      </c>
      <c r="AH1373" t="str">
        <f t="shared" si="85"/>
        <v/>
      </c>
      <c r="AI1373" t="str">
        <f>IF(AH1373="","",MAX($AF$1:$AF1373))</f>
        <v/>
      </c>
      <c r="AJ1373" t="str">
        <f t="shared" si="86"/>
        <v/>
      </c>
      <c r="AK1373" t="str">
        <f>IF(AJ1373="","",MAX($AF$1:$AF1373))</f>
        <v/>
      </c>
      <c r="AL1373" t="str">
        <f t="shared" si="87"/>
        <v/>
      </c>
      <c r="AM1373" t="str">
        <f>IF(AL1373="","",MAX($AF$1:$AF1373))</f>
        <v/>
      </c>
    </row>
    <row r="1374" spans="1:39" ht="13.5" customHeight="1" x14ac:dyDescent="0.3">
      <c r="A1374" s="18" t="s">
        <v>201</v>
      </c>
      <c r="B1374" s="18"/>
      <c r="C1374" s="18"/>
      <c r="D1374" s="1"/>
      <c r="AB1374" t="str" cm="1">
        <f t="array" ref="AB1374">_xlfn._xlws.FILTER(A1374:Z1374,A1374:Z1374&lt;&gt;"","")</f>
        <v>Programme Title: BSc (Hons) Scheme in Rehabilitation Sciences - Occupational Therapy</v>
      </c>
      <c r="AD1374" t="str">
        <v/>
      </c>
      <c r="AE1374" t="str">
        <v>BSc (Hons) Scheme in Rehabilitation Sciences - Occupational Therapy</v>
      </c>
      <c r="AF1374" t="str" cm="1">
        <f t="array" ref="AF1374">IF(AD1374="","",SUMPRODUCT(IF(LEFT($AD$1:AD1374,2)="JS",1,0)))</f>
        <v/>
      </c>
      <c r="AG1374" t="str">
        <f t="shared" si="84"/>
        <v/>
      </c>
      <c r="AH1374" t="str">
        <f t="shared" si="85"/>
        <v/>
      </c>
      <c r="AI1374" t="str">
        <f>IF(AH1374="","",MAX($AF$1:$AF1374))</f>
        <v/>
      </c>
      <c r="AJ1374" t="str">
        <f t="shared" si="86"/>
        <v/>
      </c>
      <c r="AK1374" t="str">
        <f>IF(AJ1374="","",MAX($AF$1:$AF1374))</f>
        <v/>
      </c>
      <c r="AL1374" t="str">
        <f t="shared" si="87"/>
        <v/>
      </c>
      <c r="AM1374" t="str">
        <f>IF(AL1374="","",MAX($AF$1:$AF1374))</f>
        <v/>
      </c>
    </row>
    <row r="1375" spans="1:39" ht="14.5" customHeight="1" x14ac:dyDescent="0.3">
      <c r="A1375" s="12"/>
      <c r="B1375" s="12"/>
      <c r="C1375" s="2"/>
      <c r="D1375" s="2"/>
      <c r="AB1375" t="str" cm="1">
        <f t="array" ref="AB1375">_xlfn._xlws.FILTER(A1375:Z1375,A1375:Z1375&lt;&gt;"","")</f>
        <v/>
      </c>
      <c r="AD1375" t="str">
        <v/>
      </c>
      <c r="AE1375" t="str">
        <v/>
      </c>
      <c r="AF1375" t="str" cm="1">
        <f t="array" ref="AF1375">IF(AD1375="","",SUMPRODUCT(IF(LEFT($AD$1:AD1375,2)="JS",1,0)))</f>
        <v/>
      </c>
      <c r="AG1375" t="str">
        <f t="shared" si="84"/>
        <v/>
      </c>
      <c r="AH1375" t="str">
        <f t="shared" si="85"/>
        <v/>
      </c>
      <c r="AI1375" t="str">
        <f>IF(AH1375="","",MAX($AF$1:$AF1375))</f>
        <v/>
      </c>
      <c r="AJ1375" t="str">
        <f t="shared" si="86"/>
        <v/>
      </c>
      <c r="AK1375" t="str">
        <f>IF(AJ1375="","",MAX($AF$1:$AF1375))</f>
        <v/>
      </c>
      <c r="AL1375" t="str">
        <f t="shared" si="87"/>
        <v/>
      </c>
      <c r="AM1375" t="str">
        <f>IF(AL1375="","",MAX($AF$1:$AF1375))</f>
        <v/>
      </c>
    </row>
    <row r="1376" spans="1:39" ht="13.5" customHeight="1" x14ac:dyDescent="0.3">
      <c r="A1376" s="13" t="s">
        <v>2</v>
      </c>
      <c r="B1376" s="13"/>
      <c r="C1376" s="13"/>
      <c r="D1376" s="13"/>
      <c r="AB1376" t="str" cm="1">
        <f t="array" ref="AB1376">_xlfn._xlws.FILTER(A1376:Z1376,A1376:Z1376&lt;&gt;"","")</f>
        <v>Category A: Core and Elective Subjects</v>
      </c>
      <c r="AD1376" t="str">
        <v/>
      </c>
      <c r="AE1376" t="str">
        <v/>
      </c>
      <c r="AF1376" t="str" cm="1">
        <f t="array" ref="AF1376">IF(AD1376="","",SUMPRODUCT(IF(LEFT($AD$1:AD1376,2)="JS",1,0)))</f>
        <v/>
      </c>
      <c r="AG1376" t="str">
        <f t="shared" si="84"/>
        <v/>
      </c>
      <c r="AH1376" t="str">
        <f t="shared" si="85"/>
        <v/>
      </c>
      <c r="AI1376" t="str">
        <f>IF(AH1376="","",MAX($AF$1:$AF1376))</f>
        <v/>
      </c>
      <c r="AJ1376" t="str">
        <f t="shared" si="86"/>
        <v/>
      </c>
      <c r="AK1376" t="str">
        <f>IF(AJ1376="","",MAX($AF$1:$AF1376))</f>
        <v/>
      </c>
      <c r="AL1376" t="str">
        <f t="shared" si="87"/>
        <v/>
      </c>
      <c r="AM1376" t="str">
        <f>IF(AL1376="","",MAX($AF$1:$AF1376))</f>
        <v/>
      </c>
    </row>
    <row r="1377" spans="1:39" ht="13.5" customHeight="1" x14ac:dyDescent="0.3">
      <c r="A1377" s="14" t="s">
        <v>3</v>
      </c>
      <c r="B1377" s="15"/>
      <c r="C1377" s="16" t="s">
        <v>4</v>
      </c>
      <c r="D1377" s="17"/>
      <c r="AB1377" t="str" cm="1">
        <f t="array" ref="AB1377:AC1377">_xlfn._xlws.FILTER(A1377:Z1377,A1377:Z1377&lt;&gt;"","")</f>
        <v>Subject Name</v>
      </c>
      <c r="AC1377" t="str">
        <v>Subject Weighting for 2023/24 Admission Exercise *</v>
      </c>
      <c r="AD1377" t="str">
        <v/>
      </c>
      <c r="AE1377" t="str">
        <v/>
      </c>
      <c r="AF1377" t="str" cm="1">
        <f t="array" ref="AF1377">IF(AD1377="","",SUMPRODUCT(IF(LEFT($AD$1:AD1377,2)="JS",1,0)))</f>
        <v/>
      </c>
      <c r="AG1377" t="str">
        <f t="shared" si="84"/>
        <v/>
      </c>
      <c r="AH1377" t="str">
        <f t="shared" si="85"/>
        <v/>
      </c>
      <c r="AI1377" t="str">
        <f>IF(AH1377="","",MAX($AF$1:$AF1377))</f>
        <v/>
      </c>
      <c r="AJ1377" t="str">
        <f t="shared" si="86"/>
        <v/>
      </c>
      <c r="AK1377" t="str">
        <f>IF(AJ1377="","",MAX($AF$1:$AF1377))</f>
        <v/>
      </c>
      <c r="AL1377" t="str">
        <f t="shared" si="87"/>
        <v/>
      </c>
      <c r="AM1377" t="str">
        <f>IF(AL1377="","",MAX($AF$1:$AF1377))</f>
        <v/>
      </c>
    </row>
    <row r="1378" spans="1:39" ht="13.5" customHeight="1" x14ac:dyDescent="0.3">
      <c r="A1378" s="8" t="s">
        <v>211</v>
      </c>
      <c r="B1378" s="9"/>
      <c r="C1378" s="10">
        <v>10</v>
      </c>
      <c r="D1378" s="11"/>
      <c r="AB1378" t="str" cm="1">
        <f t="array" ref="AB1378:AC1378">_xlfn._xlws.FILTER(A1378:Z1378,A1378:Z1378&lt;&gt;"","")</f>
        <v>BIO</v>
      </c>
      <c r="AC1378">
        <v>10</v>
      </c>
      <c r="AD1378" t="str">
        <v/>
      </c>
      <c r="AE1378" t="str">
        <v/>
      </c>
      <c r="AF1378" t="str" cm="1">
        <f t="array" ref="AF1378">IF(AD1378="","",SUMPRODUCT(IF(LEFT($AD$1:AD1378,2)="JS",1,0)))</f>
        <v/>
      </c>
      <c r="AG1378" t="b">
        <f t="shared" si="84"/>
        <v>1</v>
      </c>
      <c r="AH1378" t="str">
        <f t="shared" si="85"/>
        <v>BIO</v>
      </c>
      <c r="AI1378">
        <f>IF(AH1378="","",MAX($AF$1:$AF1378))</f>
        <v>27</v>
      </c>
      <c r="AJ1378" t="str">
        <f t="shared" si="86"/>
        <v/>
      </c>
      <c r="AK1378" t="str">
        <f>IF(AJ1378="","",MAX($AF$1:$AF1378))</f>
        <v/>
      </c>
      <c r="AL1378" t="str">
        <f t="shared" si="87"/>
        <v/>
      </c>
      <c r="AM1378" t="str">
        <f>IF(AL1378="","",MAX($AF$1:$AF1378))</f>
        <v/>
      </c>
    </row>
    <row r="1379" spans="1:39" ht="13.5" customHeight="1" x14ac:dyDescent="0.3">
      <c r="A1379" s="8" t="s">
        <v>213</v>
      </c>
      <c r="B1379" s="9"/>
      <c r="C1379" s="10">
        <v>5</v>
      </c>
      <c r="D1379" s="11"/>
      <c r="AB1379" t="str" cm="1">
        <f t="array" ref="AB1379:AC1379">_xlfn._xlws.FILTER(A1379:Z1379,A1379:Z1379&lt;&gt;"","")</f>
        <v>BAFS</v>
      </c>
      <c r="AC1379">
        <v>5</v>
      </c>
      <c r="AD1379" t="str">
        <v/>
      </c>
      <c r="AE1379" t="str">
        <v/>
      </c>
      <c r="AF1379" t="str" cm="1">
        <f t="array" ref="AF1379">IF(AD1379="","",SUMPRODUCT(IF(LEFT($AD$1:AD1379,2)="JS",1,0)))</f>
        <v/>
      </c>
      <c r="AG1379" t="b">
        <f t="shared" si="84"/>
        <v>1</v>
      </c>
      <c r="AH1379" t="str">
        <f t="shared" si="85"/>
        <v/>
      </c>
      <c r="AI1379" t="str">
        <f>IF(AH1379="","",MAX($AF$1:$AF1379))</f>
        <v/>
      </c>
      <c r="AJ1379" t="str">
        <f t="shared" si="86"/>
        <v/>
      </c>
      <c r="AK1379" t="str">
        <f>IF(AJ1379="","",MAX($AF$1:$AF1379))</f>
        <v/>
      </c>
      <c r="AL1379" t="str">
        <f t="shared" si="87"/>
        <v>BAFS</v>
      </c>
      <c r="AM1379">
        <f>IF(AL1379="","",MAX($AF$1:$AF1379))</f>
        <v>27</v>
      </c>
    </row>
    <row r="1380" spans="1:39" ht="13.5" customHeight="1" x14ac:dyDescent="0.3">
      <c r="A1380" s="8" t="s">
        <v>5</v>
      </c>
      <c r="B1380" s="9"/>
      <c r="C1380" s="10">
        <v>5</v>
      </c>
      <c r="D1380" s="11"/>
      <c r="AB1380" t="str" cm="1">
        <f t="array" ref="AB1380:AC1380">_xlfn._xlws.FILTER(A1380:Z1380,A1380:Z1380&lt;&gt;"","")</f>
        <v>Business, Accounting and Financial Studies (Accounting)</v>
      </c>
      <c r="AC1380">
        <v>5</v>
      </c>
      <c r="AD1380" t="str">
        <v/>
      </c>
      <c r="AE1380" t="str">
        <v/>
      </c>
      <c r="AF1380" t="str" cm="1">
        <f t="array" ref="AF1380">IF(AD1380="","",SUMPRODUCT(IF(LEFT($AD$1:AD1380,2)="JS",1,0)))</f>
        <v/>
      </c>
      <c r="AG1380" t="str">
        <f t="shared" si="84"/>
        <v/>
      </c>
      <c r="AH1380" t="str">
        <f t="shared" si="85"/>
        <v/>
      </c>
      <c r="AI1380" t="str">
        <f>IF(AH1380="","",MAX($AF$1:$AF1380))</f>
        <v/>
      </c>
      <c r="AJ1380" t="str">
        <f t="shared" si="86"/>
        <v/>
      </c>
      <c r="AK1380" t="str">
        <f>IF(AJ1380="","",MAX($AF$1:$AF1380))</f>
        <v/>
      </c>
      <c r="AL1380" t="str">
        <f t="shared" si="87"/>
        <v/>
      </c>
      <c r="AM1380" t="str">
        <f>IF(AL1380="","",MAX($AF$1:$AF1380))</f>
        <v/>
      </c>
    </row>
    <row r="1381" spans="1:39" ht="13.5" customHeight="1" x14ac:dyDescent="0.3">
      <c r="A1381" s="8" t="s">
        <v>6</v>
      </c>
      <c r="B1381" s="9"/>
      <c r="C1381" s="10">
        <v>5</v>
      </c>
      <c r="D1381" s="11"/>
      <c r="AB1381" t="str" cm="1">
        <f t="array" ref="AB1381:AC1381">_xlfn._xlws.FILTER(A1381:Z1381,A1381:Z1381&lt;&gt;"","")</f>
        <v>Business, Accounting and Financial Studies (Business Management)</v>
      </c>
      <c r="AC1381">
        <v>5</v>
      </c>
      <c r="AD1381" t="str">
        <v/>
      </c>
      <c r="AE1381" t="str">
        <v/>
      </c>
      <c r="AF1381" t="str" cm="1">
        <f t="array" ref="AF1381">IF(AD1381="","",SUMPRODUCT(IF(LEFT($AD$1:AD1381,2)="JS",1,0)))</f>
        <v/>
      </c>
      <c r="AG1381" t="str">
        <f t="shared" si="84"/>
        <v/>
      </c>
      <c r="AH1381" t="str">
        <f t="shared" si="85"/>
        <v/>
      </c>
      <c r="AI1381" t="str">
        <f>IF(AH1381="","",MAX($AF$1:$AF1381))</f>
        <v/>
      </c>
      <c r="AJ1381" t="str">
        <f t="shared" si="86"/>
        <v/>
      </c>
      <c r="AK1381" t="str">
        <f>IF(AJ1381="","",MAX($AF$1:$AF1381))</f>
        <v/>
      </c>
      <c r="AL1381" t="str">
        <f t="shared" si="87"/>
        <v/>
      </c>
      <c r="AM1381" t="str">
        <f>IF(AL1381="","",MAX($AF$1:$AF1381))</f>
        <v/>
      </c>
    </row>
    <row r="1382" spans="1:39" ht="13.5" customHeight="1" x14ac:dyDescent="0.3">
      <c r="A1382" s="8" t="s">
        <v>212</v>
      </c>
      <c r="B1382" s="9"/>
      <c r="C1382" s="10">
        <v>7</v>
      </c>
      <c r="D1382" s="11"/>
      <c r="AB1382" t="str" cm="1">
        <f t="array" ref="AB1382:AC1382">_xlfn._xlws.FILTER(A1382:Z1382,A1382:Z1382&lt;&gt;"","")</f>
        <v>CHEM</v>
      </c>
      <c r="AC1382">
        <v>7</v>
      </c>
      <c r="AD1382" t="str">
        <v/>
      </c>
      <c r="AE1382" t="str">
        <v/>
      </c>
      <c r="AF1382" t="str" cm="1">
        <f t="array" ref="AF1382">IF(AD1382="","",SUMPRODUCT(IF(LEFT($AD$1:AD1382,2)="JS",1,0)))</f>
        <v/>
      </c>
      <c r="AG1382" t="b">
        <f t="shared" si="84"/>
        <v>1</v>
      </c>
      <c r="AH1382" t="str">
        <f t="shared" si="85"/>
        <v/>
      </c>
      <c r="AI1382" t="str">
        <f>IF(AH1382="","",MAX($AF$1:$AF1382))</f>
        <v/>
      </c>
      <c r="AJ1382" t="str">
        <f t="shared" si="86"/>
        <v>CHEM</v>
      </c>
      <c r="AK1382">
        <f>IF(AJ1382="","",MAX($AF$1:$AF1382))</f>
        <v>27</v>
      </c>
      <c r="AL1382" t="str">
        <f t="shared" si="87"/>
        <v/>
      </c>
      <c r="AM1382" t="str">
        <f>IF(AL1382="","",MAX($AF$1:$AF1382))</f>
        <v/>
      </c>
    </row>
    <row r="1383" spans="1:39" ht="13.5" customHeight="1" x14ac:dyDescent="0.3">
      <c r="A1383" s="8" t="s">
        <v>214</v>
      </c>
      <c r="B1383" s="9"/>
      <c r="C1383" s="10">
        <v>7</v>
      </c>
      <c r="D1383" s="11"/>
      <c r="AB1383" t="str" cm="1">
        <f t="array" ref="AB1383:AC1383">_xlfn._xlws.FILTER(A1383:Z1383,A1383:Z1383&lt;&gt;"","")</f>
        <v>中史</v>
      </c>
      <c r="AC1383">
        <v>7</v>
      </c>
      <c r="AD1383" t="str">
        <v/>
      </c>
      <c r="AE1383" t="str">
        <v/>
      </c>
      <c r="AF1383" t="str" cm="1">
        <f t="array" ref="AF1383">IF(AD1383="","",SUMPRODUCT(IF(LEFT($AD$1:AD1383,2)="JS",1,0)))</f>
        <v/>
      </c>
      <c r="AG1383" t="b">
        <f t="shared" si="84"/>
        <v>1</v>
      </c>
      <c r="AH1383" t="str">
        <f t="shared" si="85"/>
        <v/>
      </c>
      <c r="AI1383" t="str">
        <f>IF(AH1383="","",MAX($AF$1:$AF1383))</f>
        <v/>
      </c>
      <c r="AJ1383" t="str">
        <f t="shared" si="86"/>
        <v>中史</v>
      </c>
      <c r="AK1383">
        <f>IF(AJ1383="","",MAX($AF$1:$AF1383))</f>
        <v>27</v>
      </c>
      <c r="AL1383" t="str">
        <f t="shared" si="87"/>
        <v/>
      </c>
      <c r="AM1383" t="str">
        <f>IF(AL1383="","",MAX($AF$1:$AF1383))</f>
        <v/>
      </c>
    </row>
    <row r="1384" spans="1:39" ht="13.5" customHeight="1" x14ac:dyDescent="0.3">
      <c r="A1384" s="8" t="s">
        <v>216</v>
      </c>
      <c r="B1384" s="9"/>
      <c r="C1384" s="10">
        <v>10</v>
      </c>
      <c r="D1384" s="11"/>
      <c r="AB1384" t="str" cm="1">
        <f t="array" ref="AB1384:AC1384">_xlfn._xlws.FILTER(A1384:Z1384,A1384:Z1384&lt;&gt;"","")</f>
        <v>中文</v>
      </c>
      <c r="AC1384">
        <v>10</v>
      </c>
      <c r="AD1384" t="str">
        <v/>
      </c>
      <c r="AE1384" t="str">
        <v/>
      </c>
      <c r="AF1384" t="str" cm="1">
        <f t="array" ref="AF1384">IF(AD1384="","",SUMPRODUCT(IF(LEFT($AD$1:AD1384,2)="JS",1,0)))</f>
        <v/>
      </c>
      <c r="AG1384" t="b">
        <f t="shared" si="84"/>
        <v>1</v>
      </c>
      <c r="AH1384" t="str">
        <f t="shared" si="85"/>
        <v>中文</v>
      </c>
      <c r="AI1384">
        <f>IF(AH1384="","",MAX($AF$1:$AF1384))</f>
        <v>27</v>
      </c>
      <c r="AJ1384" t="str">
        <f t="shared" si="86"/>
        <v/>
      </c>
      <c r="AK1384" t="str">
        <f>IF(AJ1384="","",MAX($AF$1:$AF1384))</f>
        <v/>
      </c>
      <c r="AL1384" t="str">
        <f t="shared" si="87"/>
        <v/>
      </c>
      <c r="AM1384" t="str">
        <f>IF(AL1384="","",MAX($AF$1:$AF1384))</f>
        <v/>
      </c>
    </row>
    <row r="1385" spans="1:39" ht="13.5" customHeight="1" x14ac:dyDescent="0.3">
      <c r="A1385" s="8" t="s">
        <v>7</v>
      </c>
      <c r="B1385" s="9"/>
      <c r="C1385" s="10">
        <v>7</v>
      </c>
      <c r="D1385" s="11"/>
      <c r="AB1385" t="str" cm="1">
        <f t="array" ref="AB1385:AC1385">_xlfn._xlws.FILTER(A1385:Z1385,A1385:Z1385&lt;&gt;"","")</f>
        <v>Chinese Literature</v>
      </c>
      <c r="AC1385">
        <v>7</v>
      </c>
      <c r="AD1385" t="str">
        <v/>
      </c>
      <c r="AE1385" t="str">
        <v/>
      </c>
      <c r="AF1385" t="str" cm="1">
        <f t="array" ref="AF1385">IF(AD1385="","",SUMPRODUCT(IF(LEFT($AD$1:AD1385,2)="JS",1,0)))</f>
        <v/>
      </c>
      <c r="AG1385" t="str">
        <f t="shared" si="84"/>
        <v/>
      </c>
      <c r="AH1385" t="str">
        <f t="shared" si="85"/>
        <v/>
      </c>
      <c r="AI1385" t="str">
        <f>IF(AH1385="","",MAX($AF$1:$AF1385))</f>
        <v/>
      </c>
      <c r="AJ1385" t="str">
        <f t="shared" si="86"/>
        <v/>
      </c>
      <c r="AK1385" t="str">
        <f>IF(AJ1385="","",MAX($AF$1:$AF1385))</f>
        <v/>
      </c>
      <c r="AL1385" t="str">
        <f t="shared" si="87"/>
        <v/>
      </c>
      <c r="AM1385" t="str">
        <f>IF(AL1385="","",MAX($AF$1:$AF1385))</f>
        <v/>
      </c>
    </row>
    <row r="1386" spans="1:39" ht="13.5" customHeight="1" x14ac:dyDescent="0.3">
      <c r="A1386" s="8" t="s">
        <v>8</v>
      </c>
      <c r="B1386" s="9"/>
      <c r="C1386" s="10">
        <v>10</v>
      </c>
      <c r="D1386" s="11"/>
      <c r="AB1386" t="str" cm="1">
        <f t="array" ref="AB1386:AC1386">_xlfn._xlws.FILTER(A1386:Z1386,A1386:Z1386&lt;&gt;"","")</f>
        <v>Combined Science: Biology + Chemistry</v>
      </c>
      <c r="AC1386">
        <v>10</v>
      </c>
      <c r="AD1386" t="str">
        <v/>
      </c>
      <c r="AE1386" t="str">
        <v/>
      </c>
      <c r="AF1386" t="str" cm="1">
        <f t="array" ref="AF1386">IF(AD1386="","",SUMPRODUCT(IF(LEFT($AD$1:AD1386,2)="JS",1,0)))</f>
        <v/>
      </c>
      <c r="AG1386" t="str">
        <f t="shared" si="84"/>
        <v/>
      </c>
      <c r="AH1386" t="str">
        <f t="shared" si="85"/>
        <v/>
      </c>
      <c r="AI1386" t="str">
        <f>IF(AH1386="","",MAX($AF$1:$AF1386))</f>
        <v/>
      </c>
      <c r="AJ1386" t="str">
        <f t="shared" si="86"/>
        <v/>
      </c>
      <c r="AK1386" t="str">
        <f>IF(AJ1386="","",MAX($AF$1:$AF1386))</f>
        <v/>
      </c>
      <c r="AL1386" t="str">
        <f t="shared" si="87"/>
        <v/>
      </c>
      <c r="AM1386" t="str">
        <f>IF(AL1386="","",MAX($AF$1:$AF1386))</f>
        <v/>
      </c>
    </row>
    <row r="1387" spans="1:39" ht="13.5" customHeight="1" x14ac:dyDescent="0.3">
      <c r="A1387" s="8" t="s">
        <v>9</v>
      </c>
      <c r="B1387" s="9"/>
      <c r="C1387" s="10">
        <v>10</v>
      </c>
      <c r="D1387" s="11"/>
      <c r="AB1387" t="str" cm="1">
        <f t="array" ref="AB1387:AC1387">_xlfn._xlws.FILTER(A1387:Z1387,A1387:Z1387&lt;&gt;"","")</f>
        <v>Combined Science: Biology + Physics</v>
      </c>
      <c r="AC1387">
        <v>10</v>
      </c>
      <c r="AD1387" t="str">
        <v/>
      </c>
      <c r="AE1387" t="str">
        <v/>
      </c>
      <c r="AF1387" t="str" cm="1">
        <f t="array" ref="AF1387">IF(AD1387="","",SUMPRODUCT(IF(LEFT($AD$1:AD1387,2)="JS",1,0)))</f>
        <v/>
      </c>
      <c r="AG1387" t="str">
        <f t="shared" si="84"/>
        <v/>
      </c>
      <c r="AH1387" t="str">
        <f t="shared" si="85"/>
        <v/>
      </c>
      <c r="AI1387" t="str">
        <f>IF(AH1387="","",MAX($AF$1:$AF1387))</f>
        <v/>
      </c>
      <c r="AJ1387" t="str">
        <f t="shared" si="86"/>
        <v/>
      </c>
      <c r="AK1387" t="str">
        <f>IF(AJ1387="","",MAX($AF$1:$AF1387))</f>
        <v/>
      </c>
      <c r="AL1387" t="str">
        <f t="shared" si="87"/>
        <v/>
      </c>
      <c r="AM1387" t="str">
        <f>IF(AL1387="","",MAX($AF$1:$AF1387))</f>
        <v/>
      </c>
    </row>
    <row r="1388" spans="1:39" ht="13.5" customHeight="1" x14ac:dyDescent="0.3">
      <c r="A1388" s="8" t="s">
        <v>10</v>
      </c>
      <c r="B1388" s="9"/>
      <c r="C1388" s="10">
        <v>10</v>
      </c>
      <c r="D1388" s="11"/>
      <c r="AB1388" t="str" cm="1">
        <f t="array" ref="AB1388:AC1388">_xlfn._xlws.FILTER(A1388:Z1388,A1388:Z1388&lt;&gt;"","")</f>
        <v>Combined Science: Physics + Chemistry</v>
      </c>
      <c r="AC1388">
        <v>10</v>
      </c>
      <c r="AD1388" t="str">
        <v/>
      </c>
      <c r="AE1388" t="str">
        <v/>
      </c>
      <c r="AF1388" t="str" cm="1">
        <f t="array" ref="AF1388">IF(AD1388="","",SUMPRODUCT(IF(LEFT($AD$1:AD1388,2)="JS",1,0)))</f>
        <v/>
      </c>
      <c r="AG1388" t="str">
        <f t="shared" si="84"/>
        <v/>
      </c>
      <c r="AH1388" t="str">
        <f t="shared" si="85"/>
        <v/>
      </c>
      <c r="AI1388" t="str">
        <f>IF(AH1388="","",MAX($AF$1:$AF1388))</f>
        <v/>
      </c>
      <c r="AJ1388" t="str">
        <f t="shared" si="86"/>
        <v/>
      </c>
      <c r="AK1388" t="str">
        <f>IF(AJ1388="","",MAX($AF$1:$AF1388))</f>
        <v/>
      </c>
      <c r="AL1388" t="str">
        <f t="shared" si="87"/>
        <v/>
      </c>
      <c r="AM1388" t="str">
        <f>IF(AL1388="","",MAX($AF$1:$AF1388))</f>
        <v/>
      </c>
    </row>
    <row r="1389" spans="1:39" ht="13.5" customHeight="1" x14ac:dyDescent="0.3">
      <c r="A1389" s="8" t="s">
        <v>11</v>
      </c>
      <c r="B1389" s="9"/>
      <c r="C1389" s="10">
        <v>7</v>
      </c>
      <c r="D1389" s="11"/>
      <c r="AB1389" t="str" cm="1">
        <f t="array" ref="AB1389:AC1389">_xlfn._xlws.FILTER(A1389:Z1389,A1389:Z1389&lt;&gt;"","")</f>
        <v>Design and Applied Technology</v>
      </c>
      <c r="AC1389">
        <v>7</v>
      </c>
      <c r="AD1389" t="str">
        <v/>
      </c>
      <c r="AE1389" t="str">
        <v/>
      </c>
      <c r="AF1389" t="str" cm="1">
        <f t="array" ref="AF1389">IF(AD1389="","",SUMPRODUCT(IF(LEFT($AD$1:AD1389,2)="JS",1,0)))</f>
        <v/>
      </c>
      <c r="AG1389" t="str">
        <f t="shared" si="84"/>
        <v/>
      </c>
      <c r="AH1389" t="str">
        <f t="shared" si="85"/>
        <v/>
      </c>
      <c r="AI1389" t="str">
        <f>IF(AH1389="","",MAX($AF$1:$AF1389))</f>
        <v/>
      </c>
      <c r="AJ1389" t="str">
        <f t="shared" si="86"/>
        <v/>
      </c>
      <c r="AK1389" t="str">
        <f>IF(AJ1389="","",MAX($AF$1:$AF1389))</f>
        <v/>
      </c>
      <c r="AL1389" t="str">
        <f t="shared" si="87"/>
        <v/>
      </c>
      <c r="AM1389" t="str">
        <f>IF(AL1389="","",MAX($AF$1:$AF1389))</f>
        <v/>
      </c>
    </row>
    <row r="1390" spans="1:39" ht="13.5" customHeight="1" x14ac:dyDescent="0.3">
      <c r="A1390" s="8" t="s">
        <v>217</v>
      </c>
      <c r="B1390" s="9"/>
      <c r="C1390" s="10">
        <v>7</v>
      </c>
      <c r="D1390" s="11"/>
      <c r="AB1390" t="str" cm="1">
        <f t="array" ref="AB1390:AC1390">_xlfn._xlws.FILTER(A1390:Z1390,A1390:Z1390&lt;&gt;"","")</f>
        <v>ECON</v>
      </c>
      <c r="AC1390">
        <v>7</v>
      </c>
      <c r="AD1390" t="str">
        <v/>
      </c>
      <c r="AE1390" t="str">
        <v/>
      </c>
      <c r="AF1390" t="str" cm="1">
        <f t="array" ref="AF1390">IF(AD1390="","",SUMPRODUCT(IF(LEFT($AD$1:AD1390,2)="JS",1,0)))</f>
        <v/>
      </c>
      <c r="AG1390" t="b">
        <f t="shared" si="84"/>
        <v>1</v>
      </c>
      <c r="AH1390" t="str">
        <f t="shared" si="85"/>
        <v/>
      </c>
      <c r="AI1390" t="str">
        <f>IF(AH1390="","",MAX($AF$1:$AF1390))</f>
        <v/>
      </c>
      <c r="AJ1390" t="str">
        <f t="shared" si="86"/>
        <v>ECON</v>
      </c>
      <c r="AK1390">
        <f>IF(AJ1390="","",MAX($AF$1:$AF1390))</f>
        <v>27</v>
      </c>
      <c r="AL1390" t="str">
        <f t="shared" si="87"/>
        <v/>
      </c>
      <c r="AM1390" t="str">
        <f>IF(AL1390="","",MAX($AF$1:$AF1390))</f>
        <v/>
      </c>
    </row>
    <row r="1391" spans="1:39" ht="13.5" customHeight="1" x14ac:dyDescent="0.3">
      <c r="A1391" s="8" t="s">
        <v>218</v>
      </c>
      <c r="B1391" s="9"/>
      <c r="C1391" s="10">
        <v>10</v>
      </c>
      <c r="D1391" s="11"/>
      <c r="AB1391" t="str" cm="1">
        <f t="array" ref="AB1391:AC1391">_xlfn._xlws.FILTER(A1391:Z1391,A1391:Z1391&lt;&gt;"","")</f>
        <v>ENG</v>
      </c>
      <c r="AC1391">
        <v>10</v>
      </c>
      <c r="AD1391" t="str">
        <v/>
      </c>
      <c r="AE1391" t="str">
        <v/>
      </c>
      <c r="AF1391" t="str" cm="1">
        <f t="array" ref="AF1391">IF(AD1391="","",SUMPRODUCT(IF(LEFT($AD$1:AD1391,2)="JS",1,0)))</f>
        <v/>
      </c>
      <c r="AG1391" t="b">
        <f t="shared" si="84"/>
        <v>1</v>
      </c>
      <c r="AH1391" t="str">
        <f t="shared" si="85"/>
        <v>ENG</v>
      </c>
      <c r="AI1391">
        <f>IF(AH1391="","",MAX($AF$1:$AF1391))</f>
        <v>27</v>
      </c>
      <c r="AJ1391" t="str">
        <f t="shared" si="86"/>
        <v/>
      </c>
      <c r="AK1391" t="str">
        <f>IF(AJ1391="","",MAX($AF$1:$AF1391))</f>
        <v/>
      </c>
      <c r="AL1391" t="str">
        <f t="shared" si="87"/>
        <v/>
      </c>
      <c r="AM1391" t="str">
        <f>IF(AL1391="","",MAX($AF$1:$AF1391))</f>
        <v/>
      </c>
    </row>
    <row r="1392" spans="1:39" ht="13.5" customHeight="1" x14ac:dyDescent="0.3">
      <c r="A1392" s="8" t="s">
        <v>12</v>
      </c>
      <c r="B1392" s="9"/>
      <c r="C1392" s="10">
        <v>5</v>
      </c>
      <c r="D1392" s="11"/>
      <c r="AB1392" t="str" cm="1">
        <f t="array" ref="AB1392:AC1392">_xlfn._xlws.FILTER(A1392:Z1392,A1392:Z1392&lt;&gt;"","")</f>
        <v>Ethics and Religious Studies</v>
      </c>
      <c r="AC1392">
        <v>5</v>
      </c>
      <c r="AD1392" t="str">
        <v/>
      </c>
      <c r="AE1392" t="str">
        <v/>
      </c>
      <c r="AF1392" t="str" cm="1">
        <f t="array" ref="AF1392">IF(AD1392="","",SUMPRODUCT(IF(LEFT($AD$1:AD1392,2)="JS",1,0)))</f>
        <v/>
      </c>
      <c r="AG1392" t="str">
        <f t="shared" si="84"/>
        <v/>
      </c>
      <c r="AH1392" t="str">
        <f t="shared" si="85"/>
        <v/>
      </c>
      <c r="AI1392" t="str">
        <f>IF(AH1392="","",MAX($AF$1:$AF1392))</f>
        <v/>
      </c>
      <c r="AJ1392" t="str">
        <f t="shared" si="86"/>
        <v/>
      </c>
      <c r="AK1392" t="str">
        <f>IF(AJ1392="","",MAX($AF$1:$AF1392))</f>
        <v/>
      </c>
      <c r="AL1392" t="str">
        <f t="shared" si="87"/>
        <v/>
      </c>
      <c r="AM1392" t="str">
        <f>IF(AL1392="","",MAX($AF$1:$AF1392))</f>
        <v/>
      </c>
    </row>
    <row r="1393" spans="1:39" ht="13.5" customHeight="1" x14ac:dyDescent="0.3">
      <c r="A1393" s="8" t="s">
        <v>219</v>
      </c>
      <c r="B1393" s="9"/>
      <c r="C1393" s="10">
        <v>7</v>
      </c>
      <c r="D1393" s="11"/>
      <c r="AB1393" t="str" cm="1">
        <f t="array" ref="AB1393:AC1393">_xlfn._xlws.FILTER(A1393:Z1393,A1393:Z1393&lt;&gt;"","")</f>
        <v>GEOG</v>
      </c>
      <c r="AC1393">
        <v>7</v>
      </c>
      <c r="AD1393" t="str">
        <v/>
      </c>
      <c r="AE1393" t="str">
        <v/>
      </c>
      <c r="AF1393" t="str" cm="1">
        <f t="array" ref="AF1393">IF(AD1393="","",SUMPRODUCT(IF(LEFT($AD$1:AD1393,2)="JS",1,0)))</f>
        <v/>
      </c>
      <c r="AG1393" t="b">
        <f t="shared" si="84"/>
        <v>1</v>
      </c>
      <c r="AH1393" t="str">
        <f t="shared" si="85"/>
        <v/>
      </c>
      <c r="AI1393" t="str">
        <f>IF(AH1393="","",MAX($AF$1:$AF1393))</f>
        <v/>
      </c>
      <c r="AJ1393" t="str">
        <f t="shared" si="86"/>
        <v>GEOG</v>
      </c>
      <c r="AK1393">
        <f>IF(AJ1393="","",MAX($AF$1:$AF1393))</f>
        <v>27</v>
      </c>
      <c r="AL1393" t="str">
        <f t="shared" si="87"/>
        <v/>
      </c>
      <c r="AM1393" t="str">
        <f>IF(AL1393="","",MAX($AF$1:$AF1393))</f>
        <v/>
      </c>
    </row>
    <row r="1394" spans="1:39" ht="13.5" customHeight="1" x14ac:dyDescent="0.3">
      <c r="A1394" s="8" t="s">
        <v>220</v>
      </c>
      <c r="B1394" s="9"/>
      <c r="C1394" s="10">
        <v>7</v>
      </c>
      <c r="D1394" s="11"/>
      <c r="AB1394" t="str" cm="1">
        <f t="array" ref="AB1394:AC1394">_xlfn._xlws.FILTER(A1394:Z1394,A1394:Z1394&lt;&gt;"","")</f>
        <v>HMSC</v>
      </c>
      <c r="AC1394">
        <v>7</v>
      </c>
      <c r="AD1394" t="str">
        <v/>
      </c>
      <c r="AE1394" t="str">
        <v/>
      </c>
      <c r="AF1394" t="str" cm="1">
        <f t="array" ref="AF1394">IF(AD1394="","",SUMPRODUCT(IF(LEFT($AD$1:AD1394,2)="JS",1,0)))</f>
        <v/>
      </c>
      <c r="AG1394" t="b">
        <f t="shared" si="84"/>
        <v>1</v>
      </c>
      <c r="AH1394" t="str">
        <f t="shared" si="85"/>
        <v/>
      </c>
      <c r="AI1394" t="str">
        <f>IF(AH1394="","",MAX($AF$1:$AF1394))</f>
        <v/>
      </c>
      <c r="AJ1394" t="str">
        <f t="shared" si="86"/>
        <v>HMSC</v>
      </c>
      <c r="AK1394">
        <f>IF(AJ1394="","",MAX($AF$1:$AF1394))</f>
        <v>27</v>
      </c>
      <c r="AL1394" t="str">
        <f t="shared" si="87"/>
        <v/>
      </c>
      <c r="AM1394" t="str">
        <f>IF(AL1394="","",MAX($AF$1:$AF1394))</f>
        <v/>
      </c>
    </row>
    <row r="1395" spans="1:39" ht="13.5" customHeight="1" x14ac:dyDescent="0.3">
      <c r="A1395" s="8" t="s">
        <v>221</v>
      </c>
      <c r="B1395" s="9"/>
      <c r="C1395" s="10">
        <v>7</v>
      </c>
      <c r="D1395" s="11"/>
      <c r="AB1395" t="str" cm="1">
        <f t="array" ref="AB1395:AC1395">_xlfn._xlws.FILTER(A1395:Z1395,A1395:Z1395&lt;&gt;"","")</f>
        <v>HIST</v>
      </c>
      <c r="AC1395">
        <v>7</v>
      </c>
      <c r="AD1395" t="str">
        <v/>
      </c>
      <c r="AE1395" t="str">
        <v/>
      </c>
      <c r="AF1395" t="str" cm="1">
        <f t="array" ref="AF1395">IF(AD1395="","",SUMPRODUCT(IF(LEFT($AD$1:AD1395,2)="JS",1,0)))</f>
        <v/>
      </c>
      <c r="AG1395" t="b">
        <f t="shared" si="84"/>
        <v>1</v>
      </c>
      <c r="AH1395" t="str">
        <f t="shared" si="85"/>
        <v/>
      </c>
      <c r="AI1395" t="str">
        <f>IF(AH1395="","",MAX($AF$1:$AF1395))</f>
        <v/>
      </c>
      <c r="AJ1395" t="str">
        <f t="shared" si="86"/>
        <v>HIST</v>
      </c>
      <c r="AK1395">
        <f>IF(AJ1395="","",MAX($AF$1:$AF1395))</f>
        <v>27</v>
      </c>
      <c r="AL1395" t="str">
        <f t="shared" si="87"/>
        <v/>
      </c>
      <c r="AM1395" t="str">
        <f>IF(AL1395="","",MAX($AF$1:$AF1395))</f>
        <v/>
      </c>
    </row>
    <row r="1396" spans="1:39" ht="13.5" customHeight="1" x14ac:dyDescent="0.3">
      <c r="A1396" s="8" t="s">
        <v>222</v>
      </c>
      <c r="B1396" s="9"/>
      <c r="C1396" s="10">
        <v>7</v>
      </c>
      <c r="D1396" s="11"/>
      <c r="AB1396" t="str" cm="1">
        <f t="array" ref="AB1396:AC1396">_xlfn._xlws.FILTER(A1396:Z1396,A1396:Z1396&lt;&gt;"","")</f>
        <v>ICT</v>
      </c>
      <c r="AC1396">
        <v>7</v>
      </c>
      <c r="AD1396" t="str">
        <v/>
      </c>
      <c r="AE1396" t="str">
        <v/>
      </c>
      <c r="AF1396" t="str" cm="1">
        <f t="array" ref="AF1396">IF(AD1396="","",SUMPRODUCT(IF(LEFT($AD$1:AD1396,2)="JS",1,0)))</f>
        <v/>
      </c>
      <c r="AG1396" t="b">
        <f t="shared" si="84"/>
        <v>1</v>
      </c>
      <c r="AH1396" t="str">
        <f t="shared" si="85"/>
        <v/>
      </c>
      <c r="AI1396" t="str">
        <f>IF(AH1396="","",MAX($AF$1:$AF1396))</f>
        <v/>
      </c>
      <c r="AJ1396" t="str">
        <f t="shared" si="86"/>
        <v>ICT</v>
      </c>
      <c r="AK1396">
        <f>IF(AJ1396="","",MAX($AF$1:$AF1396))</f>
        <v>27</v>
      </c>
      <c r="AL1396" t="str">
        <f t="shared" si="87"/>
        <v/>
      </c>
      <c r="AM1396" t="str">
        <f>IF(AL1396="","",MAX($AF$1:$AF1396))</f>
        <v/>
      </c>
    </row>
    <row r="1397" spans="1:39" ht="13.5" customHeight="1" x14ac:dyDescent="0.3">
      <c r="A1397" s="8" t="s">
        <v>13</v>
      </c>
      <c r="B1397" s="9"/>
      <c r="C1397" s="10">
        <v>7</v>
      </c>
      <c r="D1397" s="11"/>
      <c r="AB1397" t="str" cm="1">
        <f t="array" ref="AB1397:AC1397">_xlfn._xlws.FILTER(A1397:Z1397,A1397:Z1397&lt;&gt;"","")</f>
        <v>Integrated Science</v>
      </c>
      <c r="AC1397">
        <v>7</v>
      </c>
      <c r="AD1397" t="str">
        <v/>
      </c>
      <c r="AE1397" t="str">
        <v/>
      </c>
      <c r="AF1397" t="str" cm="1">
        <f t="array" ref="AF1397">IF(AD1397="","",SUMPRODUCT(IF(LEFT($AD$1:AD1397,2)="JS",1,0)))</f>
        <v/>
      </c>
      <c r="AG1397" t="str">
        <f t="shared" si="84"/>
        <v/>
      </c>
      <c r="AH1397" t="str">
        <f t="shared" si="85"/>
        <v/>
      </c>
      <c r="AI1397" t="str">
        <f>IF(AH1397="","",MAX($AF$1:$AF1397))</f>
        <v/>
      </c>
      <c r="AJ1397" t="str">
        <f t="shared" si="86"/>
        <v/>
      </c>
      <c r="AK1397" t="str">
        <f>IF(AJ1397="","",MAX($AF$1:$AF1397))</f>
        <v/>
      </c>
      <c r="AL1397" t="str">
        <f t="shared" si="87"/>
        <v/>
      </c>
      <c r="AM1397" t="str">
        <f>IF(AL1397="","",MAX($AF$1:$AF1397))</f>
        <v/>
      </c>
    </row>
    <row r="1398" spans="1:39" ht="13.5" customHeight="1" x14ac:dyDescent="0.3">
      <c r="A1398" s="8" t="s">
        <v>223</v>
      </c>
      <c r="B1398" s="9"/>
      <c r="C1398" s="10">
        <v>7</v>
      </c>
      <c r="D1398" s="11"/>
      <c r="AB1398" t="str" cm="1">
        <f t="array" ref="AB1398:AC1398">_xlfn._xlws.FILTER(A1398:Z1398,A1398:Z1398&lt;&gt;"","")</f>
        <v>通</v>
      </c>
      <c r="AC1398">
        <v>7</v>
      </c>
      <c r="AD1398" t="str">
        <v/>
      </c>
      <c r="AE1398" t="str">
        <v/>
      </c>
      <c r="AF1398" t="str" cm="1">
        <f t="array" ref="AF1398">IF(AD1398="","",SUMPRODUCT(IF(LEFT($AD$1:AD1398,2)="JS",1,0)))</f>
        <v/>
      </c>
      <c r="AG1398" t="b">
        <f t="shared" si="84"/>
        <v>1</v>
      </c>
      <c r="AH1398" t="str">
        <f t="shared" si="85"/>
        <v/>
      </c>
      <c r="AI1398" t="str">
        <f>IF(AH1398="","",MAX($AF$1:$AF1398))</f>
        <v/>
      </c>
      <c r="AJ1398" t="str">
        <f t="shared" si="86"/>
        <v>通</v>
      </c>
      <c r="AK1398">
        <f>IF(AJ1398="","",MAX($AF$1:$AF1398))</f>
        <v>27</v>
      </c>
      <c r="AL1398" t="str">
        <f t="shared" si="87"/>
        <v/>
      </c>
      <c r="AM1398" t="str">
        <f>IF(AL1398="","",MAX($AF$1:$AF1398))</f>
        <v/>
      </c>
    </row>
    <row r="1399" spans="1:39" ht="13.5" customHeight="1" x14ac:dyDescent="0.3">
      <c r="A1399" s="8" t="s">
        <v>14</v>
      </c>
      <c r="B1399" s="9"/>
      <c r="C1399" s="10">
        <v>7</v>
      </c>
      <c r="D1399" s="11"/>
      <c r="AB1399" t="str" cm="1">
        <f t="array" ref="AB1399:AC1399">_xlfn._xlws.FILTER(A1399:Z1399,A1399:Z1399&lt;&gt;"","")</f>
        <v>Literature in English</v>
      </c>
      <c r="AC1399">
        <v>7</v>
      </c>
      <c r="AD1399" t="str">
        <v/>
      </c>
      <c r="AE1399" t="str">
        <v/>
      </c>
      <c r="AF1399" t="str" cm="1">
        <f t="array" ref="AF1399">IF(AD1399="","",SUMPRODUCT(IF(LEFT($AD$1:AD1399,2)="JS",1,0)))</f>
        <v/>
      </c>
      <c r="AG1399" t="str">
        <f t="shared" si="84"/>
        <v/>
      </c>
      <c r="AH1399" t="str">
        <f t="shared" si="85"/>
        <v/>
      </c>
      <c r="AI1399" t="str">
        <f>IF(AH1399="","",MAX($AF$1:$AF1399))</f>
        <v/>
      </c>
      <c r="AJ1399" t="str">
        <f t="shared" si="86"/>
        <v/>
      </c>
      <c r="AK1399" t="str">
        <f>IF(AJ1399="","",MAX($AF$1:$AF1399))</f>
        <v/>
      </c>
      <c r="AL1399" t="str">
        <f t="shared" si="87"/>
        <v/>
      </c>
      <c r="AM1399" t="str">
        <f>IF(AL1399="","",MAX($AF$1:$AF1399))</f>
        <v/>
      </c>
    </row>
    <row r="1400" spans="1:39" ht="13.5" customHeight="1" x14ac:dyDescent="0.3">
      <c r="A1400" s="8" t="s">
        <v>224</v>
      </c>
      <c r="B1400" s="9"/>
      <c r="C1400" s="10">
        <v>7</v>
      </c>
      <c r="D1400" s="11"/>
      <c r="AB1400" t="str" cm="1">
        <f t="array" ref="AB1400:AC1400">_xlfn._xlws.FILTER(A1400:Z1400,A1400:Z1400&lt;&gt;"","")</f>
        <v>MATH</v>
      </c>
      <c r="AC1400">
        <v>7</v>
      </c>
      <c r="AD1400" t="str">
        <v/>
      </c>
      <c r="AE1400" t="str">
        <v/>
      </c>
      <c r="AF1400" t="str" cm="1">
        <f t="array" ref="AF1400">IF(AD1400="","",SUMPRODUCT(IF(LEFT($AD$1:AD1400,2)="JS",1,0)))</f>
        <v/>
      </c>
      <c r="AG1400" t="b">
        <f t="shared" si="84"/>
        <v>1</v>
      </c>
      <c r="AH1400" t="str">
        <f t="shared" si="85"/>
        <v/>
      </c>
      <c r="AI1400" t="str">
        <f>IF(AH1400="","",MAX($AF$1:$AF1400))</f>
        <v/>
      </c>
      <c r="AJ1400" t="str">
        <f t="shared" si="86"/>
        <v>MATH</v>
      </c>
      <c r="AK1400">
        <f>IF(AJ1400="","",MAX($AF$1:$AF1400))</f>
        <v>27</v>
      </c>
      <c r="AL1400" t="str">
        <f t="shared" si="87"/>
        <v/>
      </c>
      <c r="AM1400" t="str">
        <f>IF(AL1400="","",MAX($AF$1:$AF1400))</f>
        <v/>
      </c>
    </row>
    <row r="1401" spans="1:39" ht="13.5" customHeight="1" x14ac:dyDescent="0.3">
      <c r="A1401" s="8" t="s">
        <v>225</v>
      </c>
      <c r="B1401" s="9"/>
      <c r="C1401" s="10">
        <v>7</v>
      </c>
      <c r="D1401" s="11"/>
      <c r="AB1401" t="str" cm="1">
        <f t="array" ref="AB1401:AC1401">_xlfn._xlws.FILTER(A1401:Z1401,A1401:Z1401&lt;&gt;"","")</f>
        <v>M2</v>
      </c>
      <c r="AC1401">
        <v>7</v>
      </c>
      <c r="AD1401" t="str">
        <v/>
      </c>
      <c r="AE1401" t="str">
        <v/>
      </c>
      <c r="AF1401" t="str" cm="1">
        <f t="array" ref="AF1401">IF(AD1401="","",SUMPRODUCT(IF(LEFT($AD$1:AD1401,2)="JS",1,0)))</f>
        <v/>
      </c>
      <c r="AG1401" t="b">
        <f t="shared" si="84"/>
        <v>1</v>
      </c>
      <c r="AH1401" t="str">
        <f t="shared" si="85"/>
        <v/>
      </c>
      <c r="AI1401" t="str">
        <f>IF(AH1401="","",MAX($AF$1:$AF1401))</f>
        <v/>
      </c>
      <c r="AJ1401" t="str">
        <f t="shared" si="86"/>
        <v>M2</v>
      </c>
      <c r="AK1401">
        <f>IF(AJ1401="","",MAX($AF$1:$AF1401))</f>
        <v>27</v>
      </c>
      <c r="AL1401" t="str">
        <f t="shared" si="87"/>
        <v/>
      </c>
      <c r="AM1401" t="str">
        <f>IF(AL1401="","",MAX($AF$1:$AF1401))</f>
        <v/>
      </c>
    </row>
    <row r="1402" spans="1:39" ht="13.5" customHeight="1" x14ac:dyDescent="0.3">
      <c r="A1402" s="8" t="s">
        <v>15</v>
      </c>
      <c r="B1402" s="9"/>
      <c r="C1402" s="10">
        <v>7</v>
      </c>
      <c r="D1402" s="11"/>
      <c r="AB1402" t="str" cm="1">
        <f t="array" ref="AB1402:AC1402">_xlfn._xlws.FILTER(A1402:Z1402,A1402:Z1402&lt;&gt;"","")</f>
        <v>Mathematics (Extended part - Calculus and Statistics)</v>
      </c>
      <c r="AC1402">
        <v>7</v>
      </c>
      <c r="AD1402" t="str">
        <v/>
      </c>
      <c r="AE1402" t="str">
        <v/>
      </c>
      <c r="AF1402" t="str" cm="1">
        <f t="array" ref="AF1402">IF(AD1402="","",SUMPRODUCT(IF(LEFT($AD$1:AD1402,2)="JS",1,0)))</f>
        <v/>
      </c>
      <c r="AG1402" t="str">
        <f t="shared" si="84"/>
        <v/>
      </c>
      <c r="AH1402" t="str">
        <f t="shared" si="85"/>
        <v/>
      </c>
      <c r="AI1402" t="str">
        <f>IF(AH1402="","",MAX($AF$1:$AF1402))</f>
        <v/>
      </c>
      <c r="AJ1402" t="str">
        <f t="shared" si="86"/>
        <v/>
      </c>
      <c r="AK1402" t="str">
        <f>IF(AJ1402="","",MAX($AF$1:$AF1402))</f>
        <v/>
      </c>
      <c r="AL1402" t="str">
        <f t="shared" si="87"/>
        <v/>
      </c>
      <c r="AM1402" t="str">
        <f>IF(AL1402="","",MAX($AF$1:$AF1402))</f>
        <v/>
      </c>
    </row>
    <row r="1403" spans="1:39" ht="13.5" customHeight="1" x14ac:dyDescent="0.3">
      <c r="A1403" s="8" t="s">
        <v>16</v>
      </c>
      <c r="B1403" s="9"/>
      <c r="C1403" s="10">
        <v>5</v>
      </c>
      <c r="D1403" s="11"/>
      <c r="AB1403" t="str" cm="1">
        <f t="array" ref="AB1403:AC1403">_xlfn._xlws.FILTER(A1403:Z1403,A1403:Z1403&lt;&gt;"","")</f>
        <v>Music</v>
      </c>
      <c r="AC1403">
        <v>5</v>
      </c>
      <c r="AD1403" t="str">
        <v/>
      </c>
      <c r="AE1403" t="str">
        <v/>
      </c>
      <c r="AF1403" t="str" cm="1">
        <f t="array" ref="AF1403">IF(AD1403="","",SUMPRODUCT(IF(LEFT($AD$1:AD1403,2)="JS",1,0)))</f>
        <v/>
      </c>
      <c r="AG1403" t="str">
        <f t="shared" si="84"/>
        <v/>
      </c>
      <c r="AH1403" t="str">
        <f t="shared" si="85"/>
        <v/>
      </c>
      <c r="AI1403" t="str">
        <f>IF(AH1403="","",MAX($AF$1:$AF1403))</f>
        <v/>
      </c>
      <c r="AJ1403" t="str">
        <f t="shared" si="86"/>
        <v/>
      </c>
      <c r="AK1403" t="str">
        <f>IF(AJ1403="","",MAX($AF$1:$AF1403))</f>
        <v/>
      </c>
      <c r="AL1403" t="str">
        <f t="shared" si="87"/>
        <v/>
      </c>
      <c r="AM1403" t="str">
        <f>IF(AL1403="","",MAX($AF$1:$AF1403))</f>
        <v/>
      </c>
    </row>
    <row r="1404" spans="1:39" ht="13.5" customHeight="1" x14ac:dyDescent="0.3">
      <c r="A1404" s="8" t="s">
        <v>17</v>
      </c>
      <c r="B1404" s="9"/>
      <c r="C1404" s="10">
        <v>5</v>
      </c>
      <c r="D1404" s="11"/>
      <c r="AB1404" t="str" cm="1">
        <f t="array" ref="AB1404:AC1404">_xlfn._xlws.FILTER(A1404:Z1404,A1404:Z1404&lt;&gt;"","")</f>
        <v>Physical Education</v>
      </c>
      <c r="AC1404">
        <v>5</v>
      </c>
      <c r="AD1404" t="str">
        <v/>
      </c>
      <c r="AE1404" t="str">
        <v/>
      </c>
      <c r="AF1404" t="str" cm="1">
        <f t="array" ref="AF1404">IF(AD1404="","",SUMPRODUCT(IF(LEFT($AD$1:AD1404,2)="JS",1,0)))</f>
        <v/>
      </c>
      <c r="AG1404" t="str">
        <f t="shared" si="84"/>
        <v/>
      </c>
      <c r="AH1404" t="str">
        <f t="shared" si="85"/>
        <v/>
      </c>
      <c r="AI1404" t="str">
        <f>IF(AH1404="","",MAX($AF$1:$AF1404))</f>
        <v/>
      </c>
      <c r="AJ1404" t="str">
        <f t="shared" si="86"/>
        <v/>
      </c>
      <c r="AK1404" t="str">
        <f>IF(AJ1404="","",MAX($AF$1:$AF1404))</f>
        <v/>
      </c>
      <c r="AL1404" t="str">
        <f t="shared" si="87"/>
        <v/>
      </c>
      <c r="AM1404" t="str">
        <f>IF(AL1404="","",MAX($AF$1:$AF1404))</f>
        <v/>
      </c>
    </row>
    <row r="1405" spans="1:39" ht="13.5" customHeight="1" x14ac:dyDescent="0.3">
      <c r="A1405" s="8" t="s">
        <v>226</v>
      </c>
      <c r="B1405" s="9"/>
      <c r="C1405" s="10">
        <v>10</v>
      </c>
      <c r="D1405" s="11"/>
      <c r="AB1405" t="str" cm="1">
        <f t="array" ref="AB1405:AC1405">_xlfn._xlws.FILTER(A1405:Z1405,A1405:Z1405&lt;&gt;"","")</f>
        <v>PHY</v>
      </c>
      <c r="AC1405">
        <v>10</v>
      </c>
      <c r="AD1405" t="str">
        <v/>
      </c>
      <c r="AE1405" t="str">
        <v/>
      </c>
      <c r="AF1405" t="str" cm="1">
        <f t="array" ref="AF1405">IF(AD1405="","",SUMPRODUCT(IF(LEFT($AD$1:AD1405,2)="JS",1,0)))</f>
        <v/>
      </c>
      <c r="AG1405" t="b">
        <f t="shared" si="84"/>
        <v>1</v>
      </c>
      <c r="AH1405" t="str">
        <f t="shared" si="85"/>
        <v>PHY</v>
      </c>
      <c r="AI1405">
        <f>IF(AH1405="","",MAX($AF$1:$AF1405))</f>
        <v>27</v>
      </c>
      <c r="AJ1405" t="str">
        <f t="shared" si="86"/>
        <v/>
      </c>
      <c r="AK1405" t="str">
        <f>IF(AJ1405="","",MAX($AF$1:$AF1405))</f>
        <v/>
      </c>
      <c r="AL1405" t="str">
        <f t="shared" si="87"/>
        <v/>
      </c>
      <c r="AM1405" t="str">
        <f>IF(AL1405="","",MAX($AF$1:$AF1405))</f>
        <v/>
      </c>
    </row>
    <row r="1406" spans="1:39" ht="13.5" customHeight="1" x14ac:dyDescent="0.3">
      <c r="A1406" s="8" t="s">
        <v>18</v>
      </c>
      <c r="B1406" s="9"/>
      <c r="C1406" s="10">
        <v>5</v>
      </c>
      <c r="D1406" s="11"/>
      <c r="AB1406" t="str" cm="1">
        <f t="array" ref="AB1406:AC1406">_xlfn._xlws.FILTER(A1406:Z1406,A1406:Z1406&lt;&gt;"","")</f>
        <v>Technology and Living (Fashion, Clothing and Textiles)</v>
      </c>
      <c r="AC1406">
        <v>5</v>
      </c>
      <c r="AD1406" t="str">
        <v/>
      </c>
      <c r="AE1406" t="str">
        <v/>
      </c>
      <c r="AF1406" t="str" cm="1">
        <f t="array" ref="AF1406">IF(AD1406="","",SUMPRODUCT(IF(LEFT($AD$1:AD1406,2)="JS",1,0)))</f>
        <v/>
      </c>
      <c r="AG1406" t="str">
        <f t="shared" si="84"/>
        <v/>
      </c>
      <c r="AH1406" t="str">
        <f t="shared" si="85"/>
        <v/>
      </c>
      <c r="AI1406" t="str">
        <f>IF(AH1406="","",MAX($AF$1:$AF1406))</f>
        <v/>
      </c>
      <c r="AJ1406" t="str">
        <f t="shared" si="86"/>
        <v/>
      </c>
      <c r="AK1406" t="str">
        <f>IF(AJ1406="","",MAX($AF$1:$AF1406))</f>
        <v/>
      </c>
      <c r="AL1406" t="str">
        <f t="shared" si="87"/>
        <v/>
      </c>
      <c r="AM1406" t="str">
        <f>IF(AL1406="","",MAX($AF$1:$AF1406))</f>
        <v/>
      </c>
    </row>
    <row r="1407" spans="1:39" ht="13.5" customHeight="1" x14ac:dyDescent="0.3">
      <c r="A1407" s="8" t="s">
        <v>19</v>
      </c>
      <c r="B1407" s="9"/>
      <c r="C1407" s="10">
        <v>5</v>
      </c>
      <c r="D1407" s="11"/>
      <c r="AB1407" t="str" cm="1">
        <f t="array" ref="AB1407:AC1407">_xlfn._xlws.FILTER(A1407:Z1407,A1407:Z1407&lt;&gt;"","")</f>
        <v>Technology and Living (Food Science and Technology)</v>
      </c>
      <c r="AC1407">
        <v>5</v>
      </c>
      <c r="AD1407" t="str">
        <v/>
      </c>
      <c r="AE1407" t="str">
        <v/>
      </c>
      <c r="AF1407" t="str" cm="1">
        <f t="array" ref="AF1407">IF(AD1407="","",SUMPRODUCT(IF(LEFT($AD$1:AD1407,2)="JS",1,0)))</f>
        <v/>
      </c>
      <c r="AG1407" t="str">
        <f t="shared" si="84"/>
        <v/>
      </c>
      <c r="AH1407" t="str">
        <f t="shared" si="85"/>
        <v/>
      </c>
      <c r="AI1407" t="str">
        <f>IF(AH1407="","",MAX($AF$1:$AF1407))</f>
        <v/>
      </c>
      <c r="AJ1407" t="str">
        <f t="shared" si="86"/>
        <v/>
      </c>
      <c r="AK1407" t="str">
        <f>IF(AJ1407="","",MAX($AF$1:$AF1407))</f>
        <v/>
      </c>
      <c r="AL1407" t="str">
        <f t="shared" si="87"/>
        <v/>
      </c>
      <c r="AM1407" t="str">
        <f>IF(AL1407="","",MAX($AF$1:$AF1407))</f>
        <v/>
      </c>
    </row>
    <row r="1408" spans="1:39" ht="13.5" customHeight="1" x14ac:dyDescent="0.3">
      <c r="A1408" s="8" t="s">
        <v>20</v>
      </c>
      <c r="B1408" s="9"/>
      <c r="C1408" s="10">
        <v>5</v>
      </c>
      <c r="D1408" s="11"/>
      <c r="AB1408" t="str" cm="1">
        <f t="array" ref="AB1408:AC1408">_xlfn._xlws.FILTER(A1408:Z1408,A1408:Z1408&lt;&gt;"","")</f>
        <v>Tourism and Hospitality Studies</v>
      </c>
      <c r="AC1408">
        <v>5</v>
      </c>
      <c r="AD1408" t="str">
        <v/>
      </c>
      <c r="AE1408" t="str">
        <v/>
      </c>
      <c r="AF1408" t="str" cm="1">
        <f t="array" ref="AF1408">IF(AD1408="","",SUMPRODUCT(IF(LEFT($AD$1:AD1408,2)="JS",1,0)))</f>
        <v/>
      </c>
      <c r="AG1408" t="str">
        <f t="shared" si="84"/>
        <v/>
      </c>
      <c r="AH1408" t="str">
        <f t="shared" si="85"/>
        <v/>
      </c>
      <c r="AI1408" t="str">
        <f>IF(AH1408="","",MAX($AF$1:$AF1408))</f>
        <v/>
      </c>
      <c r="AJ1408" t="str">
        <f t="shared" si="86"/>
        <v/>
      </c>
      <c r="AK1408" t="str">
        <f>IF(AJ1408="","",MAX($AF$1:$AF1408))</f>
        <v/>
      </c>
      <c r="AL1408" t="str">
        <f t="shared" si="87"/>
        <v/>
      </c>
      <c r="AM1408" t="str">
        <f>IF(AL1408="","",MAX($AF$1:$AF1408))</f>
        <v/>
      </c>
    </row>
    <row r="1409" spans="1:39" ht="13.5" customHeight="1" x14ac:dyDescent="0.3">
      <c r="A1409" s="8" t="s">
        <v>210</v>
      </c>
      <c r="B1409" s="9"/>
      <c r="C1409" s="10">
        <v>5</v>
      </c>
      <c r="D1409" s="11"/>
      <c r="AB1409" t="str" cm="1">
        <f t="array" ref="AB1409:AC1409">_xlfn._xlws.FILTER(A1409:Z1409,A1409:Z1409&lt;&gt;"","")</f>
        <v>VA</v>
      </c>
      <c r="AC1409">
        <v>5</v>
      </c>
      <c r="AD1409" t="str">
        <v/>
      </c>
      <c r="AE1409" t="str">
        <v/>
      </c>
      <c r="AF1409" t="str" cm="1">
        <f t="array" ref="AF1409">IF(AD1409="","",SUMPRODUCT(IF(LEFT($AD$1:AD1409,2)="JS",1,0)))</f>
        <v/>
      </c>
      <c r="AG1409" t="b">
        <f t="shared" ref="AG1409:AG1472" si="88">IF(ISNUMBER(MATCH(AB1409,$AV$3:$AV$18,0)),TRUE,"")</f>
        <v>1</v>
      </c>
      <c r="AH1409" t="str">
        <f t="shared" si="85"/>
        <v/>
      </c>
      <c r="AI1409" t="str">
        <f>IF(AH1409="","",MAX($AF$1:$AF1409))</f>
        <v/>
      </c>
      <c r="AJ1409" t="str">
        <f t="shared" si="86"/>
        <v/>
      </c>
      <c r="AK1409" t="str">
        <f>IF(AJ1409="","",MAX($AF$1:$AF1409))</f>
        <v/>
      </c>
      <c r="AL1409" t="str">
        <f t="shared" si="87"/>
        <v>VA</v>
      </c>
      <c r="AM1409">
        <f>IF(AL1409="","",MAX($AF$1:$AF1409))</f>
        <v>27</v>
      </c>
    </row>
    <row r="1410" spans="1:39" ht="14.5" customHeight="1" x14ac:dyDescent="0.3">
      <c r="A1410" s="12"/>
      <c r="B1410" s="12"/>
      <c r="C1410" s="2"/>
      <c r="D1410" s="2"/>
      <c r="AB1410" t="str" cm="1">
        <f t="array" ref="AB1410">_xlfn._xlws.FILTER(A1410:Z1410,A1410:Z1410&lt;&gt;"","")</f>
        <v/>
      </c>
      <c r="AD1410" t="str">
        <v/>
      </c>
      <c r="AE1410" t="str">
        <v/>
      </c>
      <c r="AF1410" t="str" cm="1">
        <f t="array" ref="AF1410">IF(AD1410="","",SUMPRODUCT(IF(LEFT($AD$1:AD1410,2)="JS",1,0)))</f>
        <v/>
      </c>
      <c r="AG1410" t="str">
        <f t="shared" si="88"/>
        <v/>
      </c>
      <c r="AH1410" t="str">
        <f t="shared" ref="AH1410:AH1473" si="89">IF(AND(AC1410=10,AG1410=TRUE),AB1410,"")</f>
        <v/>
      </c>
      <c r="AI1410" t="str">
        <f>IF(AH1410="","",MAX($AF$1:$AF1410))</f>
        <v/>
      </c>
      <c r="AJ1410" t="str">
        <f t="shared" ref="AJ1410:AJ1473" si="90">IF(AND(AC1410=7,AG1410=TRUE),AB1410,"")</f>
        <v/>
      </c>
      <c r="AK1410" t="str">
        <f>IF(AJ1410="","",MAX($AF$1:$AF1410))</f>
        <v/>
      </c>
      <c r="AL1410" t="str">
        <f t="shared" ref="AL1410:AL1473" si="91">IF(AND(AC1410=5,AG1410=TRUE),AB1410,"")</f>
        <v/>
      </c>
      <c r="AM1410" t="str">
        <f>IF(AL1410="","",MAX($AF$1:$AF1410))</f>
        <v/>
      </c>
    </row>
    <row r="1411" spans="1:39" ht="13.5" customHeight="1" x14ac:dyDescent="0.3">
      <c r="A1411" s="13" t="s">
        <v>34</v>
      </c>
      <c r="B1411" s="13"/>
      <c r="C1411" s="13"/>
      <c r="D1411" s="13"/>
      <c r="AB1411" t="str" cm="1">
        <f t="array" ref="AB1411">_xlfn._xlws.FILTER(A1411:Z1411,A1411:Z1411&lt;&gt;"","")</f>
        <v>Category C: Other Language Subjects</v>
      </c>
      <c r="AD1411" t="str">
        <v/>
      </c>
      <c r="AE1411" t="str">
        <v/>
      </c>
      <c r="AF1411" t="str" cm="1">
        <f t="array" ref="AF1411">IF(AD1411="","",SUMPRODUCT(IF(LEFT($AD$1:AD1411,2)="JS",1,0)))</f>
        <v/>
      </c>
      <c r="AG1411" t="str">
        <f t="shared" si="88"/>
        <v/>
      </c>
      <c r="AH1411" t="str">
        <f t="shared" si="89"/>
        <v/>
      </c>
      <c r="AI1411" t="str">
        <f>IF(AH1411="","",MAX($AF$1:$AF1411))</f>
        <v/>
      </c>
      <c r="AJ1411" t="str">
        <f t="shared" si="90"/>
        <v/>
      </c>
      <c r="AK1411" t="str">
        <f>IF(AJ1411="","",MAX($AF$1:$AF1411))</f>
        <v/>
      </c>
      <c r="AL1411" t="str">
        <f t="shared" si="91"/>
        <v/>
      </c>
      <c r="AM1411" t="str">
        <f>IF(AL1411="","",MAX($AF$1:$AF1411))</f>
        <v/>
      </c>
    </row>
    <row r="1412" spans="1:39" ht="13.5" customHeight="1" x14ac:dyDescent="0.3">
      <c r="A1412" s="14" t="s">
        <v>3</v>
      </c>
      <c r="B1412" s="15"/>
      <c r="C1412" s="16" t="s">
        <v>4</v>
      </c>
      <c r="D1412" s="17"/>
      <c r="AB1412" t="str" cm="1">
        <f t="array" ref="AB1412:AC1412">_xlfn._xlws.FILTER(A1412:Z1412,A1412:Z1412&lt;&gt;"","")</f>
        <v>Subject Name</v>
      </c>
      <c r="AC1412" t="str">
        <v>Subject Weighting for 2023/24 Admission Exercise *</v>
      </c>
      <c r="AD1412" t="str">
        <v/>
      </c>
      <c r="AE1412" t="str">
        <v/>
      </c>
      <c r="AF1412" t="str" cm="1">
        <f t="array" ref="AF1412">IF(AD1412="","",SUMPRODUCT(IF(LEFT($AD$1:AD1412,2)="JS",1,0)))</f>
        <v/>
      </c>
      <c r="AG1412" t="str">
        <f t="shared" si="88"/>
        <v/>
      </c>
      <c r="AH1412" t="str">
        <f t="shared" si="89"/>
        <v/>
      </c>
      <c r="AI1412" t="str">
        <f>IF(AH1412="","",MAX($AF$1:$AF1412))</f>
        <v/>
      </c>
      <c r="AJ1412" t="str">
        <f t="shared" si="90"/>
        <v/>
      </c>
      <c r="AK1412" t="str">
        <f>IF(AJ1412="","",MAX($AF$1:$AF1412))</f>
        <v/>
      </c>
      <c r="AL1412" t="str">
        <f t="shared" si="91"/>
        <v/>
      </c>
      <c r="AM1412" t="str">
        <f>IF(AL1412="","",MAX($AF$1:$AF1412))</f>
        <v/>
      </c>
    </row>
    <row r="1413" spans="1:39" ht="13.5" customHeight="1" x14ac:dyDescent="0.3">
      <c r="A1413" s="8" t="s">
        <v>35</v>
      </c>
      <c r="B1413" s="9"/>
      <c r="C1413" s="10">
        <v>5</v>
      </c>
      <c r="D1413" s="11"/>
      <c r="AB1413" t="str" cm="1">
        <f t="array" ref="AB1413:AC1413">_xlfn._xlws.FILTER(A1413:Z1413,A1413:Z1413&lt;&gt;"","")</f>
        <v>French</v>
      </c>
      <c r="AC1413">
        <v>5</v>
      </c>
      <c r="AD1413" t="str">
        <v/>
      </c>
      <c r="AE1413" t="str">
        <v/>
      </c>
      <c r="AF1413" t="str" cm="1">
        <f t="array" ref="AF1413">IF(AD1413="","",SUMPRODUCT(IF(LEFT($AD$1:AD1413,2)="JS",1,0)))</f>
        <v/>
      </c>
      <c r="AG1413" t="str">
        <f t="shared" si="88"/>
        <v/>
      </c>
      <c r="AH1413" t="str">
        <f t="shared" si="89"/>
        <v/>
      </c>
      <c r="AI1413" t="str">
        <f>IF(AH1413="","",MAX($AF$1:$AF1413))</f>
        <v/>
      </c>
      <c r="AJ1413" t="str">
        <f t="shared" si="90"/>
        <v/>
      </c>
      <c r="AK1413" t="str">
        <f>IF(AJ1413="","",MAX($AF$1:$AF1413))</f>
        <v/>
      </c>
      <c r="AL1413" t="str">
        <f t="shared" si="91"/>
        <v/>
      </c>
      <c r="AM1413" t="str">
        <f>IF(AL1413="","",MAX($AF$1:$AF1413))</f>
        <v/>
      </c>
    </row>
    <row r="1414" spans="1:39" ht="13.5" customHeight="1" x14ac:dyDescent="0.3">
      <c r="A1414" s="8" t="s">
        <v>36</v>
      </c>
      <c r="B1414" s="9"/>
      <c r="C1414" s="10">
        <v>5</v>
      </c>
      <c r="D1414" s="11"/>
      <c r="AB1414" t="str" cm="1">
        <f t="array" ref="AB1414:AC1414">_xlfn._xlws.FILTER(A1414:Z1414,A1414:Z1414&lt;&gt;"","")</f>
        <v>German</v>
      </c>
      <c r="AC1414">
        <v>5</v>
      </c>
      <c r="AD1414" t="str">
        <v/>
      </c>
      <c r="AE1414" t="str">
        <v/>
      </c>
      <c r="AF1414" t="str" cm="1">
        <f t="array" ref="AF1414">IF(AD1414="","",SUMPRODUCT(IF(LEFT($AD$1:AD1414,2)="JS",1,0)))</f>
        <v/>
      </c>
      <c r="AG1414" t="str">
        <f t="shared" si="88"/>
        <v/>
      </c>
      <c r="AH1414" t="str">
        <f t="shared" si="89"/>
        <v/>
      </c>
      <c r="AI1414" t="str">
        <f>IF(AH1414="","",MAX($AF$1:$AF1414))</f>
        <v/>
      </c>
      <c r="AJ1414" t="str">
        <f t="shared" si="90"/>
        <v/>
      </c>
      <c r="AK1414" t="str">
        <f>IF(AJ1414="","",MAX($AF$1:$AF1414))</f>
        <v/>
      </c>
      <c r="AL1414" t="str">
        <f t="shared" si="91"/>
        <v/>
      </c>
      <c r="AM1414" t="str">
        <f>IF(AL1414="","",MAX($AF$1:$AF1414))</f>
        <v/>
      </c>
    </row>
    <row r="1415" spans="1:39" ht="13.5" customHeight="1" x14ac:dyDescent="0.3">
      <c r="A1415" s="8" t="s">
        <v>37</v>
      </c>
      <c r="B1415" s="9"/>
      <c r="C1415" s="10">
        <v>5</v>
      </c>
      <c r="D1415" s="11"/>
      <c r="AB1415" t="str" cm="1">
        <f t="array" ref="AB1415:AC1415">_xlfn._xlws.FILTER(A1415:Z1415,A1415:Z1415&lt;&gt;"","")</f>
        <v>Hindi</v>
      </c>
      <c r="AC1415">
        <v>5</v>
      </c>
      <c r="AD1415" t="str">
        <v/>
      </c>
      <c r="AE1415" t="str">
        <v/>
      </c>
      <c r="AF1415" t="str" cm="1">
        <f t="array" ref="AF1415">IF(AD1415="","",SUMPRODUCT(IF(LEFT($AD$1:AD1415,2)="JS",1,0)))</f>
        <v/>
      </c>
      <c r="AG1415" t="str">
        <f t="shared" si="88"/>
        <v/>
      </c>
      <c r="AH1415" t="str">
        <f t="shared" si="89"/>
        <v/>
      </c>
      <c r="AI1415" t="str">
        <f>IF(AH1415="","",MAX($AF$1:$AF1415))</f>
        <v/>
      </c>
      <c r="AJ1415" t="str">
        <f t="shared" si="90"/>
        <v/>
      </c>
      <c r="AK1415" t="str">
        <f>IF(AJ1415="","",MAX($AF$1:$AF1415))</f>
        <v/>
      </c>
      <c r="AL1415" t="str">
        <f t="shared" si="91"/>
        <v/>
      </c>
      <c r="AM1415" t="str">
        <f>IF(AL1415="","",MAX($AF$1:$AF1415))</f>
        <v/>
      </c>
    </row>
    <row r="1416" spans="1:39" ht="13.5" customHeight="1" x14ac:dyDescent="0.3">
      <c r="A1416" s="8" t="s">
        <v>38</v>
      </c>
      <c r="B1416" s="9"/>
      <c r="C1416" s="10">
        <v>5</v>
      </c>
      <c r="D1416" s="11"/>
      <c r="AB1416" t="str" cm="1">
        <f t="array" ref="AB1416:AC1416">_xlfn._xlws.FILTER(A1416:Z1416,A1416:Z1416&lt;&gt;"","")</f>
        <v>Japanese</v>
      </c>
      <c r="AC1416">
        <v>5</v>
      </c>
      <c r="AD1416" t="str">
        <v/>
      </c>
      <c r="AE1416" t="str">
        <v/>
      </c>
      <c r="AF1416" t="str" cm="1">
        <f t="array" ref="AF1416">IF(AD1416="","",SUMPRODUCT(IF(LEFT($AD$1:AD1416,2)="JS",1,0)))</f>
        <v/>
      </c>
      <c r="AG1416" t="str">
        <f t="shared" si="88"/>
        <v/>
      </c>
      <c r="AH1416" t="str">
        <f t="shared" si="89"/>
        <v/>
      </c>
      <c r="AI1416" t="str">
        <f>IF(AH1416="","",MAX($AF$1:$AF1416))</f>
        <v/>
      </c>
      <c r="AJ1416" t="str">
        <f t="shared" si="90"/>
        <v/>
      </c>
      <c r="AK1416" t="str">
        <f>IF(AJ1416="","",MAX($AF$1:$AF1416))</f>
        <v/>
      </c>
      <c r="AL1416" t="str">
        <f t="shared" si="91"/>
        <v/>
      </c>
      <c r="AM1416" t="str">
        <f>IF(AL1416="","",MAX($AF$1:$AF1416))</f>
        <v/>
      </c>
    </row>
    <row r="1417" spans="1:39" ht="13.5" customHeight="1" x14ac:dyDescent="0.3">
      <c r="A1417" s="8" t="s">
        <v>39</v>
      </c>
      <c r="B1417" s="9"/>
      <c r="C1417" s="10">
        <v>5</v>
      </c>
      <c r="D1417" s="11"/>
      <c r="AB1417" t="str" cm="1">
        <f t="array" ref="AB1417:AC1417">_xlfn._xlws.FILTER(A1417:Z1417,A1417:Z1417&lt;&gt;"","")</f>
        <v>Spanish</v>
      </c>
      <c r="AC1417">
        <v>5</v>
      </c>
      <c r="AD1417" t="str">
        <v/>
      </c>
      <c r="AE1417" t="str">
        <v/>
      </c>
      <c r="AF1417" t="str" cm="1">
        <f t="array" ref="AF1417">IF(AD1417="","",SUMPRODUCT(IF(LEFT($AD$1:AD1417,2)="JS",1,0)))</f>
        <v/>
      </c>
      <c r="AG1417" t="str">
        <f t="shared" si="88"/>
        <v/>
      </c>
      <c r="AH1417" t="str">
        <f t="shared" si="89"/>
        <v/>
      </c>
      <c r="AI1417" t="str">
        <f>IF(AH1417="","",MAX($AF$1:$AF1417))</f>
        <v/>
      </c>
      <c r="AJ1417" t="str">
        <f t="shared" si="90"/>
        <v/>
      </c>
      <c r="AK1417" t="str">
        <f>IF(AJ1417="","",MAX($AF$1:$AF1417))</f>
        <v/>
      </c>
      <c r="AL1417" t="str">
        <f t="shared" si="91"/>
        <v/>
      </c>
      <c r="AM1417" t="str">
        <f>IF(AL1417="","",MAX($AF$1:$AF1417))</f>
        <v/>
      </c>
    </row>
    <row r="1418" spans="1:39" ht="13.5" customHeight="1" x14ac:dyDescent="0.3">
      <c r="A1418" s="8" t="s">
        <v>40</v>
      </c>
      <c r="B1418" s="9"/>
      <c r="C1418" s="10">
        <v>5</v>
      </c>
      <c r="D1418" s="11"/>
      <c r="AB1418" t="str" cm="1">
        <f t="array" ref="AB1418:AC1418">_xlfn._xlws.FILTER(A1418:Z1418,A1418:Z1418&lt;&gt;"","")</f>
        <v>Urdu</v>
      </c>
      <c r="AC1418">
        <v>5</v>
      </c>
      <c r="AD1418" t="str">
        <v/>
      </c>
      <c r="AE1418" t="str">
        <v/>
      </c>
      <c r="AF1418" t="str" cm="1">
        <f t="array" ref="AF1418">IF(AD1418="","",SUMPRODUCT(IF(LEFT($AD$1:AD1418,2)="JS",1,0)))</f>
        <v/>
      </c>
      <c r="AG1418" t="str">
        <f t="shared" si="88"/>
        <v/>
      </c>
      <c r="AH1418" t="str">
        <f t="shared" si="89"/>
        <v/>
      </c>
      <c r="AI1418" t="str">
        <f>IF(AH1418="","",MAX($AF$1:$AF1418))</f>
        <v/>
      </c>
      <c r="AJ1418" t="str">
        <f t="shared" si="90"/>
        <v/>
      </c>
      <c r="AK1418" t="str">
        <f>IF(AJ1418="","",MAX($AF$1:$AF1418))</f>
        <v/>
      </c>
      <c r="AL1418" t="str">
        <f t="shared" si="91"/>
        <v/>
      </c>
      <c r="AM1418" t="str">
        <f>IF(AL1418="","",MAX($AF$1:$AF1418))</f>
        <v/>
      </c>
    </row>
    <row r="1419" spans="1:39" ht="15" customHeight="1" x14ac:dyDescent="0.3">
      <c r="A1419" s="18" t="s">
        <v>202</v>
      </c>
      <c r="B1419" s="18"/>
      <c r="C1419" s="18"/>
      <c r="D1419" s="1"/>
      <c r="AB1419" t="str" cm="1">
        <f t="array" ref="AB1419">_xlfn._xlws.FILTER(A1419:Z1419,A1419:Z1419&lt;&gt;"","")</f>
        <v>JUPAS Code: JS3636</v>
      </c>
      <c r="AD1419" t="str">
        <v>JS3636</v>
      </c>
      <c r="AE1419" t="str">
        <v/>
      </c>
      <c r="AF1419" cm="1">
        <f t="array" ref="AF1419">IF(AD1419="","",SUMPRODUCT(IF(LEFT($AD$1:AD1419,2)="JS",1,0)))</f>
        <v>28</v>
      </c>
      <c r="AG1419" t="str">
        <f t="shared" si="88"/>
        <v/>
      </c>
      <c r="AH1419" t="str">
        <f t="shared" si="89"/>
        <v/>
      </c>
      <c r="AI1419" t="str">
        <f>IF(AH1419="","",MAX($AF$1:$AF1419))</f>
        <v/>
      </c>
      <c r="AJ1419" t="str">
        <f t="shared" si="90"/>
        <v/>
      </c>
      <c r="AK1419" t="str">
        <f>IF(AJ1419="","",MAX($AF$1:$AF1419))</f>
        <v/>
      </c>
      <c r="AL1419" t="str">
        <f t="shared" si="91"/>
        <v/>
      </c>
      <c r="AM1419" t="str">
        <f>IF(AL1419="","",MAX($AF$1:$AF1419))</f>
        <v/>
      </c>
    </row>
    <row r="1420" spans="1:39" ht="13.5" customHeight="1" x14ac:dyDescent="0.3">
      <c r="A1420" s="18" t="s">
        <v>203</v>
      </c>
      <c r="B1420" s="18"/>
      <c r="C1420" s="18"/>
      <c r="D1420" s="1"/>
      <c r="AB1420" t="str" cm="1">
        <f t="array" ref="AB1420">_xlfn._xlws.FILTER(A1420:Z1420,A1420:Z1420&lt;&gt;"","")</f>
        <v>Programme Title: BSc (Hons) Scheme in Rehabilitation Sciences - Physiotherapy</v>
      </c>
      <c r="AD1420" t="str">
        <v/>
      </c>
      <c r="AE1420" t="str">
        <v>BSc (Hons) Scheme in Rehabilitation Sciences - Physiotherapy</v>
      </c>
      <c r="AF1420" t="str" cm="1">
        <f t="array" ref="AF1420">IF(AD1420="","",SUMPRODUCT(IF(LEFT($AD$1:AD1420,2)="JS",1,0)))</f>
        <v/>
      </c>
      <c r="AG1420" t="str">
        <f t="shared" si="88"/>
        <v/>
      </c>
      <c r="AH1420" t="str">
        <f t="shared" si="89"/>
        <v/>
      </c>
      <c r="AI1420" t="str">
        <f>IF(AH1420="","",MAX($AF$1:$AF1420))</f>
        <v/>
      </c>
      <c r="AJ1420" t="str">
        <f t="shared" si="90"/>
        <v/>
      </c>
      <c r="AK1420" t="str">
        <f>IF(AJ1420="","",MAX($AF$1:$AF1420))</f>
        <v/>
      </c>
      <c r="AL1420" t="str">
        <f t="shared" si="91"/>
        <v/>
      </c>
      <c r="AM1420" t="str">
        <f>IF(AL1420="","",MAX($AF$1:$AF1420))</f>
        <v/>
      </c>
    </row>
    <row r="1421" spans="1:39" ht="14.5" customHeight="1" x14ac:dyDescent="0.3">
      <c r="A1421" s="12"/>
      <c r="B1421" s="12"/>
      <c r="C1421" s="2"/>
      <c r="D1421" s="2"/>
      <c r="AB1421" t="str" cm="1">
        <f t="array" ref="AB1421">_xlfn._xlws.FILTER(A1421:Z1421,A1421:Z1421&lt;&gt;"","")</f>
        <v/>
      </c>
      <c r="AD1421" t="str">
        <v/>
      </c>
      <c r="AE1421" t="str">
        <v/>
      </c>
      <c r="AF1421" t="str" cm="1">
        <f t="array" ref="AF1421">IF(AD1421="","",SUMPRODUCT(IF(LEFT($AD$1:AD1421,2)="JS",1,0)))</f>
        <v/>
      </c>
      <c r="AG1421" t="str">
        <f t="shared" si="88"/>
        <v/>
      </c>
      <c r="AH1421" t="str">
        <f t="shared" si="89"/>
        <v/>
      </c>
      <c r="AI1421" t="str">
        <f>IF(AH1421="","",MAX($AF$1:$AF1421))</f>
        <v/>
      </c>
      <c r="AJ1421" t="str">
        <f t="shared" si="90"/>
        <v/>
      </c>
      <c r="AK1421" t="str">
        <f>IF(AJ1421="","",MAX($AF$1:$AF1421))</f>
        <v/>
      </c>
      <c r="AL1421" t="str">
        <f t="shared" si="91"/>
        <v/>
      </c>
      <c r="AM1421" t="str">
        <f>IF(AL1421="","",MAX($AF$1:$AF1421))</f>
        <v/>
      </c>
    </row>
    <row r="1422" spans="1:39" ht="13.5" customHeight="1" x14ac:dyDescent="0.3">
      <c r="A1422" s="13" t="s">
        <v>2</v>
      </c>
      <c r="B1422" s="13"/>
      <c r="C1422" s="13"/>
      <c r="D1422" s="13"/>
      <c r="AB1422" t="str" cm="1">
        <f t="array" ref="AB1422">_xlfn._xlws.FILTER(A1422:Z1422,A1422:Z1422&lt;&gt;"","")</f>
        <v>Category A: Core and Elective Subjects</v>
      </c>
      <c r="AD1422" t="str">
        <v/>
      </c>
      <c r="AE1422" t="str">
        <v/>
      </c>
      <c r="AF1422" t="str" cm="1">
        <f t="array" ref="AF1422">IF(AD1422="","",SUMPRODUCT(IF(LEFT($AD$1:AD1422,2)="JS",1,0)))</f>
        <v/>
      </c>
      <c r="AG1422" t="str">
        <f t="shared" si="88"/>
        <v/>
      </c>
      <c r="AH1422" t="str">
        <f t="shared" si="89"/>
        <v/>
      </c>
      <c r="AI1422" t="str">
        <f>IF(AH1422="","",MAX($AF$1:$AF1422))</f>
        <v/>
      </c>
      <c r="AJ1422" t="str">
        <f t="shared" si="90"/>
        <v/>
      </c>
      <c r="AK1422" t="str">
        <f>IF(AJ1422="","",MAX($AF$1:$AF1422))</f>
        <v/>
      </c>
      <c r="AL1422" t="str">
        <f t="shared" si="91"/>
        <v/>
      </c>
      <c r="AM1422" t="str">
        <f>IF(AL1422="","",MAX($AF$1:$AF1422))</f>
        <v/>
      </c>
    </row>
    <row r="1423" spans="1:39" ht="13.5" customHeight="1" x14ac:dyDescent="0.3">
      <c r="A1423" s="14" t="s">
        <v>3</v>
      </c>
      <c r="B1423" s="15"/>
      <c r="C1423" s="16" t="s">
        <v>4</v>
      </c>
      <c r="D1423" s="17"/>
      <c r="AB1423" t="str" cm="1">
        <f t="array" ref="AB1423:AC1423">_xlfn._xlws.FILTER(A1423:Z1423,A1423:Z1423&lt;&gt;"","")</f>
        <v>Subject Name</v>
      </c>
      <c r="AC1423" t="str">
        <v>Subject Weighting for 2023/24 Admission Exercise *</v>
      </c>
      <c r="AD1423" t="str">
        <v/>
      </c>
      <c r="AE1423" t="str">
        <v/>
      </c>
      <c r="AF1423" t="str" cm="1">
        <f t="array" ref="AF1423">IF(AD1423="","",SUMPRODUCT(IF(LEFT($AD$1:AD1423,2)="JS",1,0)))</f>
        <v/>
      </c>
      <c r="AG1423" t="str">
        <f t="shared" si="88"/>
        <v/>
      </c>
      <c r="AH1423" t="str">
        <f t="shared" si="89"/>
        <v/>
      </c>
      <c r="AI1423" t="str">
        <f>IF(AH1423="","",MAX($AF$1:$AF1423))</f>
        <v/>
      </c>
      <c r="AJ1423" t="str">
        <f t="shared" si="90"/>
        <v/>
      </c>
      <c r="AK1423" t="str">
        <f>IF(AJ1423="","",MAX($AF$1:$AF1423))</f>
        <v/>
      </c>
      <c r="AL1423" t="str">
        <f t="shared" si="91"/>
        <v/>
      </c>
      <c r="AM1423" t="str">
        <f>IF(AL1423="","",MAX($AF$1:$AF1423))</f>
        <v/>
      </c>
    </row>
    <row r="1424" spans="1:39" ht="13.5" customHeight="1" x14ac:dyDescent="0.3">
      <c r="A1424" s="8" t="s">
        <v>211</v>
      </c>
      <c r="B1424" s="9"/>
      <c r="C1424" s="10">
        <v>10</v>
      </c>
      <c r="D1424" s="11"/>
      <c r="AB1424" t="str" cm="1">
        <f t="array" ref="AB1424:AC1424">_xlfn._xlws.FILTER(A1424:Z1424,A1424:Z1424&lt;&gt;"","")</f>
        <v>BIO</v>
      </c>
      <c r="AC1424">
        <v>10</v>
      </c>
      <c r="AD1424" t="str">
        <v/>
      </c>
      <c r="AE1424" t="str">
        <v/>
      </c>
      <c r="AF1424" t="str" cm="1">
        <f t="array" ref="AF1424">IF(AD1424="","",SUMPRODUCT(IF(LEFT($AD$1:AD1424,2)="JS",1,0)))</f>
        <v/>
      </c>
      <c r="AG1424" t="b">
        <f t="shared" si="88"/>
        <v>1</v>
      </c>
      <c r="AH1424" t="str">
        <f t="shared" si="89"/>
        <v>BIO</v>
      </c>
      <c r="AI1424">
        <f>IF(AH1424="","",MAX($AF$1:$AF1424))</f>
        <v>28</v>
      </c>
      <c r="AJ1424" t="str">
        <f t="shared" si="90"/>
        <v/>
      </c>
      <c r="AK1424" t="str">
        <f>IF(AJ1424="","",MAX($AF$1:$AF1424))</f>
        <v/>
      </c>
      <c r="AL1424" t="str">
        <f t="shared" si="91"/>
        <v/>
      </c>
      <c r="AM1424" t="str">
        <f>IF(AL1424="","",MAX($AF$1:$AF1424))</f>
        <v/>
      </c>
    </row>
    <row r="1425" spans="1:39" ht="13.5" customHeight="1" x14ac:dyDescent="0.3">
      <c r="A1425" s="8" t="s">
        <v>213</v>
      </c>
      <c r="B1425" s="9"/>
      <c r="C1425" s="10">
        <v>5</v>
      </c>
      <c r="D1425" s="11"/>
      <c r="AB1425" t="str" cm="1">
        <f t="array" ref="AB1425:AC1425">_xlfn._xlws.FILTER(A1425:Z1425,A1425:Z1425&lt;&gt;"","")</f>
        <v>BAFS</v>
      </c>
      <c r="AC1425">
        <v>5</v>
      </c>
      <c r="AD1425" t="str">
        <v/>
      </c>
      <c r="AE1425" t="str">
        <v/>
      </c>
      <c r="AF1425" t="str" cm="1">
        <f t="array" ref="AF1425">IF(AD1425="","",SUMPRODUCT(IF(LEFT($AD$1:AD1425,2)="JS",1,0)))</f>
        <v/>
      </c>
      <c r="AG1425" t="b">
        <f t="shared" si="88"/>
        <v>1</v>
      </c>
      <c r="AH1425" t="str">
        <f t="shared" si="89"/>
        <v/>
      </c>
      <c r="AI1425" t="str">
        <f>IF(AH1425="","",MAX($AF$1:$AF1425))</f>
        <v/>
      </c>
      <c r="AJ1425" t="str">
        <f t="shared" si="90"/>
        <v/>
      </c>
      <c r="AK1425" t="str">
        <f>IF(AJ1425="","",MAX($AF$1:$AF1425))</f>
        <v/>
      </c>
      <c r="AL1425" t="str">
        <f t="shared" si="91"/>
        <v>BAFS</v>
      </c>
      <c r="AM1425">
        <f>IF(AL1425="","",MAX($AF$1:$AF1425))</f>
        <v>28</v>
      </c>
    </row>
    <row r="1426" spans="1:39" ht="13.5" customHeight="1" x14ac:dyDescent="0.3">
      <c r="A1426" s="8" t="s">
        <v>5</v>
      </c>
      <c r="B1426" s="9"/>
      <c r="C1426" s="10">
        <v>5</v>
      </c>
      <c r="D1426" s="11"/>
      <c r="AB1426" t="str" cm="1">
        <f t="array" ref="AB1426:AC1426">_xlfn._xlws.FILTER(A1426:Z1426,A1426:Z1426&lt;&gt;"","")</f>
        <v>Business, Accounting and Financial Studies (Accounting)</v>
      </c>
      <c r="AC1426">
        <v>5</v>
      </c>
      <c r="AD1426" t="str">
        <v/>
      </c>
      <c r="AE1426" t="str">
        <v/>
      </c>
      <c r="AF1426" t="str" cm="1">
        <f t="array" ref="AF1426">IF(AD1426="","",SUMPRODUCT(IF(LEFT($AD$1:AD1426,2)="JS",1,0)))</f>
        <v/>
      </c>
      <c r="AG1426" t="str">
        <f t="shared" si="88"/>
        <v/>
      </c>
      <c r="AH1426" t="str">
        <f t="shared" si="89"/>
        <v/>
      </c>
      <c r="AI1426" t="str">
        <f>IF(AH1426="","",MAX($AF$1:$AF1426))</f>
        <v/>
      </c>
      <c r="AJ1426" t="str">
        <f t="shared" si="90"/>
        <v/>
      </c>
      <c r="AK1426" t="str">
        <f>IF(AJ1426="","",MAX($AF$1:$AF1426))</f>
        <v/>
      </c>
      <c r="AL1426" t="str">
        <f t="shared" si="91"/>
        <v/>
      </c>
      <c r="AM1426" t="str">
        <f>IF(AL1426="","",MAX($AF$1:$AF1426))</f>
        <v/>
      </c>
    </row>
    <row r="1427" spans="1:39" ht="13.5" customHeight="1" x14ac:dyDescent="0.3">
      <c r="A1427" s="8" t="s">
        <v>6</v>
      </c>
      <c r="B1427" s="9"/>
      <c r="C1427" s="10">
        <v>5</v>
      </c>
      <c r="D1427" s="11"/>
      <c r="AB1427" t="str" cm="1">
        <f t="array" ref="AB1427:AC1427">_xlfn._xlws.FILTER(A1427:Z1427,A1427:Z1427&lt;&gt;"","")</f>
        <v>Business, Accounting and Financial Studies (Business Management)</v>
      </c>
      <c r="AC1427">
        <v>5</v>
      </c>
      <c r="AD1427" t="str">
        <v/>
      </c>
      <c r="AE1427" t="str">
        <v/>
      </c>
      <c r="AF1427" t="str" cm="1">
        <f t="array" ref="AF1427">IF(AD1427="","",SUMPRODUCT(IF(LEFT($AD$1:AD1427,2)="JS",1,0)))</f>
        <v/>
      </c>
      <c r="AG1427" t="str">
        <f t="shared" si="88"/>
        <v/>
      </c>
      <c r="AH1427" t="str">
        <f t="shared" si="89"/>
        <v/>
      </c>
      <c r="AI1427" t="str">
        <f>IF(AH1427="","",MAX($AF$1:$AF1427))</f>
        <v/>
      </c>
      <c r="AJ1427" t="str">
        <f t="shared" si="90"/>
        <v/>
      </c>
      <c r="AK1427" t="str">
        <f>IF(AJ1427="","",MAX($AF$1:$AF1427))</f>
        <v/>
      </c>
      <c r="AL1427" t="str">
        <f t="shared" si="91"/>
        <v/>
      </c>
      <c r="AM1427" t="str">
        <f>IF(AL1427="","",MAX($AF$1:$AF1427))</f>
        <v/>
      </c>
    </row>
    <row r="1428" spans="1:39" ht="13.5" customHeight="1" x14ac:dyDescent="0.3">
      <c r="A1428" s="8" t="s">
        <v>212</v>
      </c>
      <c r="B1428" s="9"/>
      <c r="C1428" s="10">
        <v>7</v>
      </c>
      <c r="D1428" s="11"/>
      <c r="AB1428" t="str" cm="1">
        <f t="array" ref="AB1428:AC1428">_xlfn._xlws.FILTER(A1428:Z1428,A1428:Z1428&lt;&gt;"","")</f>
        <v>CHEM</v>
      </c>
      <c r="AC1428">
        <v>7</v>
      </c>
      <c r="AD1428" t="str">
        <v/>
      </c>
      <c r="AE1428" t="str">
        <v/>
      </c>
      <c r="AF1428" t="str" cm="1">
        <f t="array" ref="AF1428">IF(AD1428="","",SUMPRODUCT(IF(LEFT($AD$1:AD1428,2)="JS",1,0)))</f>
        <v/>
      </c>
      <c r="AG1428" t="b">
        <f t="shared" si="88"/>
        <v>1</v>
      </c>
      <c r="AH1428" t="str">
        <f t="shared" si="89"/>
        <v/>
      </c>
      <c r="AI1428" t="str">
        <f>IF(AH1428="","",MAX($AF$1:$AF1428))</f>
        <v/>
      </c>
      <c r="AJ1428" t="str">
        <f t="shared" si="90"/>
        <v>CHEM</v>
      </c>
      <c r="AK1428">
        <f>IF(AJ1428="","",MAX($AF$1:$AF1428))</f>
        <v>28</v>
      </c>
      <c r="AL1428" t="str">
        <f t="shared" si="91"/>
        <v/>
      </c>
      <c r="AM1428" t="str">
        <f>IF(AL1428="","",MAX($AF$1:$AF1428))</f>
        <v/>
      </c>
    </row>
    <row r="1429" spans="1:39" ht="13.5" customHeight="1" x14ac:dyDescent="0.3">
      <c r="A1429" s="8" t="s">
        <v>214</v>
      </c>
      <c r="B1429" s="9"/>
      <c r="C1429" s="10">
        <v>5</v>
      </c>
      <c r="D1429" s="11"/>
      <c r="AB1429" t="str" cm="1">
        <f t="array" ref="AB1429:AC1429">_xlfn._xlws.FILTER(A1429:Z1429,A1429:Z1429&lt;&gt;"","")</f>
        <v>中史</v>
      </c>
      <c r="AC1429">
        <v>5</v>
      </c>
      <c r="AD1429" t="str">
        <v/>
      </c>
      <c r="AE1429" t="str">
        <v/>
      </c>
      <c r="AF1429" t="str" cm="1">
        <f t="array" ref="AF1429">IF(AD1429="","",SUMPRODUCT(IF(LEFT($AD$1:AD1429,2)="JS",1,0)))</f>
        <v/>
      </c>
      <c r="AG1429" t="b">
        <f t="shared" si="88"/>
        <v>1</v>
      </c>
      <c r="AH1429" t="str">
        <f t="shared" si="89"/>
        <v/>
      </c>
      <c r="AI1429" t="str">
        <f>IF(AH1429="","",MAX($AF$1:$AF1429))</f>
        <v/>
      </c>
      <c r="AJ1429" t="str">
        <f t="shared" si="90"/>
        <v/>
      </c>
      <c r="AK1429" t="str">
        <f>IF(AJ1429="","",MAX($AF$1:$AF1429))</f>
        <v/>
      </c>
      <c r="AL1429" t="str">
        <f t="shared" si="91"/>
        <v>中史</v>
      </c>
      <c r="AM1429">
        <f>IF(AL1429="","",MAX($AF$1:$AF1429))</f>
        <v>28</v>
      </c>
    </row>
    <row r="1430" spans="1:39" ht="13.5" customHeight="1" x14ac:dyDescent="0.3">
      <c r="A1430" s="8" t="s">
        <v>216</v>
      </c>
      <c r="B1430" s="9"/>
      <c r="C1430" s="10">
        <v>10</v>
      </c>
      <c r="D1430" s="11"/>
      <c r="AB1430" t="str" cm="1">
        <f t="array" ref="AB1430:AC1430">_xlfn._xlws.FILTER(A1430:Z1430,A1430:Z1430&lt;&gt;"","")</f>
        <v>中文</v>
      </c>
      <c r="AC1430">
        <v>10</v>
      </c>
      <c r="AD1430" t="str">
        <v/>
      </c>
      <c r="AE1430" t="str">
        <v/>
      </c>
      <c r="AF1430" t="str" cm="1">
        <f t="array" ref="AF1430">IF(AD1430="","",SUMPRODUCT(IF(LEFT($AD$1:AD1430,2)="JS",1,0)))</f>
        <v/>
      </c>
      <c r="AG1430" t="b">
        <f t="shared" si="88"/>
        <v>1</v>
      </c>
      <c r="AH1430" t="str">
        <f t="shared" si="89"/>
        <v>中文</v>
      </c>
      <c r="AI1430">
        <f>IF(AH1430="","",MAX($AF$1:$AF1430))</f>
        <v>28</v>
      </c>
      <c r="AJ1430" t="str">
        <f t="shared" si="90"/>
        <v/>
      </c>
      <c r="AK1430" t="str">
        <f>IF(AJ1430="","",MAX($AF$1:$AF1430))</f>
        <v/>
      </c>
      <c r="AL1430" t="str">
        <f t="shared" si="91"/>
        <v/>
      </c>
      <c r="AM1430" t="str">
        <f>IF(AL1430="","",MAX($AF$1:$AF1430))</f>
        <v/>
      </c>
    </row>
    <row r="1431" spans="1:39" ht="13.5" customHeight="1" x14ac:dyDescent="0.3">
      <c r="A1431" s="8" t="s">
        <v>7</v>
      </c>
      <c r="B1431" s="9"/>
      <c r="C1431" s="10">
        <v>5</v>
      </c>
      <c r="D1431" s="11"/>
      <c r="AB1431" t="str" cm="1">
        <f t="array" ref="AB1431:AC1431">_xlfn._xlws.FILTER(A1431:Z1431,A1431:Z1431&lt;&gt;"","")</f>
        <v>Chinese Literature</v>
      </c>
      <c r="AC1431">
        <v>5</v>
      </c>
      <c r="AD1431" t="str">
        <v/>
      </c>
      <c r="AE1431" t="str">
        <v/>
      </c>
      <c r="AF1431" t="str" cm="1">
        <f t="array" ref="AF1431">IF(AD1431="","",SUMPRODUCT(IF(LEFT($AD$1:AD1431,2)="JS",1,0)))</f>
        <v/>
      </c>
      <c r="AG1431" t="str">
        <f t="shared" si="88"/>
        <v/>
      </c>
      <c r="AH1431" t="str">
        <f t="shared" si="89"/>
        <v/>
      </c>
      <c r="AI1431" t="str">
        <f>IF(AH1431="","",MAX($AF$1:$AF1431))</f>
        <v/>
      </c>
      <c r="AJ1431" t="str">
        <f t="shared" si="90"/>
        <v/>
      </c>
      <c r="AK1431" t="str">
        <f>IF(AJ1431="","",MAX($AF$1:$AF1431))</f>
        <v/>
      </c>
      <c r="AL1431" t="str">
        <f t="shared" si="91"/>
        <v/>
      </c>
      <c r="AM1431" t="str">
        <f>IF(AL1431="","",MAX($AF$1:$AF1431))</f>
        <v/>
      </c>
    </row>
    <row r="1432" spans="1:39" ht="13.5" customHeight="1" x14ac:dyDescent="0.3">
      <c r="A1432" s="8" t="s">
        <v>8</v>
      </c>
      <c r="B1432" s="9"/>
      <c r="C1432" s="10">
        <v>7</v>
      </c>
      <c r="D1432" s="11"/>
      <c r="AB1432" t="str" cm="1">
        <f t="array" ref="AB1432:AC1432">_xlfn._xlws.FILTER(A1432:Z1432,A1432:Z1432&lt;&gt;"","")</f>
        <v>Combined Science: Biology + Chemistry</v>
      </c>
      <c r="AC1432">
        <v>7</v>
      </c>
      <c r="AD1432" t="str">
        <v/>
      </c>
      <c r="AE1432" t="str">
        <v/>
      </c>
      <c r="AF1432" t="str" cm="1">
        <f t="array" ref="AF1432">IF(AD1432="","",SUMPRODUCT(IF(LEFT($AD$1:AD1432,2)="JS",1,0)))</f>
        <v/>
      </c>
      <c r="AG1432" t="str">
        <f t="shared" si="88"/>
        <v/>
      </c>
      <c r="AH1432" t="str">
        <f t="shared" si="89"/>
        <v/>
      </c>
      <c r="AI1432" t="str">
        <f>IF(AH1432="","",MAX($AF$1:$AF1432))</f>
        <v/>
      </c>
      <c r="AJ1432" t="str">
        <f t="shared" si="90"/>
        <v/>
      </c>
      <c r="AK1432" t="str">
        <f>IF(AJ1432="","",MAX($AF$1:$AF1432))</f>
        <v/>
      </c>
      <c r="AL1432" t="str">
        <f t="shared" si="91"/>
        <v/>
      </c>
      <c r="AM1432" t="str">
        <f>IF(AL1432="","",MAX($AF$1:$AF1432))</f>
        <v/>
      </c>
    </row>
    <row r="1433" spans="1:39" ht="13.5" customHeight="1" x14ac:dyDescent="0.3">
      <c r="A1433" s="8" t="s">
        <v>9</v>
      </c>
      <c r="B1433" s="9"/>
      <c r="C1433" s="10">
        <v>10</v>
      </c>
      <c r="D1433" s="11"/>
      <c r="AB1433" t="str" cm="1">
        <f t="array" ref="AB1433:AC1433">_xlfn._xlws.FILTER(A1433:Z1433,A1433:Z1433&lt;&gt;"","")</f>
        <v>Combined Science: Biology + Physics</v>
      </c>
      <c r="AC1433">
        <v>10</v>
      </c>
      <c r="AD1433" t="str">
        <v/>
      </c>
      <c r="AE1433" t="str">
        <v/>
      </c>
      <c r="AF1433" t="str" cm="1">
        <f t="array" ref="AF1433">IF(AD1433="","",SUMPRODUCT(IF(LEFT($AD$1:AD1433,2)="JS",1,0)))</f>
        <v/>
      </c>
      <c r="AG1433" t="str">
        <f t="shared" si="88"/>
        <v/>
      </c>
      <c r="AH1433" t="str">
        <f t="shared" si="89"/>
        <v/>
      </c>
      <c r="AI1433" t="str">
        <f>IF(AH1433="","",MAX($AF$1:$AF1433))</f>
        <v/>
      </c>
      <c r="AJ1433" t="str">
        <f t="shared" si="90"/>
        <v/>
      </c>
      <c r="AK1433" t="str">
        <f>IF(AJ1433="","",MAX($AF$1:$AF1433))</f>
        <v/>
      </c>
      <c r="AL1433" t="str">
        <f t="shared" si="91"/>
        <v/>
      </c>
      <c r="AM1433" t="str">
        <f>IF(AL1433="","",MAX($AF$1:$AF1433))</f>
        <v/>
      </c>
    </row>
    <row r="1434" spans="1:39" ht="13.5" customHeight="1" x14ac:dyDescent="0.3">
      <c r="A1434" s="8" t="s">
        <v>10</v>
      </c>
      <c r="B1434" s="9"/>
      <c r="C1434" s="10">
        <v>7</v>
      </c>
      <c r="D1434" s="11"/>
      <c r="AB1434" t="str" cm="1">
        <f t="array" ref="AB1434:AC1434">_xlfn._xlws.FILTER(A1434:Z1434,A1434:Z1434&lt;&gt;"","")</f>
        <v>Combined Science: Physics + Chemistry</v>
      </c>
      <c r="AC1434">
        <v>7</v>
      </c>
      <c r="AD1434" t="str">
        <v/>
      </c>
      <c r="AE1434" t="str">
        <v/>
      </c>
      <c r="AF1434" t="str" cm="1">
        <f t="array" ref="AF1434">IF(AD1434="","",SUMPRODUCT(IF(LEFT($AD$1:AD1434,2)="JS",1,0)))</f>
        <v/>
      </c>
      <c r="AG1434" t="str">
        <f t="shared" si="88"/>
        <v/>
      </c>
      <c r="AH1434" t="str">
        <f t="shared" si="89"/>
        <v/>
      </c>
      <c r="AI1434" t="str">
        <f>IF(AH1434="","",MAX($AF$1:$AF1434))</f>
        <v/>
      </c>
      <c r="AJ1434" t="str">
        <f t="shared" si="90"/>
        <v/>
      </c>
      <c r="AK1434" t="str">
        <f>IF(AJ1434="","",MAX($AF$1:$AF1434))</f>
        <v/>
      </c>
      <c r="AL1434" t="str">
        <f t="shared" si="91"/>
        <v/>
      </c>
      <c r="AM1434" t="str">
        <f>IF(AL1434="","",MAX($AF$1:$AF1434))</f>
        <v/>
      </c>
    </row>
    <row r="1435" spans="1:39" ht="13.5" customHeight="1" x14ac:dyDescent="0.3">
      <c r="A1435" s="8" t="s">
        <v>11</v>
      </c>
      <c r="B1435" s="9"/>
      <c r="C1435" s="10">
        <v>5</v>
      </c>
      <c r="D1435" s="11"/>
      <c r="AB1435" t="str" cm="1">
        <f t="array" ref="AB1435:AC1435">_xlfn._xlws.FILTER(A1435:Z1435,A1435:Z1435&lt;&gt;"","")</f>
        <v>Design and Applied Technology</v>
      </c>
      <c r="AC1435">
        <v>5</v>
      </c>
      <c r="AD1435" t="str">
        <v/>
      </c>
      <c r="AE1435" t="str">
        <v/>
      </c>
      <c r="AF1435" t="str" cm="1">
        <f t="array" ref="AF1435">IF(AD1435="","",SUMPRODUCT(IF(LEFT($AD$1:AD1435,2)="JS",1,0)))</f>
        <v/>
      </c>
      <c r="AG1435" t="str">
        <f t="shared" si="88"/>
        <v/>
      </c>
      <c r="AH1435" t="str">
        <f t="shared" si="89"/>
        <v/>
      </c>
      <c r="AI1435" t="str">
        <f>IF(AH1435="","",MAX($AF$1:$AF1435))</f>
        <v/>
      </c>
      <c r="AJ1435" t="str">
        <f t="shared" si="90"/>
        <v/>
      </c>
      <c r="AK1435" t="str">
        <f>IF(AJ1435="","",MAX($AF$1:$AF1435))</f>
        <v/>
      </c>
      <c r="AL1435" t="str">
        <f t="shared" si="91"/>
        <v/>
      </c>
      <c r="AM1435" t="str">
        <f>IF(AL1435="","",MAX($AF$1:$AF1435))</f>
        <v/>
      </c>
    </row>
    <row r="1436" spans="1:39" ht="13.5" customHeight="1" x14ac:dyDescent="0.3">
      <c r="A1436" s="8" t="s">
        <v>217</v>
      </c>
      <c r="B1436" s="9"/>
      <c r="C1436" s="10">
        <v>5</v>
      </c>
      <c r="D1436" s="11"/>
      <c r="AB1436" t="str" cm="1">
        <f t="array" ref="AB1436:AC1436">_xlfn._xlws.FILTER(A1436:Z1436,A1436:Z1436&lt;&gt;"","")</f>
        <v>ECON</v>
      </c>
      <c r="AC1436">
        <v>5</v>
      </c>
      <c r="AD1436" t="str">
        <v/>
      </c>
      <c r="AE1436" t="str">
        <v/>
      </c>
      <c r="AF1436" t="str" cm="1">
        <f t="array" ref="AF1436">IF(AD1436="","",SUMPRODUCT(IF(LEFT($AD$1:AD1436,2)="JS",1,0)))</f>
        <v/>
      </c>
      <c r="AG1436" t="b">
        <f t="shared" si="88"/>
        <v>1</v>
      </c>
      <c r="AH1436" t="str">
        <f t="shared" si="89"/>
        <v/>
      </c>
      <c r="AI1436" t="str">
        <f>IF(AH1436="","",MAX($AF$1:$AF1436))</f>
        <v/>
      </c>
      <c r="AJ1436" t="str">
        <f t="shared" si="90"/>
        <v/>
      </c>
      <c r="AK1436" t="str">
        <f>IF(AJ1436="","",MAX($AF$1:$AF1436))</f>
        <v/>
      </c>
      <c r="AL1436" t="str">
        <f t="shared" si="91"/>
        <v>ECON</v>
      </c>
      <c r="AM1436">
        <f>IF(AL1436="","",MAX($AF$1:$AF1436))</f>
        <v>28</v>
      </c>
    </row>
    <row r="1437" spans="1:39" ht="13.5" customHeight="1" x14ac:dyDescent="0.3">
      <c r="A1437" s="8" t="s">
        <v>218</v>
      </c>
      <c r="B1437" s="9"/>
      <c r="C1437" s="10">
        <v>10</v>
      </c>
      <c r="D1437" s="11"/>
      <c r="AB1437" t="str" cm="1">
        <f t="array" ref="AB1437:AC1437">_xlfn._xlws.FILTER(A1437:Z1437,A1437:Z1437&lt;&gt;"","")</f>
        <v>ENG</v>
      </c>
      <c r="AC1437">
        <v>10</v>
      </c>
      <c r="AD1437" t="str">
        <v/>
      </c>
      <c r="AE1437" t="str">
        <v/>
      </c>
      <c r="AF1437" t="str" cm="1">
        <f t="array" ref="AF1437">IF(AD1437="","",SUMPRODUCT(IF(LEFT($AD$1:AD1437,2)="JS",1,0)))</f>
        <v/>
      </c>
      <c r="AG1437" t="b">
        <f t="shared" si="88"/>
        <v>1</v>
      </c>
      <c r="AH1437" t="str">
        <f t="shared" si="89"/>
        <v>ENG</v>
      </c>
      <c r="AI1437">
        <f>IF(AH1437="","",MAX($AF$1:$AF1437))</f>
        <v>28</v>
      </c>
      <c r="AJ1437" t="str">
        <f t="shared" si="90"/>
        <v/>
      </c>
      <c r="AK1437" t="str">
        <f>IF(AJ1437="","",MAX($AF$1:$AF1437))</f>
        <v/>
      </c>
      <c r="AL1437" t="str">
        <f t="shared" si="91"/>
        <v/>
      </c>
      <c r="AM1437" t="str">
        <f>IF(AL1437="","",MAX($AF$1:$AF1437))</f>
        <v/>
      </c>
    </row>
    <row r="1438" spans="1:39" ht="13.5" customHeight="1" x14ac:dyDescent="0.3">
      <c r="A1438" s="8" t="s">
        <v>12</v>
      </c>
      <c r="B1438" s="9"/>
      <c r="C1438" s="10">
        <v>5</v>
      </c>
      <c r="D1438" s="11"/>
      <c r="AB1438" t="str" cm="1">
        <f t="array" ref="AB1438:AC1438">_xlfn._xlws.FILTER(A1438:Z1438,A1438:Z1438&lt;&gt;"","")</f>
        <v>Ethics and Religious Studies</v>
      </c>
      <c r="AC1438">
        <v>5</v>
      </c>
      <c r="AD1438" t="str">
        <v/>
      </c>
      <c r="AE1438" t="str">
        <v/>
      </c>
      <c r="AF1438" t="str" cm="1">
        <f t="array" ref="AF1438">IF(AD1438="","",SUMPRODUCT(IF(LEFT($AD$1:AD1438,2)="JS",1,0)))</f>
        <v/>
      </c>
      <c r="AG1438" t="str">
        <f t="shared" si="88"/>
        <v/>
      </c>
      <c r="AH1438" t="str">
        <f t="shared" si="89"/>
        <v/>
      </c>
      <c r="AI1438" t="str">
        <f>IF(AH1438="","",MAX($AF$1:$AF1438))</f>
        <v/>
      </c>
      <c r="AJ1438" t="str">
        <f t="shared" si="90"/>
        <v/>
      </c>
      <c r="AK1438" t="str">
        <f>IF(AJ1438="","",MAX($AF$1:$AF1438))</f>
        <v/>
      </c>
      <c r="AL1438" t="str">
        <f t="shared" si="91"/>
        <v/>
      </c>
      <c r="AM1438" t="str">
        <f>IF(AL1438="","",MAX($AF$1:$AF1438))</f>
        <v/>
      </c>
    </row>
    <row r="1439" spans="1:39" ht="13.5" customHeight="1" x14ac:dyDescent="0.3">
      <c r="A1439" s="8" t="s">
        <v>219</v>
      </c>
      <c r="B1439" s="9"/>
      <c r="C1439" s="10">
        <v>5</v>
      </c>
      <c r="D1439" s="11"/>
      <c r="AB1439" t="str" cm="1">
        <f t="array" ref="AB1439:AC1439">_xlfn._xlws.FILTER(A1439:Z1439,A1439:Z1439&lt;&gt;"","")</f>
        <v>GEOG</v>
      </c>
      <c r="AC1439">
        <v>5</v>
      </c>
      <c r="AD1439" t="str">
        <v/>
      </c>
      <c r="AE1439" t="str">
        <v/>
      </c>
      <c r="AF1439" t="str" cm="1">
        <f t="array" ref="AF1439">IF(AD1439="","",SUMPRODUCT(IF(LEFT($AD$1:AD1439,2)="JS",1,0)))</f>
        <v/>
      </c>
      <c r="AG1439" t="b">
        <f t="shared" si="88"/>
        <v>1</v>
      </c>
      <c r="AH1439" t="str">
        <f t="shared" si="89"/>
        <v/>
      </c>
      <c r="AI1439" t="str">
        <f>IF(AH1439="","",MAX($AF$1:$AF1439))</f>
        <v/>
      </c>
      <c r="AJ1439" t="str">
        <f t="shared" si="90"/>
        <v/>
      </c>
      <c r="AK1439" t="str">
        <f>IF(AJ1439="","",MAX($AF$1:$AF1439))</f>
        <v/>
      </c>
      <c r="AL1439" t="str">
        <f t="shared" si="91"/>
        <v>GEOG</v>
      </c>
      <c r="AM1439">
        <f>IF(AL1439="","",MAX($AF$1:$AF1439))</f>
        <v>28</v>
      </c>
    </row>
    <row r="1440" spans="1:39" ht="13.5" customHeight="1" x14ac:dyDescent="0.3">
      <c r="A1440" s="8" t="s">
        <v>220</v>
      </c>
      <c r="B1440" s="9"/>
      <c r="C1440" s="10">
        <v>7</v>
      </c>
      <c r="D1440" s="11"/>
      <c r="AB1440" t="str" cm="1">
        <f t="array" ref="AB1440:AC1440">_xlfn._xlws.FILTER(A1440:Z1440,A1440:Z1440&lt;&gt;"","")</f>
        <v>HMSC</v>
      </c>
      <c r="AC1440">
        <v>7</v>
      </c>
      <c r="AD1440" t="str">
        <v/>
      </c>
      <c r="AE1440" t="str">
        <v/>
      </c>
      <c r="AF1440" t="str" cm="1">
        <f t="array" ref="AF1440">IF(AD1440="","",SUMPRODUCT(IF(LEFT($AD$1:AD1440,2)="JS",1,0)))</f>
        <v/>
      </c>
      <c r="AG1440" t="b">
        <f t="shared" si="88"/>
        <v>1</v>
      </c>
      <c r="AH1440" t="str">
        <f t="shared" si="89"/>
        <v/>
      </c>
      <c r="AI1440" t="str">
        <f>IF(AH1440="","",MAX($AF$1:$AF1440))</f>
        <v/>
      </c>
      <c r="AJ1440" t="str">
        <f t="shared" si="90"/>
        <v>HMSC</v>
      </c>
      <c r="AK1440">
        <f>IF(AJ1440="","",MAX($AF$1:$AF1440))</f>
        <v>28</v>
      </c>
      <c r="AL1440" t="str">
        <f t="shared" si="91"/>
        <v/>
      </c>
      <c r="AM1440" t="str">
        <f>IF(AL1440="","",MAX($AF$1:$AF1440))</f>
        <v/>
      </c>
    </row>
    <row r="1441" spans="1:39" ht="13.5" customHeight="1" x14ac:dyDescent="0.3">
      <c r="A1441" s="8" t="s">
        <v>221</v>
      </c>
      <c r="B1441" s="9"/>
      <c r="C1441" s="10">
        <v>5</v>
      </c>
      <c r="D1441" s="11"/>
      <c r="AB1441" t="str" cm="1">
        <f t="array" ref="AB1441:AC1441">_xlfn._xlws.FILTER(A1441:Z1441,A1441:Z1441&lt;&gt;"","")</f>
        <v>HIST</v>
      </c>
      <c r="AC1441">
        <v>5</v>
      </c>
      <c r="AD1441" t="str">
        <v/>
      </c>
      <c r="AE1441" t="str">
        <v/>
      </c>
      <c r="AF1441" t="str" cm="1">
        <f t="array" ref="AF1441">IF(AD1441="","",SUMPRODUCT(IF(LEFT($AD$1:AD1441,2)="JS",1,0)))</f>
        <v/>
      </c>
      <c r="AG1441" t="b">
        <f t="shared" si="88"/>
        <v>1</v>
      </c>
      <c r="AH1441" t="str">
        <f t="shared" si="89"/>
        <v/>
      </c>
      <c r="AI1441" t="str">
        <f>IF(AH1441="","",MAX($AF$1:$AF1441))</f>
        <v/>
      </c>
      <c r="AJ1441" t="str">
        <f t="shared" si="90"/>
        <v/>
      </c>
      <c r="AK1441" t="str">
        <f>IF(AJ1441="","",MAX($AF$1:$AF1441))</f>
        <v/>
      </c>
      <c r="AL1441" t="str">
        <f t="shared" si="91"/>
        <v>HIST</v>
      </c>
      <c r="AM1441">
        <f>IF(AL1441="","",MAX($AF$1:$AF1441))</f>
        <v>28</v>
      </c>
    </row>
    <row r="1442" spans="1:39" ht="13.5" customHeight="1" x14ac:dyDescent="0.3">
      <c r="A1442" s="8" t="s">
        <v>222</v>
      </c>
      <c r="B1442" s="9"/>
      <c r="C1442" s="10">
        <v>5</v>
      </c>
      <c r="D1442" s="11"/>
      <c r="AB1442" t="str" cm="1">
        <f t="array" ref="AB1442:AC1442">_xlfn._xlws.FILTER(A1442:Z1442,A1442:Z1442&lt;&gt;"","")</f>
        <v>ICT</v>
      </c>
      <c r="AC1442">
        <v>5</v>
      </c>
      <c r="AD1442" t="str">
        <v/>
      </c>
      <c r="AE1442" t="str">
        <v/>
      </c>
      <c r="AF1442" t="str" cm="1">
        <f t="array" ref="AF1442">IF(AD1442="","",SUMPRODUCT(IF(LEFT($AD$1:AD1442,2)="JS",1,0)))</f>
        <v/>
      </c>
      <c r="AG1442" t="b">
        <f t="shared" si="88"/>
        <v>1</v>
      </c>
      <c r="AH1442" t="str">
        <f t="shared" si="89"/>
        <v/>
      </c>
      <c r="AI1442" t="str">
        <f>IF(AH1442="","",MAX($AF$1:$AF1442))</f>
        <v/>
      </c>
      <c r="AJ1442" t="str">
        <f t="shared" si="90"/>
        <v/>
      </c>
      <c r="AK1442" t="str">
        <f>IF(AJ1442="","",MAX($AF$1:$AF1442))</f>
        <v/>
      </c>
      <c r="AL1442" t="str">
        <f t="shared" si="91"/>
        <v>ICT</v>
      </c>
      <c r="AM1442">
        <f>IF(AL1442="","",MAX($AF$1:$AF1442))</f>
        <v>28</v>
      </c>
    </row>
    <row r="1443" spans="1:39" ht="13.5" customHeight="1" x14ac:dyDescent="0.3">
      <c r="A1443" s="8" t="s">
        <v>13</v>
      </c>
      <c r="B1443" s="9"/>
      <c r="C1443" s="10">
        <v>7</v>
      </c>
      <c r="D1443" s="11"/>
      <c r="AB1443" t="str" cm="1">
        <f t="array" ref="AB1443:AC1443">_xlfn._xlws.FILTER(A1443:Z1443,A1443:Z1443&lt;&gt;"","")</f>
        <v>Integrated Science</v>
      </c>
      <c r="AC1443">
        <v>7</v>
      </c>
      <c r="AD1443" t="str">
        <v/>
      </c>
      <c r="AE1443" t="str">
        <v/>
      </c>
      <c r="AF1443" t="str" cm="1">
        <f t="array" ref="AF1443">IF(AD1443="","",SUMPRODUCT(IF(LEFT($AD$1:AD1443,2)="JS",1,0)))</f>
        <v/>
      </c>
      <c r="AG1443" t="str">
        <f t="shared" si="88"/>
        <v/>
      </c>
      <c r="AH1443" t="str">
        <f t="shared" si="89"/>
        <v/>
      </c>
      <c r="AI1443" t="str">
        <f>IF(AH1443="","",MAX($AF$1:$AF1443))</f>
        <v/>
      </c>
      <c r="AJ1443" t="str">
        <f t="shared" si="90"/>
        <v/>
      </c>
      <c r="AK1443" t="str">
        <f>IF(AJ1443="","",MAX($AF$1:$AF1443))</f>
        <v/>
      </c>
      <c r="AL1443" t="str">
        <f t="shared" si="91"/>
        <v/>
      </c>
      <c r="AM1443" t="str">
        <f>IF(AL1443="","",MAX($AF$1:$AF1443))</f>
        <v/>
      </c>
    </row>
    <row r="1444" spans="1:39" ht="13.5" customHeight="1" x14ac:dyDescent="0.3">
      <c r="A1444" s="8" t="s">
        <v>223</v>
      </c>
      <c r="B1444" s="9"/>
      <c r="C1444" s="10">
        <v>7</v>
      </c>
      <c r="D1444" s="11"/>
      <c r="AB1444" t="str" cm="1">
        <f t="array" ref="AB1444:AC1444">_xlfn._xlws.FILTER(A1444:Z1444,A1444:Z1444&lt;&gt;"","")</f>
        <v>通</v>
      </c>
      <c r="AC1444">
        <v>7</v>
      </c>
      <c r="AD1444" t="str">
        <v/>
      </c>
      <c r="AE1444" t="str">
        <v/>
      </c>
      <c r="AF1444" t="str" cm="1">
        <f t="array" ref="AF1444">IF(AD1444="","",SUMPRODUCT(IF(LEFT($AD$1:AD1444,2)="JS",1,0)))</f>
        <v/>
      </c>
      <c r="AG1444" t="b">
        <f t="shared" si="88"/>
        <v>1</v>
      </c>
      <c r="AH1444" t="str">
        <f t="shared" si="89"/>
        <v/>
      </c>
      <c r="AI1444" t="str">
        <f>IF(AH1444="","",MAX($AF$1:$AF1444))</f>
        <v/>
      </c>
      <c r="AJ1444" t="str">
        <f t="shared" si="90"/>
        <v>通</v>
      </c>
      <c r="AK1444">
        <f>IF(AJ1444="","",MAX($AF$1:$AF1444))</f>
        <v>28</v>
      </c>
      <c r="AL1444" t="str">
        <f t="shared" si="91"/>
        <v/>
      </c>
      <c r="AM1444" t="str">
        <f>IF(AL1444="","",MAX($AF$1:$AF1444))</f>
        <v/>
      </c>
    </row>
    <row r="1445" spans="1:39" ht="13.5" customHeight="1" x14ac:dyDescent="0.3">
      <c r="A1445" s="8" t="s">
        <v>14</v>
      </c>
      <c r="B1445" s="9"/>
      <c r="C1445" s="10">
        <v>5</v>
      </c>
      <c r="D1445" s="11"/>
      <c r="AB1445" t="str" cm="1">
        <f t="array" ref="AB1445:AC1445">_xlfn._xlws.FILTER(A1445:Z1445,A1445:Z1445&lt;&gt;"","")</f>
        <v>Literature in English</v>
      </c>
      <c r="AC1445">
        <v>5</v>
      </c>
      <c r="AD1445" t="str">
        <v/>
      </c>
      <c r="AE1445" t="str">
        <v/>
      </c>
      <c r="AF1445" t="str" cm="1">
        <f t="array" ref="AF1445">IF(AD1445="","",SUMPRODUCT(IF(LEFT($AD$1:AD1445,2)="JS",1,0)))</f>
        <v/>
      </c>
      <c r="AG1445" t="str">
        <f t="shared" si="88"/>
        <v/>
      </c>
      <c r="AH1445" t="str">
        <f t="shared" si="89"/>
        <v/>
      </c>
      <c r="AI1445" t="str">
        <f>IF(AH1445="","",MAX($AF$1:$AF1445))</f>
        <v/>
      </c>
      <c r="AJ1445" t="str">
        <f t="shared" si="90"/>
        <v/>
      </c>
      <c r="AK1445" t="str">
        <f>IF(AJ1445="","",MAX($AF$1:$AF1445))</f>
        <v/>
      </c>
      <c r="AL1445" t="str">
        <f t="shared" si="91"/>
        <v/>
      </c>
      <c r="AM1445" t="str">
        <f>IF(AL1445="","",MAX($AF$1:$AF1445))</f>
        <v/>
      </c>
    </row>
    <row r="1446" spans="1:39" ht="13.5" customHeight="1" x14ac:dyDescent="0.3">
      <c r="A1446" s="8" t="s">
        <v>224</v>
      </c>
      <c r="B1446" s="9"/>
      <c r="C1446" s="10">
        <v>7</v>
      </c>
      <c r="D1446" s="11"/>
      <c r="AB1446" t="str" cm="1">
        <f t="array" ref="AB1446:AC1446">_xlfn._xlws.FILTER(A1446:Z1446,A1446:Z1446&lt;&gt;"","")</f>
        <v>MATH</v>
      </c>
      <c r="AC1446">
        <v>7</v>
      </c>
      <c r="AD1446" t="str">
        <v/>
      </c>
      <c r="AE1446" t="str">
        <v/>
      </c>
      <c r="AF1446" t="str" cm="1">
        <f t="array" ref="AF1446">IF(AD1446="","",SUMPRODUCT(IF(LEFT($AD$1:AD1446,2)="JS",1,0)))</f>
        <v/>
      </c>
      <c r="AG1446" t="b">
        <f t="shared" si="88"/>
        <v>1</v>
      </c>
      <c r="AH1446" t="str">
        <f t="shared" si="89"/>
        <v/>
      </c>
      <c r="AI1446" t="str">
        <f>IF(AH1446="","",MAX($AF$1:$AF1446))</f>
        <v/>
      </c>
      <c r="AJ1446" t="str">
        <f t="shared" si="90"/>
        <v>MATH</v>
      </c>
      <c r="AK1446">
        <f>IF(AJ1446="","",MAX($AF$1:$AF1446))</f>
        <v>28</v>
      </c>
      <c r="AL1446" t="str">
        <f t="shared" si="91"/>
        <v/>
      </c>
      <c r="AM1446" t="str">
        <f>IF(AL1446="","",MAX($AF$1:$AF1446))</f>
        <v/>
      </c>
    </row>
    <row r="1447" spans="1:39" ht="13.5" customHeight="1" x14ac:dyDescent="0.3">
      <c r="A1447" s="8" t="s">
        <v>225</v>
      </c>
      <c r="B1447" s="9"/>
      <c r="C1447" s="10">
        <v>5</v>
      </c>
      <c r="D1447" s="11"/>
      <c r="AB1447" t="str" cm="1">
        <f t="array" ref="AB1447:AC1447">_xlfn._xlws.FILTER(A1447:Z1447,A1447:Z1447&lt;&gt;"","")</f>
        <v>M2</v>
      </c>
      <c r="AC1447">
        <v>5</v>
      </c>
      <c r="AD1447" t="str">
        <v/>
      </c>
      <c r="AE1447" t="str">
        <v/>
      </c>
      <c r="AF1447" t="str" cm="1">
        <f t="array" ref="AF1447">IF(AD1447="","",SUMPRODUCT(IF(LEFT($AD$1:AD1447,2)="JS",1,0)))</f>
        <v/>
      </c>
      <c r="AG1447" t="b">
        <f t="shared" si="88"/>
        <v>1</v>
      </c>
      <c r="AH1447" t="str">
        <f t="shared" si="89"/>
        <v/>
      </c>
      <c r="AI1447" t="str">
        <f>IF(AH1447="","",MAX($AF$1:$AF1447))</f>
        <v/>
      </c>
      <c r="AJ1447" t="str">
        <f t="shared" si="90"/>
        <v/>
      </c>
      <c r="AK1447" t="str">
        <f>IF(AJ1447="","",MAX($AF$1:$AF1447))</f>
        <v/>
      </c>
      <c r="AL1447" t="str">
        <f t="shared" si="91"/>
        <v>M2</v>
      </c>
      <c r="AM1447">
        <f>IF(AL1447="","",MAX($AF$1:$AF1447))</f>
        <v>28</v>
      </c>
    </row>
    <row r="1448" spans="1:39" ht="13.5" customHeight="1" x14ac:dyDescent="0.3">
      <c r="A1448" s="8" t="s">
        <v>15</v>
      </c>
      <c r="B1448" s="9"/>
      <c r="C1448" s="10">
        <v>5</v>
      </c>
      <c r="D1448" s="11"/>
      <c r="AB1448" t="str" cm="1">
        <f t="array" ref="AB1448:AC1448">_xlfn._xlws.FILTER(A1448:Z1448,A1448:Z1448&lt;&gt;"","")</f>
        <v>Mathematics (Extended part - Calculus and Statistics)</v>
      </c>
      <c r="AC1448">
        <v>5</v>
      </c>
      <c r="AD1448" t="str">
        <v/>
      </c>
      <c r="AE1448" t="str">
        <v/>
      </c>
      <c r="AF1448" t="str" cm="1">
        <f t="array" ref="AF1448">IF(AD1448="","",SUMPRODUCT(IF(LEFT($AD$1:AD1448,2)="JS",1,0)))</f>
        <v/>
      </c>
      <c r="AG1448" t="str">
        <f t="shared" si="88"/>
        <v/>
      </c>
      <c r="AH1448" t="str">
        <f t="shared" si="89"/>
        <v/>
      </c>
      <c r="AI1448" t="str">
        <f>IF(AH1448="","",MAX($AF$1:$AF1448))</f>
        <v/>
      </c>
      <c r="AJ1448" t="str">
        <f t="shared" si="90"/>
        <v/>
      </c>
      <c r="AK1448" t="str">
        <f>IF(AJ1448="","",MAX($AF$1:$AF1448))</f>
        <v/>
      </c>
      <c r="AL1448" t="str">
        <f t="shared" si="91"/>
        <v/>
      </c>
      <c r="AM1448" t="str">
        <f>IF(AL1448="","",MAX($AF$1:$AF1448))</f>
        <v/>
      </c>
    </row>
    <row r="1449" spans="1:39" ht="13.5" customHeight="1" x14ac:dyDescent="0.3">
      <c r="A1449" s="8" t="s">
        <v>16</v>
      </c>
      <c r="B1449" s="9"/>
      <c r="C1449" s="10">
        <v>5</v>
      </c>
      <c r="D1449" s="11"/>
      <c r="AB1449" t="str" cm="1">
        <f t="array" ref="AB1449:AC1449">_xlfn._xlws.FILTER(A1449:Z1449,A1449:Z1449&lt;&gt;"","")</f>
        <v>Music</v>
      </c>
      <c r="AC1449">
        <v>5</v>
      </c>
      <c r="AD1449" t="str">
        <v/>
      </c>
      <c r="AE1449" t="str">
        <v/>
      </c>
      <c r="AF1449" t="str" cm="1">
        <f t="array" ref="AF1449">IF(AD1449="","",SUMPRODUCT(IF(LEFT($AD$1:AD1449,2)="JS",1,0)))</f>
        <v/>
      </c>
      <c r="AG1449" t="str">
        <f t="shared" si="88"/>
        <v/>
      </c>
      <c r="AH1449" t="str">
        <f t="shared" si="89"/>
        <v/>
      </c>
      <c r="AI1449" t="str">
        <f>IF(AH1449="","",MAX($AF$1:$AF1449))</f>
        <v/>
      </c>
      <c r="AJ1449" t="str">
        <f t="shared" si="90"/>
        <v/>
      </c>
      <c r="AK1449" t="str">
        <f>IF(AJ1449="","",MAX($AF$1:$AF1449))</f>
        <v/>
      </c>
      <c r="AL1449" t="str">
        <f t="shared" si="91"/>
        <v/>
      </c>
      <c r="AM1449" t="str">
        <f>IF(AL1449="","",MAX($AF$1:$AF1449))</f>
        <v/>
      </c>
    </row>
    <row r="1450" spans="1:39" ht="13.5" customHeight="1" x14ac:dyDescent="0.3">
      <c r="A1450" s="8" t="s">
        <v>17</v>
      </c>
      <c r="B1450" s="9"/>
      <c r="C1450" s="10">
        <v>7</v>
      </c>
      <c r="D1450" s="11"/>
      <c r="AB1450" t="str" cm="1">
        <f t="array" ref="AB1450:AC1450">_xlfn._xlws.FILTER(A1450:Z1450,A1450:Z1450&lt;&gt;"","")</f>
        <v>Physical Education</v>
      </c>
      <c r="AC1450">
        <v>7</v>
      </c>
      <c r="AD1450" t="str">
        <v/>
      </c>
      <c r="AE1450" t="str">
        <v/>
      </c>
      <c r="AF1450" t="str" cm="1">
        <f t="array" ref="AF1450">IF(AD1450="","",SUMPRODUCT(IF(LEFT($AD$1:AD1450,2)="JS",1,0)))</f>
        <v/>
      </c>
      <c r="AG1450" t="str">
        <f t="shared" si="88"/>
        <v/>
      </c>
      <c r="AH1450" t="str">
        <f t="shared" si="89"/>
        <v/>
      </c>
      <c r="AI1450" t="str">
        <f>IF(AH1450="","",MAX($AF$1:$AF1450))</f>
        <v/>
      </c>
      <c r="AJ1450" t="str">
        <f t="shared" si="90"/>
        <v/>
      </c>
      <c r="AK1450" t="str">
        <f>IF(AJ1450="","",MAX($AF$1:$AF1450))</f>
        <v/>
      </c>
      <c r="AL1450" t="str">
        <f t="shared" si="91"/>
        <v/>
      </c>
      <c r="AM1450" t="str">
        <f>IF(AL1450="","",MAX($AF$1:$AF1450))</f>
        <v/>
      </c>
    </row>
    <row r="1451" spans="1:39" ht="13.5" customHeight="1" x14ac:dyDescent="0.3">
      <c r="A1451" s="8" t="s">
        <v>226</v>
      </c>
      <c r="B1451" s="9"/>
      <c r="C1451" s="10">
        <v>10</v>
      </c>
      <c r="D1451" s="11"/>
      <c r="AB1451" t="str" cm="1">
        <f t="array" ref="AB1451:AC1451">_xlfn._xlws.FILTER(A1451:Z1451,A1451:Z1451&lt;&gt;"","")</f>
        <v>PHY</v>
      </c>
      <c r="AC1451">
        <v>10</v>
      </c>
      <c r="AD1451" t="str">
        <v/>
      </c>
      <c r="AE1451" t="str">
        <v/>
      </c>
      <c r="AF1451" t="str" cm="1">
        <f t="array" ref="AF1451">IF(AD1451="","",SUMPRODUCT(IF(LEFT($AD$1:AD1451,2)="JS",1,0)))</f>
        <v/>
      </c>
      <c r="AG1451" t="b">
        <f t="shared" si="88"/>
        <v>1</v>
      </c>
      <c r="AH1451" t="str">
        <f t="shared" si="89"/>
        <v>PHY</v>
      </c>
      <c r="AI1451">
        <f>IF(AH1451="","",MAX($AF$1:$AF1451))</f>
        <v>28</v>
      </c>
      <c r="AJ1451" t="str">
        <f t="shared" si="90"/>
        <v/>
      </c>
      <c r="AK1451" t="str">
        <f>IF(AJ1451="","",MAX($AF$1:$AF1451))</f>
        <v/>
      </c>
      <c r="AL1451" t="str">
        <f t="shared" si="91"/>
        <v/>
      </c>
      <c r="AM1451" t="str">
        <f>IF(AL1451="","",MAX($AF$1:$AF1451))</f>
        <v/>
      </c>
    </row>
    <row r="1452" spans="1:39" ht="13.5" customHeight="1" x14ac:dyDescent="0.3">
      <c r="A1452" s="8" t="s">
        <v>18</v>
      </c>
      <c r="B1452" s="9"/>
      <c r="C1452" s="10">
        <v>5</v>
      </c>
      <c r="D1452" s="11"/>
      <c r="AB1452" t="str" cm="1">
        <f t="array" ref="AB1452:AC1452">_xlfn._xlws.FILTER(A1452:Z1452,A1452:Z1452&lt;&gt;"","")</f>
        <v>Technology and Living (Fashion, Clothing and Textiles)</v>
      </c>
      <c r="AC1452">
        <v>5</v>
      </c>
      <c r="AD1452" t="str">
        <v/>
      </c>
      <c r="AE1452" t="str">
        <v/>
      </c>
      <c r="AF1452" t="str" cm="1">
        <f t="array" ref="AF1452">IF(AD1452="","",SUMPRODUCT(IF(LEFT($AD$1:AD1452,2)="JS",1,0)))</f>
        <v/>
      </c>
      <c r="AG1452" t="str">
        <f t="shared" si="88"/>
        <v/>
      </c>
      <c r="AH1452" t="str">
        <f t="shared" si="89"/>
        <v/>
      </c>
      <c r="AI1452" t="str">
        <f>IF(AH1452="","",MAX($AF$1:$AF1452))</f>
        <v/>
      </c>
      <c r="AJ1452" t="str">
        <f t="shared" si="90"/>
        <v/>
      </c>
      <c r="AK1452" t="str">
        <f>IF(AJ1452="","",MAX($AF$1:$AF1452))</f>
        <v/>
      </c>
      <c r="AL1452" t="str">
        <f t="shared" si="91"/>
        <v/>
      </c>
      <c r="AM1452" t="str">
        <f>IF(AL1452="","",MAX($AF$1:$AF1452))</f>
        <v/>
      </c>
    </row>
    <row r="1453" spans="1:39" ht="13.5" customHeight="1" x14ac:dyDescent="0.3">
      <c r="A1453" s="8" t="s">
        <v>19</v>
      </c>
      <c r="B1453" s="9"/>
      <c r="C1453" s="10">
        <v>5</v>
      </c>
      <c r="D1453" s="11"/>
      <c r="AB1453" t="str" cm="1">
        <f t="array" ref="AB1453:AC1453">_xlfn._xlws.FILTER(A1453:Z1453,A1453:Z1453&lt;&gt;"","")</f>
        <v>Technology and Living (Food Science and Technology)</v>
      </c>
      <c r="AC1453">
        <v>5</v>
      </c>
      <c r="AD1453" t="str">
        <v/>
      </c>
      <c r="AE1453" t="str">
        <v/>
      </c>
      <c r="AF1453" t="str" cm="1">
        <f t="array" ref="AF1453">IF(AD1453="","",SUMPRODUCT(IF(LEFT($AD$1:AD1453,2)="JS",1,0)))</f>
        <v/>
      </c>
      <c r="AG1453" t="str">
        <f t="shared" si="88"/>
        <v/>
      </c>
      <c r="AH1453" t="str">
        <f t="shared" si="89"/>
        <v/>
      </c>
      <c r="AI1453" t="str">
        <f>IF(AH1453="","",MAX($AF$1:$AF1453))</f>
        <v/>
      </c>
      <c r="AJ1453" t="str">
        <f t="shared" si="90"/>
        <v/>
      </c>
      <c r="AK1453" t="str">
        <f>IF(AJ1453="","",MAX($AF$1:$AF1453))</f>
        <v/>
      </c>
      <c r="AL1453" t="str">
        <f t="shared" si="91"/>
        <v/>
      </c>
      <c r="AM1453" t="str">
        <f>IF(AL1453="","",MAX($AF$1:$AF1453))</f>
        <v/>
      </c>
    </row>
    <row r="1454" spans="1:39" ht="13.5" customHeight="1" x14ac:dyDescent="0.3">
      <c r="A1454" s="8" t="s">
        <v>20</v>
      </c>
      <c r="B1454" s="9"/>
      <c r="C1454" s="10">
        <v>5</v>
      </c>
      <c r="D1454" s="11"/>
      <c r="AB1454" t="str" cm="1">
        <f t="array" ref="AB1454:AC1454">_xlfn._xlws.FILTER(A1454:Z1454,A1454:Z1454&lt;&gt;"","")</f>
        <v>Tourism and Hospitality Studies</v>
      </c>
      <c r="AC1454">
        <v>5</v>
      </c>
      <c r="AD1454" t="str">
        <v/>
      </c>
      <c r="AE1454" t="str">
        <v/>
      </c>
      <c r="AF1454" t="str" cm="1">
        <f t="array" ref="AF1454">IF(AD1454="","",SUMPRODUCT(IF(LEFT($AD$1:AD1454,2)="JS",1,0)))</f>
        <v/>
      </c>
      <c r="AG1454" t="str">
        <f t="shared" si="88"/>
        <v/>
      </c>
      <c r="AH1454" t="str">
        <f t="shared" si="89"/>
        <v/>
      </c>
      <c r="AI1454" t="str">
        <f>IF(AH1454="","",MAX($AF$1:$AF1454))</f>
        <v/>
      </c>
      <c r="AJ1454" t="str">
        <f t="shared" si="90"/>
        <v/>
      </c>
      <c r="AK1454" t="str">
        <f>IF(AJ1454="","",MAX($AF$1:$AF1454))</f>
        <v/>
      </c>
      <c r="AL1454" t="str">
        <f t="shared" si="91"/>
        <v/>
      </c>
      <c r="AM1454" t="str">
        <f>IF(AL1454="","",MAX($AF$1:$AF1454))</f>
        <v/>
      </c>
    </row>
    <row r="1455" spans="1:39" ht="13.5" customHeight="1" x14ac:dyDescent="0.3">
      <c r="A1455" s="8" t="s">
        <v>210</v>
      </c>
      <c r="B1455" s="9"/>
      <c r="C1455" s="10">
        <v>5</v>
      </c>
      <c r="D1455" s="11"/>
      <c r="AB1455" t="str" cm="1">
        <f t="array" ref="AB1455:AC1455">_xlfn._xlws.FILTER(A1455:Z1455,A1455:Z1455&lt;&gt;"","")</f>
        <v>VA</v>
      </c>
      <c r="AC1455">
        <v>5</v>
      </c>
      <c r="AD1455" t="str">
        <v/>
      </c>
      <c r="AE1455" t="str">
        <v/>
      </c>
      <c r="AF1455" t="str" cm="1">
        <f t="array" ref="AF1455">IF(AD1455="","",SUMPRODUCT(IF(LEFT($AD$1:AD1455,2)="JS",1,0)))</f>
        <v/>
      </c>
      <c r="AG1455" t="b">
        <f t="shared" si="88"/>
        <v>1</v>
      </c>
      <c r="AH1455" t="str">
        <f t="shared" si="89"/>
        <v/>
      </c>
      <c r="AI1455" t="str">
        <f>IF(AH1455="","",MAX($AF$1:$AF1455))</f>
        <v/>
      </c>
      <c r="AJ1455" t="str">
        <f t="shared" si="90"/>
        <v/>
      </c>
      <c r="AK1455" t="str">
        <f>IF(AJ1455="","",MAX($AF$1:$AF1455))</f>
        <v/>
      </c>
      <c r="AL1455" t="str">
        <f t="shared" si="91"/>
        <v>VA</v>
      </c>
      <c r="AM1455">
        <f>IF(AL1455="","",MAX($AF$1:$AF1455))</f>
        <v>28</v>
      </c>
    </row>
    <row r="1456" spans="1:39" ht="14.5" customHeight="1" x14ac:dyDescent="0.3">
      <c r="A1456" s="12"/>
      <c r="B1456" s="12"/>
      <c r="C1456" s="2"/>
      <c r="D1456" s="2"/>
      <c r="AB1456" t="str" cm="1">
        <f t="array" ref="AB1456">_xlfn._xlws.FILTER(A1456:Z1456,A1456:Z1456&lt;&gt;"","")</f>
        <v/>
      </c>
      <c r="AD1456" t="str">
        <v/>
      </c>
      <c r="AE1456" t="str">
        <v/>
      </c>
      <c r="AF1456" t="str" cm="1">
        <f t="array" ref="AF1456">IF(AD1456="","",SUMPRODUCT(IF(LEFT($AD$1:AD1456,2)="JS",1,0)))</f>
        <v/>
      </c>
      <c r="AG1456" t="str">
        <f t="shared" si="88"/>
        <v/>
      </c>
      <c r="AH1456" t="str">
        <f t="shared" si="89"/>
        <v/>
      </c>
      <c r="AI1456" t="str">
        <f>IF(AH1456="","",MAX($AF$1:$AF1456))</f>
        <v/>
      </c>
      <c r="AJ1456" t="str">
        <f t="shared" si="90"/>
        <v/>
      </c>
      <c r="AK1456" t="str">
        <f>IF(AJ1456="","",MAX($AF$1:$AF1456))</f>
        <v/>
      </c>
      <c r="AL1456" t="str">
        <f t="shared" si="91"/>
        <v/>
      </c>
      <c r="AM1456" t="str">
        <f>IF(AL1456="","",MAX($AF$1:$AF1456))</f>
        <v/>
      </c>
    </row>
    <row r="1457" spans="1:39" ht="13.5" customHeight="1" x14ac:dyDescent="0.3">
      <c r="A1457" s="13" t="s">
        <v>34</v>
      </c>
      <c r="B1457" s="13"/>
      <c r="C1457" s="13"/>
      <c r="D1457" s="13"/>
      <c r="AB1457" t="str" cm="1">
        <f t="array" ref="AB1457">_xlfn._xlws.FILTER(A1457:Z1457,A1457:Z1457&lt;&gt;"","")</f>
        <v>Category C: Other Language Subjects</v>
      </c>
      <c r="AD1457" t="str">
        <v/>
      </c>
      <c r="AE1457" t="str">
        <v/>
      </c>
      <c r="AF1457" t="str" cm="1">
        <f t="array" ref="AF1457">IF(AD1457="","",SUMPRODUCT(IF(LEFT($AD$1:AD1457,2)="JS",1,0)))</f>
        <v/>
      </c>
      <c r="AG1457" t="str">
        <f t="shared" si="88"/>
        <v/>
      </c>
      <c r="AH1457" t="str">
        <f t="shared" si="89"/>
        <v/>
      </c>
      <c r="AI1457" t="str">
        <f>IF(AH1457="","",MAX($AF$1:$AF1457))</f>
        <v/>
      </c>
      <c r="AJ1457" t="str">
        <f t="shared" si="90"/>
        <v/>
      </c>
      <c r="AK1457" t="str">
        <f>IF(AJ1457="","",MAX($AF$1:$AF1457))</f>
        <v/>
      </c>
      <c r="AL1457" t="str">
        <f t="shared" si="91"/>
        <v/>
      </c>
      <c r="AM1457" t="str">
        <f>IF(AL1457="","",MAX($AF$1:$AF1457))</f>
        <v/>
      </c>
    </row>
    <row r="1458" spans="1:39" ht="13.5" customHeight="1" x14ac:dyDescent="0.3">
      <c r="A1458" s="14" t="s">
        <v>3</v>
      </c>
      <c r="B1458" s="15"/>
      <c r="C1458" s="16" t="s">
        <v>4</v>
      </c>
      <c r="D1458" s="17"/>
      <c r="AB1458" t="str" cm="1">
        <f t="array" ref="AB1458:AC1458">_xlfn._xlws.FILTER(A1458:Z1458,A1458:Z1458&lt;&gt;"","")</f>
        <v>Subject Name</v>
      </c>
      <c r="AC1458" t="str">
        <v>Subject Weighting for 2023/24 Admission Exercise *</v>
      </c>
      <c r="AD1458" t="str">
        <v/>
      </c>
      <c r="AE1458" t="str">
        <v/>
      </c>
      <c r="AF1458" t="str" cm="1">
        <f t="array" ref="AF1458">IF(AD1458="","",SUMPRODUCT(IF(LEFT($AD$1:AD1458,2)="JS",1,0)))</f>
        <v/>
      </c>
      <c r="AG1458" t="str">
        <f t="shared" si="88"/>
        <v/>
      </c>
      <c r="AH1458" t="str">
        <f t="shared" si="89"/>
        <v/>
      </c>
      <c r="AI1458" t="str">
        <f>IF(AH1458="","",MAX($AF$1:$AF1458))</f>
        <v/>
      </c>
      <c r="AJ1458" t="str">
        <f t="shared" si="90"/>
        <v/>
      </c>
      <c r="AK1458" t="str">
        <f>IF(AJ1458="","",MAX($AF$1:$AF1458))</f>
        <v/>
      </c>
      <c r="AL1458" t="str">
        <f t="shared" si="91"/>
        <v/>
      </c>
      <c r="AM1458" t="str">
        <f>IF(AL1458="","",MAX($AF$1:$AF1458))</f>
        <v/>
      </c>
    </row>
    <row r="1459" spans="1:39" ht="13.5" customHeight="1" x14ac:dyDescent="0.3">
      <c r="A1459" s="8" t="s">
        <v>35</v>
      </c>
      <c r="B1459" s="9"/>
      <c r="C1459" s="10">
        <v>5</v>
      </c>
      <c r="D1459" s="11"/>
      <c r="AB1459" t="str" cm="1">
        <f t="array" ref="AB1459:AC1459">_xlfn._xlws.FILTER(A1459:Z1459,A1459:Z1459&lt;&gt;"","")</f>
        <v>French</v>
      </c>
      <c r="AC1459">
        <v>5</v>
      </c>
      <c r="AD1459" t="str">
        <v/>
      </c>
      <c r="AE1459" t="str">
        <v/>
      </c>
      <c r="AF1459" t="str" cm="1">
        <f t="array" ref="AF1459">IF(AD1459="","",SUMPRODUCT(IF(LEFT($AD$1:AD1459,2)="JS",1,0)))</f>
        <v/>
      </c>
      <c r="AG1459" t="str">
        <f t="shared" si="88"/>
        <v/>
      </c>
      <c r="AH1459" t="str">
        <f t="shared" si="89"/>
        <v/>
      </c>
      <c r="AI1459" t="str">
        <f>IF(AH1459="","",MAX($AF$1:$AF1459))</f>
        <v/>
      </c>
      <c r="AJ1459" t="str">
        <f t="shared" si="90"/>
        <v/>
      </c>
      <c r="AK1459" t="str">
        <f>IF(AJ1459="","",MAX($AF$1:$AF1459))</f>
        <v/>
      </c>
      <c r="AL1459" t="str">
        <f t="shared" si="91"/>
        <v/>
      </c>
      <c r="AM1459" t="str">
        <f>IF(AL1459="","",MAX($AF$1:$AF1459))</f>
        <v/>
      </c>
    </row>
    <row r="1460" spans="1:39" ht="13.5" customHeight="1" x14ac:dyDescent="0.3">
      <c r="A1460" s="8" t="s">
        <v>36</v>
      </c>
      <c r="B1460" s="9"/>
      <c r="C1460" s="10">
        <v>5</v>
      </c>
      <c r="D1460" s="11"/>
      <c r="AB1460" t="str" cm="1">
        <f t="array" ref="AB1460:AC1460">_xlfn._xlws.FILTER(A1460:Z1460,A1460:Z1460&lt;&gt;"","")</f>
        <v>German</v>
      </c>
      <c r="AC1460">
        <v>5</v>
      </c>
      <c r="AD1460" t="str">
        <v/>
      </c>
      <c r="AE1460" t="str">
        <v/>
      </c>
      <c r="AF1460" t="str" cm="1">
        <f t="array" ref="AF1460">IF(AD1460="","",SUMPRODUCT(IF(LEFT($AD$1:AD1460,2)="JS",1,0)))</f>
        <v/>
      </c>
      <c r="AG1460" t="str">
        <f t="shared" si="88"/>
        <v/>
      </c>
      <c r="AH1460" t="str">
        <f t="shared" si="89"/>
        <v/>
      </c>
      <c r="AI1460" t="str">
        <f>IF(AH1460="","",MAX($AF$1:$AF1460))</f>
        <v/>
      </c>
      <c r="AJ1460" t="str">
        <f t="shared" si="90"/>
        <v/>
      </c>
      <c r="AK1460" t="str">
        <f>IF(AJ1460="","",MAX($AF$1:$AF1460))</f>
        <v/>
      </c>
      <c r="AL1460" t="str">
        <f t="shared" si="91"/>
        <v/>
      </c>
      <c r="AM1460" t="str">
        <f>IF(AL1460="","",MAX($AF$1:$AF1460))</f>
        <v/>
      </c>
    </row>
    <row r="1461" spans="1:39" ht="13.5" customHeight="1" x14ac:dyDescent="0.3">
      <c r="A1461" s="8" t="s">
        <v>37</v>
      </c>
      <c r="B1461" s="9"/>
      <c r="C1461" s="10">
        <v>5</v>
      </c>
      <c r="D1461" s="11"/>
      <c r="AB1461" t="str" cm="1">
        <f t="array" ref="AB1461:AC1461">_xlfn._xlws.FILTER(A1461:Z1461,A1461:Z1461&lt;&gt;"","")</f>
        <v>Hindi</v>
      </c>
      <c r="AC1461">
        <v>5</v>
      </c>
      <c r="AD1461" t="str">
        <v/>
      </c>
      <c r="AE1461" t="str">
        <v/>
      </c>
      <c r="AF1461" t="str" cm="1">
        <f t="array" ref="AF1461">IF(AD1461="","",SUMPRODUCT(IF(LEFT($AD$1:AD1461,2)="JS",1,0)))</f>
        <v/>
      </c>
      <c r="AG1461" t="str">
        <f t="shared" si="88"/>
        <v/>
      </c>
      <c r="AH1461" t="str">
        <f t="shared" si="89"/>
        <v/>
      </c>
      <c r="AI1461" t="str">
        <f>IF(AH1461="","",MAX($AF$1:$AF1461))</f>
        <v/>
      </c>
      <c r="AJ1461" t="str">
        <f t="shared" si="90"/>
        <v/>
      </c>
      <c r="AK1461" t="str">
        <f>IF(AJ1461="","",MAX($AF$1:$AF1461))</f>
        <v/>
      </c>
      <c r="AL1461" t="str">
        <f t="shared" si="91"/>
        <v/>
      </c>
      <c r="AM1461" t="str">
        <f>IF(AL1461="","",MAX($AF$1:$AF1461))</f>
        <v/>
      </c>
    </row>
    <row r="1462" spans="1:39" ht="13.5" customHeight="1" x14ac:dyDescent="0.3">
      <c r="A1462" s="8" t="s">
        <v>38</v>
      </c>
      <c r="B1462" s="9"/>
      <c r="C1462" s="10">
        <v>5</v>
      </c>
      <c r="D1462" s="11"/>
      <c r="AB1462" t="str" cm="1">
        <f t="array" ref="AB1462:AC1462">_xlfn._xlws.FILTER(A1462:Z1462,A1462:Z1462&lt;&gt;"","")</f>
        <v>Japanese</v>
      </c>
      <c r="AC1462">
        <v>5</v>
      </c>
      <c r="AD1462" t="str">
        <v/>
      </c>
      <c r="AE1462" t="str">
        <v/>
      </c>
      <c r="AF1462" t="str" cm="1">
        <f t="array" ref="AF1462">IF(AD1462="","",SUMPRODUCT(IF(LEFT($AD$1:AD1462,2)="JS",1,0)))</f>
        <v/>
      </c>
      <c r="AG1462" t="str">
        <f t="shared" si="88"/>
        <v/>
      </c>
      <c r="AH1462" t="str">
        <f t="shared" si="89"/>
        <v/>
      </c>
      <c r="AI1462" t="str">
        <f>IF(AH1462="","",MAX($AF$1:$AF1462))</f>
        <v/>
      </c>
      <c r="AJ1462" t="str">
        <f t="shared" si="90"/>
        <v/>
      </c>
      <c r="AK1462" t="str">
        <f>IF(AJ1462="","",MAX($AF$1:$AF1462))</f>
        <v/>
      </c>
      <c r="AL1462" t="str">
        <f t="shared" si="91"/>
        <v/>
      </c>
      <c r="AM1462" t="str">
        <f>IF(AL1462="","",MAX($AF$1:$AF1462))</f>
        <v/>
      </c>
    </row>
    <row r="1463" spans="1:39" ht="13.5" customHeight="1" x14ac:dyDescent="0.3">
      <c r="A1463" s="8" t="s">
        <v>39</v>
      </c>
      <c r="B1463" s="9"/>
      <c r="C1463" s="10">
        <v>5</v>
      </c>
      <c r="D1463" s="11"/>
      <c r="AB1463" t="str" cm="1">
        <f t="array" ref="AB1463:AC1463">_xlfn._xlws.FILTER(A1463:Z1463,A1463:Z1463&lt;&gt;"","")</f>
        <v>Spanish</v>
      </c>
      <c r="AC1463">
        <v>5</v>
      </c>
      <c r="AD1463" t="str">
        <v/>
      </c>
      <c r="AE1463" t="str">
        <v/>
      </c>
      <c r="AF1463" t="str" cm="1">
        <f t="array" ref="AF1463">IF(AD1463="","",SUMPRODUCT(IF(LEFT($AD$1:AD1463,2)="JS",1,0)))</f>
        <v/>
      </c>
      <c r="AG1463" t="str">
        <f t="shared" si="88"/>
        <v/>
      </c>
      <c r="AH1463" t="str">
        <f t="shared" si="89"/>
        <v/>
      </c>
      <c r="AI1463" t="str">
        <f>IF(AH1463="","",MAX($AF$1:$AF1463))</f>
        <v/>
      </c>
      <c r="AJ1463" t="str">
        <f t="shared" si="90"/>
        <v/>
      </c>
      <c r="AK1463" t="str">
        <f>IF(AJ1463="","",MAX($AF$1:$AF1463))</f>
        <v/>
      </c>
      <c r="AL1463" t="str">
        <f t="shared" si="91"/>
        <v/>
      </c>
      <c r="AM1463" t="str">
        <f>IF(AL1463="","",MAX($AF$1:$AF1463))</f>
        <v/>
      </c>
    </row>
    <row r="1464" spans="1:39" ht="13.5" customHeight="1" x14ac:dyDescent="0.3">
      <c r="A1464" s="8" t="s">
        <v>40</v>
      </c>
      <c r="B1464" s="9"/>
      <c r="C1464" s="10">
        <v>5</v>
      </c>
      <c r="D1464" s="11"/>
      <c r="AB1464" t="str" cm="1">
        <f t="array" ref="AB1464:AC1464">_xlfn._xlws.FILTER(A1464:Z1464,A1464:Z1464&lt;&gt;"","")</f>
        <v>Urdu</v>
      </c>
      <c r="AC1464">
        <v>5</v>
      </c>
      <c r="AD1464" t="str">
        <v/>
      </c>
      <c r="AE1464" t="str">
        <v/>
      </c>
      <c r="AF1464" t="str" cm="1">
        <f t="array" ref="AF1464">IF(AD1464="","",SUMPRODUCT(IF(LEFT($AD$1:AD1464,2)="JS",1,0)))</f>
        <v/>
      </c>
      <c r="AG1464" t="str">
        <f t="shared" si="88"/>
        <v/>
      </c>
      <c r="AH1464" t="str">
        <f t="shared" si="89"/>
        <v/>
      </c>
      <c r="AI1464" t="str">
        <f>IF(AH1464="","",MAX($AF$1:$AF1464))</f>
        <v/>
      </c>
      <c r="AJ1464" t="str">
        <f t="shared" si="90"/>
        <v/>
      </c>
      <c r="AK1464" t="str">
        <f>IF(AJ1464="","",MAX($AF$1:$AF1464))</f>
        <v/>
      </c>
      <c r="AL1464" t="str">
        <f t="shared" si="91"/>
        <v/>
      </c>
      <c r="AM1464" t="str">
        <f>IF(AL1464="","",MAX($AF$1:$AF1464))</f>
        <v/>
      </c>
    </row>
    <row r="1465" spans="1:39" ht="15" customHeight="1" x14ac:dyDescent="0.3">
      <c r="A1465" s="18" t="s">
        <v>204</v>
      </c>
      <c r="B1465" s="18"/>
      <c r="C1465" s="18"/>
      <c r="D1465" s="1"/>
      <c r="AB1465" t="str" cm="1">
        <f t="array" ref="AB1465">_xlfn._xlws.FILTER(A1465:Z1465,A1465:Z1465&lt;&gt;"","")</f>
        <v>JUPAS Code: JS3648</v>
      </c>
      <c r="AD1465" t="str">
        <v>JS3648</v>
      </c>
      <c r="AE1465" t="str">
        <v/>
      </c>
      <c r="AF1465" cm="1">
        <f t="array" ref="AF1465">IF(AD1465="","",SUMPRODUCT(IF(LEFT($AD$1:AD1465,2)="JS",1,0)))</f>
        <v>29</v>
      </c>
      <c r="AG1465" t="str">
        <f t="shared" si="88"/>
        <v/>
      </c>
      <c r="AH1465" t="str">
        <f t="shared" si="89"/>
        <v/>
      </c>
      <c r="AI1465" t="str">
        <f>IF(AH1465="","",MAX($AF$1:$AF1465))</f>
        <v/>
      </c>
      <c r="AJ1465" t="str">
        <f t="shared" si="90"/>
        <v/>
      </c>
      <c r="AK1465" t="str">
        <f>IF(AJ1465="","",MAX($AF$1:$AF1465))</f>
        <v/>
      </c>
      <c r="AL1465" t="str">
        <f t="shared" si="91"/>
        <v/>
      </c>
      <c r="AM1465" t="str">
        <f>IF(AL1465="","",MAX($AF$1:$AF1465))</f>
        <v/>
      </c>
    </row>
    <row r="1466" spans="1:39" ht="13.5" customHeight="1" x14ac:dyDescent="0.3">
      <c r="A1466" s="18" t="s">
        <v>205</v>
      </c>
      <c r="B1466" s="18"/>
      <c r="C1466" s="18"/>
      <c r="D1466" s="1"/>
      <c r="AB1466" t="str" cm="1">
        <f t="array" ref="AB1466">_xlfn._xlws.FILTER(A1466:Z1466,A1466:Z1466&lt;&gt;"","")</f>
        <v>Programme Title: BSc (Hons) Scheme in Nursing - Nursing</v>
      </c>
      <c r="AD1466" t="str">
        <v/>
      </c>
      <c r="AE1466" t="str">
        <v>BSc (Hons) Scheme in Nursing - Nursing</v>
      </c>
      <c r="AF1466" t="str" cm="1">
        <f t="array" ref="AF1466">IF(AD1466="","",SUMPRODUCT(IF(LEFT($AD$1:AD1466,2)="JS",1,0)))</f>
        <v/>
      </c>
      <c r="AG1466" t="str">
        <f t="shared" si="88"/>
        <v/>
      </c>
      <c r="AH1466" t="str">
        <f t="shared" si="89"/>
        <v/>
      </c>
      <c r="AI1466" t="str">
        <f>IF(AH1466="","",MAX($AF$1:$AF1466))</f>
        <v/>
      </c>
      <c r="AJ1466" t="str">
        <f t="shared" si="90"/>
        <v/>
      </c>
      <c r="AK1466" t="str">
        <f>IF(AJ1466="","",MAX($AF$1:$AF1466))</f>
        <v/>
      </c>
      <c r="AL1466" t="str">
        <f t="shared" si="91"/>
        <v/>
      </c>
      <c r="AM1466" t="str">
        <f>IF(AL1466="","",MAX($AF$1:$AF1466))</f>
        <v/>
      </c>
    </row>
    <row r="1467" spans="1:39" ht="14.5" customHeight="1" x14ac:dyDescent="0.3">
      <c r="A1467" s="12"/>
      <c r="B1467" s="12"/>
      <c r="C1467" s="2"/>
      <c r="D1467" s="2"/>
      <c r="AB1467" t="str" cm="1">
        <f t="array" ref="AB1467">_xlfn._xlws.FILTER(A1467:Z1467,A1467:Z1467&lt;&gt;"","")</f>
        <v/>
      </c>
      <c r="AD1467" t="str">
        <v/>
      </c>
      <c r="AE1467" t="str">
        <v/>
      </c>
      <c r="AF1467" t="str" cm="1">
        <f t="array" ref="AF1467">IF(AD1467="","",SUMPRODUCT(IF(LEFT($AD$1:AD1467,2)="JS",1,0)))</f>
        <v/>
      </c>
      <c r="AG1467" t="str">
        <f t="shared" si="88"/>
        <v/>
      </c>
      <c r="AH1467" t="str">
        <f t="shared" si="89"/>
        <v/>
      </c>
      <c r="AI1467" t="str">
        <f>IF(AH1467="","",MAX($AF$1:$AF1467))</f>
        <v/>
      </c>
      <c r="AJ1467" t="str">
        <f t="shared" si="90"/>
        <v/>
      </c>
      <c r="AK1467" t="str">
        <f>IF(AJ1467="","",MAX($AF$1:$AF1467))</f>
        <v/>
      </c>
      <c r="AL1467" t="str">
        <f t="shared" si="91"/>
        <v/>
      </c>
      <c r="AM1467" t="str">
        <f>IF(AL1467="","",MAX($AF$1:$AF1467))</f>
        <v/>
      </c>
    </row>
    <row r="1468" spans="1:39" ht="13.5" customHeight="1" x14ac:dyDescent="0.3">
      <c r="A1468" s="13" t="s">
        <v>2</v>
      </c>
      <c r="B1468" s="13"/>
      <c r="C1468" s="13"/>
      <c r="D1468" s="13"/>
      <c r="AB1468" t="str" cm="1">
        <f t="array" ref="AB1468">_xlfn._xlws.FILTER(A1468:Z1468,A1468:Z1468&lt;&gt;"","")</f>
        <v>Category A: Core and Elective Subjects</v>
      </c>
      <c r="AD1468" t="str">
        <v/>
      </c>
      <c r="AE1468" t="str">
        <v/>
      </c>
      <c r="AF1468" t="str" cm="1">
        <f t="array" ref="AF1468">IF(AD1468="","",SUMPRODUCT(IF(LEFT($AD$1:AD1468,2)="JS",1,0)))</f>
        <v/>
      </c>
      <c r="AG1468" t="str">
        <f t="shared" si="88"/>
        <v/>
      </c>
      <c r="AH1468" t="str">
        <f t="shared" si="89"/>
        <v/>
      </c>
      <c r="AI1468" t="str">
        <f>IF(AH1468="","",MAX($AF$1:$AF1468))</f>
        <v/>
      </c>
      <c r="AJ1468" t="str">
        <f t="shared" si="90"/>
        <v/>
      </c>
      <c r="AK1468" t="str">
        <f>IF(AJ1468="","",MAX($AF$1:$AF1468))</f>
        <v/>
      </c>
      <c r="AL1468" t="str">
        <f t="shared" si="91"/>
        <v/>
      </c>
      <c r="AM1468" t="str">
        <f>IF(AL1468="","",MAX($AF$1:$AF1468))</f>
        <v/>
      </c>
    </row>
    <row r="1469" spans="1:39" ht="13.5" customHeight="1" x14ac:dyDescent="0.3">
      <c r="A1469" s="14" t="s">
        <v>3</v>
      </c>
      <c r="B1469" s="15"/>
      <c r="C1469" s="16" t="s">
        <v>4</v>
      </c>
      <c r="D1469" s="17"/>
      <c r="AB1469" t="str" cm="1">
        <f t="array" ref="AB1469:AC1469">_xlfn._xlws.FILTER(A1469:Z1469,A1469:Z1469&lt;&gt;"","")</f>
        <v>Subject Name</v>
      </c>
      <c r="AC1469" t="str">
        <v>Subject Weighting for 2023/24 Admission Exercise *</v>
      </c>
      <c r="AD1469" t="str">
        <v/>
      </c>
      <c r="AE1469" t="str">
        <v/>
      </c>
      <c r="AF1469" t="str" cm="1">
        <f t="array" ref="AF1469">IF(AD1469="","",SUMPRODUCT(IF(LEFT($AD$1:AD1469,2)="JS",1,0)))</f>
        <v/>
      </c>
      <c r="AG1469" t="str">
        <f t="shared" si="88"/>
        <v/>
      </c>
      <c r="AH1469" t="str">
        <f t="shared" si="89"/>
        <v/>
      </c>
      <c r="AI1469" t="str">
        <f>IF(AH1469="","",MAX($AF$1:$AF1469))</f>
        <v/>
      </c>
      <c r="AJ1469" t="str">
        <f t="shared" si="90"/>
        <v/>
      </c>
      <c r="AK1469" t="str">
        <f>IF(AJ1469="","",MAX($AF$1:$AF1469))</f>
        <v/>
      </c>
      <c r="AL1469" t="str">
        <f t="shared" si="91"/>
        <v/>
      </c>
      <c r="AM1469" t="str">
        <f>IF(AL1469="","",MAX($AF$1:$AF1469))</f>
        <v/>
      </c>
    </row>
    <row r="1470" spans="1:39" ht="13.5" customHeight="1" x14ac:dyDescent="0.3">
      <c r="A1470" s="8" t="s">
        <v>211</v>
      </c>
      <c r="B1470" s="9"/>
      <c r="C1470" s="10">
        <v>10</v>
      </c>
      <c r="D1470" s="11"/>
      <c r="AB1470" t="str" cm="1">
        <f t="array" ref="AB1470:AC1470">_xlfn._xlws.FILTER(A1470:Z1470,A1470:Z1470&lt;&gt;"","")</f>
        <v>BIO</v>
      </c>
      <c r="AC1470">
        <v>10</v>
      </c>
      <c r="AD1470" t="str">
        <v/>
      </c>
      <c r="AE1470" t="str">
        <v/>
      </c>
      <c r="AF1470" t="str" cm="1">
        <f t="array" ref="AF1470">IF(AD1470="","",SUMPRODUCT(IF(LEFT($AD$1:AD1470,2)="JS",1,0)))</f>
        <v/>
      </c>
      <c r="AG1470" t="b">
        <f t="shared" si="88"/>
        <v>1</v>
      </c>
      <c r="AH1470" t="str">
        <f t="shared" si="89"/>
        <v>BIO</v>
      </c>
      <c r="AI1470">
        <f>IF(AH1470="","",MAX($AF$1:$AF1470))</f>
        <v>29</v>
      </c>
      <c r="AJ1470" t="str">
        <f t="shared" si="90"/>
        <v/>
      </c>
      <c r="AK1470" t="str">
        <f>IF(AJ1470="","",MAX($AF$1:$AF1470))</f>
        <v/>
      </c>
      <c r="AL1470" t="str">
        <f t="shared" si="91"/>
        <v/>
      </c>
      <c r="AM1470" t="str">
        <f>IF(AL1470="","",MAX($AF$1:$AF1470))</f>
        <v/>
      </c>
    </row>
    <row r="1471" spans="1:39" ht="13.5" customHeight="1" x14ac:dyDescent="0.3">
      <c r="A1471" s="8" t="s">
        <v>213</v>
      </c>
      <c r="B1471" s="9"/>
      <c r="C1471" s="10">
        <v>7</v>
      </c>
      <c r="D1471" s="11"/>
      <c r="AB1471" t="str" cm="1">
        <f t="array" ref="AB1471:AC1471">_xlfn._xlws.FILTER(A1471:Z1471,A1471:Z1471&lt;&gt;"","")</f>
        <v>BAFS</v>
      </c>
      <c r="AC1471">
        <v>7</v>
      </c>
      <c r="AD1471" t="str">
        <v/>
      </c>
      <c r="AE1471" t="str">
        <v/>
      </c>
      <c r="AF1471" t="str" cm="1">
        <f t="array" ref="AF1471">IF(AD1471="","",SUMPRODUCT(IF(LEFT($AD$1:AD1471,2)="JS",1,0)))</f>
        <v/>
      </c>
      <c r="AG1471" t="b">
        <f t="shared" si="88"/>
        <v>1</v>
      </c>
      <c r="AH1471" t="str">
        <f t="shared" si="89"/>
        <v/>
      </c>
      <c r="AI1471" t="str">
        <f>IF(AH1471="","",MAX($AF$1:$AF1471))</f>
        <v/>
      </c>
      <c r="AJ1471" t="str">
        <f t="shared" si="90"/>
        <v>BAFS</v>
      </c>
      <c r="AK1471">
        <f>IF(AJ1471="","",MAX($AF$1:$AF1471))</f>
        <v>29</v>
      </c>
      <c r="AL1471" t="str">
        <f t="shared" si="91"/>
        <v/>
      </c>
      <c r="AM1471" t="str">
        <f>IF(AL1471="","",MAX($AF$1:$AF1471))</f>
        <v/>
      </c>
    </row>
    <row r="1472" spans="1:39" ht="13.5" customHeight="1" x14ac:dyDescent="0.3">
      <c r="A1472" s="8" t="s">
        <v>5</v>
      </c>
      <c r="B1472" s="9"/>
      <c r="C1472" s="10">
        <v>7</v>
      </c>
      <c r="D1472" s="11"/>
      <c r="AB1472" t="str" cm="1">
        <f t="array" ref="AB1472:AC1472">_xlfn._xlws.FILTER(A1472:Z1472,A1472:Z1472&lt;&gt;"","")</f>
        <v>Business, Accounting and Financial Studies (Accounting)</v>
      </c>
      <c r="AC1472">
        <v>7</v>
      </c>
      <c r="AD1472" t="str">
        <v/>
      </c>
      <c r="AE1472" t="str">
        <v/>
      </c>
      <c r="AF1472" t="str" cm="1">
        <f t="array" ref="AF1472">IF(AD1472="","",SUMPRODUCT(IF(LEFT($AD$1:AD1472,2)="JS",1,0)))</f>
        <v/>
      </c>
      <c r="AG1472" t="str">
        <f t="shared" si="88"/>
        <v/>
      </c>
      <c r="AH1472" t="str">
        <f t="shared" si="89"/>
        <v/>
      </c>
      <c r="AI1472" t="str">
        <f>IF(AH1472="","",MAX($AF$1:$AF1472))</f>
        <v/>
      </c>
      <c r="AJ1472" t="str">
        <f t="shared" si="90"/>
        <v/>
      </c>
      <c r="AK1472" t="str">
        <f>IF(AJ1472="","",MAX($AF$1:$AF1472))</f>
        <v/>
      </c>
      <c r="AL1472" t="str">
        <f t="shared" si="91"/>
        <v/>
      </c>
      <c r="AM1472" t="str">
        <f>IF(AL1472="","",MAX($AF$1:$AF1472))</f>
        <v/>
      </c>
    </row>
    <row r="1473" spans="1:39" ht="13.5" customHeight="1" x14ac:dyDescent="0.3">
      <c r="A1473" s="8" t="s">
        <v>6</v>
      </c>
      <c r="B1473" s="9"/>
      <c r="C1473" s="10">
        <v>7</v>
      </c>
      <c r="D1473" s="11"/>
      <c r="AB1473" t="str" cm="1">
        <f t="array" ref="AB1473:AC1473">_xlfn._xlws.FILTER(A1473:Z1473,A1473:Z1473&lt;&gt;"","")</f>
        <v>Business, Accounting and Financial Studies (Business Management)</v>
      </c>
      <c r="AC1473">
        <v>7</v>
      </c>
      <c r="AD1473" t="str">
        <v/>
      </c>
      <c r="AE1473" t="str">
        <v/>
      </c>
      <c r="AF1473" t="str" cm="1">
        <f t="array" ref="AF1473">IF(AD1473="","",SUMPRODUCT(IF(LEFT($AD$1:AD1473,2)="JS",1,0)))</f>
        <v/>
      </c>
      <c r="AG1473" t="str">
        <f t="shared" ref="AG1473:AG1536" si="92">IF(ISNUMBER(MATCH(AB1473,$AV$3:$AV$18,0)),TRUE,"")</f>
        <v/>
      </c>
      <c r="AH1473" t="str">
        <f t="shared" si="89"/>
        <v/>
      </c>
      <c r="AI1473" t="str">
        <f>IF(AH1473="","",MAX($AF$1:$AF1473))</f>
        <v/>
      </c>
      <c r="AJ1473" t="str">
        <f t="shared" si="90"/>
        <v/>
      </c>
      <c r="AK1473" t="str">
        <f>IF(AJ1473="","",MAX($AF$1:$AF1473))</f>
        <v/>
      </c>
      <c r="AL1473" t="str">
        <f t="shared" si="91"/>
        <v/>
      </c>
      <c r="AM1473" t="str">
        <f>IF(AL1473="","",MAX($AF$1:$AF1473))</f>
        <v/>
      </c>
    </row>
    <row r="1474" spans="1:39" ht="13.5" customHeight="1" x14ac:dyDescent="0.3">
      <c r="A1474" s="8" t="s">
        <v>212</v>
      </c>
      <c r="B1474" s="9"/>
      <c r="C1474" s="10">
        <v>7</v>
      </c>
      <c r="D1474" s="11"/>
      <c r="AB1474" t="str" cm="1">
        <f t="array" ref="AB1474:AC1474">_xlfn._xlws.FILTER(A1474:Z1474,A1474:Z1474&lt;&gt;"","")</f>
        <v>CHEM</v>
      </c>
      <c r="AC1474">
        <v>7</v>
      </c>
      <c r="AD1474" t="str">
        <v/>
      </c>
      <c r="AE1474" t="str">
        <v/>
      </c>
      <c r="AF1474" t="str" cm="1">
        <f t="array" ref="AF1474">IF(AD1474="","",SUMPRODUCT(IF(LEFT($AD$1:AD1474,2)="JS",1,0)))</f>
        <v/>
      </c>
      <c r="AG1474" t="b">
        <f t="shared" si="92"/>
        <v>1</v>
      </c>
      <c r="AH1474" t="str">
        <f t="shared" ref="AH1474:AH1537" si="93">IF(AND(AC1474=10,AG1474=TRUE),AB1474,"")</f>
        <v/>
      </c>
      <c r="AI1474" t="str">
        <f>IF(AH1474="","",MAX($AF$1:$AF1474))</f>
        <v/>
      </c>
      <c r="AJ1474" t="str">
        <f t="shared" ref="AJ1474:AJ1537" si="94">IF(AND(AC1474=7,AG1474=TRUE),AB1474,"")</f>
        <v>CHEM</v>
      </c>
      <c r="AK1474">
        <f>IF(AJ1474="","",MAX($AF$1:$AF1474))</f>
        <v>29</v>
      </c>
      <c r="AL1474" t="str">
        <f t="shared" ref="AL1474:AL1537" si="95">IF(AND(AC1474=5,AG1474=TRUE),AB1474,"")</f>
        <v/>
      </c>
      <c r="AM1474" t="str">
        <f>IF(AL1474="","",MAX($AF$1:$AF1474))</f>
        <v/>
      </c>
    </row>
    <row r="1475" spans="1:39" ht="13.5" customHeight="1" x14ac:dyDescent="0.3">
      <c r="A1475" s="8" t="s">
        <v>214</v>
      </c>
      <c r="B1475" s="9"/>
      <c r="C1475" s="10">
        <v>7</v>
      </c>
      <c r="D1475" s="11"/>
      <c r="AB1475" t="str" cm="1">
        <f t="array" ref="AB1475:AC1475">_xlfn._xlws.FILTER(A1475:Z1475,A1475:Z1475&lt;&gt;"","")</f>
        <v>中史</v>
      </c>
      <c r="AC1475">
        <v>7</v>
      </c>
      <c r="AD1475" t="str">
        <v/>
      </c>
      <c r="AE1475" t="str">
        <v/>
      </c>
      <c r="AF1475" t="str" cm="1">
        <f t="array" ref="AF1475">IF(AD1475="","",SUMPRODUCT(IF(LEFT($AD$1:AD1475,2)="JS",1,0)))</f>
        <v/>
      </c>
      <c r="AG1475" t="b">
        <f t="shared" si="92"/>
        <v>1</v>
      </c>
      <c r="AH1475" t="str">
        <f t="shared" si="93"/>
        <v/>
      </c>
      <c r="AI1475" t="str">
        <f>IF(AH1475="","",MAX($AF$1:$AF1475))</f>
        <v/>
      </c>
      <c r="AJ1475" t="str">
        <f t="shared" si="94"/>
        <v>中史</v>
      </c>
      <c r="AK1475">
        <f>IF(AJ1475="","",MAX($AF$1:$AF1475))</f>
        <v>29</v>
      </c>
      <c r="AL1475" t="str">
        <f t="shared" si="95"/>
        <v/>
      </c>
      <c r="AM1475" t="str">
        <f>IF(AL1475="","",MAX($AF$1:$AF1475))</f>
        <v/>
      </c>
    </row>
    <row r="1476" spans="1:39" ht="13.5" customHeight="1" x14ac:dyDescent="0.3">
      <c r="A1476" s="8" t="s">
        <v>216</v>
      </c>
      <c r="B1476" s="9"/>
      <c r="C1476" s="10">
        <v>10</v>
      </c>
      <c r="D1476" s="11"/>
      <c r="AB1476" t="str" cm="1">
        <f t="array" ref="AB1476:AC1476">_xlfn._xlws.FILTER(A1476:Z1476,A1476:Z1476&lt;&gt;"","")</f>
        <v>中文</v>
      </c>
      <c r="AC1476">
        <v>10</v>
      </c>
      <c r="AD1476" t="str">
        <v/>
      </c>
      <c r="AE1476" t="str">
        <v/>
      </c>
      <c r="AF1476" t="str" cm="1">
        <f t="array" ref="AF1476">IF(AD1476="","",SUMPRODUCT(IF(LEFT($AD$1:AD1476,2)="JS",1,0)))</f>
        <v/>
      </c>
      <c r="AG1476" t="b">
        <f t="shared" si="92"/>
        <v>1</v>
      </c>
      <c r="AH1476" t="str">
        <f t="shared" si="93"/>
        <v>中文</v>
      </c>
      <c r="AI1476">
        <f>IF(AH1476="","",MAX($AF$1:$AF1476))</f>
        <v>29</v>
      </c>
      <c r="AJ1476" t="str">
        <f t="shared" si="94"/>
        <v/>
      </c>
      <c r="AK1476" t="str">
        <f>IF(AJ1476="","",MAX($AF$1:$AF1476))</f>
        <v/>
      </c>
      <c r="AL1476" t="str">
        <f t="shared" si="95"/>
        <v/>
      </c>
      <c r="AM1476" t="str">
        <f>IF(AL1476="","",MAX($AF$1:$AF1476))</f>
        <v/>
      </c>
    </row>
    <row r="1477" spans="1:39" ht="13.5" customHeight="1" x14ac:dyDescent="0.3">
      <c r="A1477" s="8" t="s">
        <v>7</v>
      </c>
      <c r="B1477" s="9"/>
      <c r="C1477" s="10">
        <v>7</v>
      </c>
      <c r="D1477" s="11"/>
      <c r="AB1477" t="str" cm="1">
        <f t="array" ref="AB1477:AC1477">_xlfn._xlws.FILTER(A1477:Z1477,A1477:Z1477&lt;&gt;"","")</f>
        <v>Chinese Literature</v>
      </c>
      <c r="AC1477">
        <v>7</v>
      </c>
      <c r="AD1477" t="str">
        <v/>
      </c>
      <c r="AE1477" t="str">
        <v/>
      </c>
      <c r="AF1477" t="str" cm="1">
        <f t="array" ref="AF1477">IF(AD1477="","",SUMPRODUCT(IF(LEFT($AD$1:AD1477,2)="JS",1,0)))</f>
        <v/>
      </c>
      <c r="AG1477" t="str">
        <f t="shared" si="92"/>
        <v/>
      </c>
      <c r="AH1477" t="str">
        <f t="shared" si="93"/>
        <v/>
      </c>
      <c r="AI1477" t="str">
        <f>IF(AH1477="","",MAX($AF$1:$AF1477))</f>
        <v/>
      </c>
      <c r="AJ1477" t="str">
        <f t="shared" si="94"/>
        <v/>
      </c>
      <c r="AK1477" t="str">
        <f>IF(AJ1477="","",MAX($AF$1:$AF1477))</f>
        <v/>
      </c>
      <c r="AL1477" t="str">
        <f t="shared" si="95"/>
        <v/>
      </c>
      <c r="AM1477" t="str">
        <f>IF(AL1477="","",MAX($AF$1:$AF1477))</f>
        <v/>
      </c>
    </row>
    <row r="1478" spans="1:39" ht="13.5" customHeight="1" x14ac:dyDescent="0.3">
      <c r="A1478" s="8" t="s">
        <v>8</v>
      </c>
      <c r="B1478" s="9"/>
      <c r="C1478" s="10">
        <v>10</v>
      </c>
      <c r="D1478" s="11"/>
      <c r="AB1478" t="str" cm="1">
        <f t="array" ref="AB1478:AC1478">_xlfn._xlws.FILTER(A1478:Z1478,A1478:Z1478&lt;&gt;"","")</f>
        <v>Combined Science: Biology + Chemistry</v>
      </c>
      <c r="AC1478">
        <v>10</v>
      </c>
      <c r="AD1478" t="str">
        <v/>
      </c>
      <c r="AE1478" t="str">
        <v/>
      </c>
      <c r="AF1478" t="str" cm="1">
        <f t="array" ref="AF1478">IF(AD1478="","",SUMPRODUCT(IF(LEFT($AD$1:AD1478,2)="JS",1,0)))</f>
        <v/>
      </c>
      <c r="AG1478" t="str">
        <f t="shared" si="92"/>
        <v/>
      </c>
      <c r="AH1478" t="str">
        <f t="shared" si="93"/>
        <v/>
      </c>
      <c r="AI1478" t="str">
        <f>IF(AH1478="","",MAX($AF$1:$AF1478))</f>
        <v/>
      </c>
      <c r="AJ1478" t="str">
        <f t="shared" si="94"/>
        <v/>
      </c>
      <c r="AK1478" t="str">
        <f>IF(AJ1478="","",MAX($AF$1:$AF1478))</f>
        <v/>
      </c>
      <c r="AL1478" t="str">
        <f t="shared" si="95"/>
        <v/>
      </c>
      <c r="AM1478" t="str">
        <f>IF(AL1478="","",MAX($AF$1:$AF1478))</f>
        <v/>
      </c>
    </row>
    <row r="1479" spans="1:39" ht="13.5" customHeight="1" x14ac:dyDescent="0.3">
      <c r="A1479" s="8" t="s">
        <v>9</v>
      </c>
      <c r="B1479" s="9"/>
      <c r="C1479" s="10">
        <v>10</v>
      </c>
      <c r="D1479" s="11"/>
      <c r="AB1479" t="str" cm="1">
        <f t="array" ref="AB1479:AC1479">_xlfn._xlws.FILTER(A1479:Z1479,A1479:Z1479&lt;&gt;"","")</f>
        <v>Combined Science: Biology + Physics</v>
      </c>
      <c r="AC1479">
        <v>10</v>
      </c>
      <c r="AD1479" t="str">
        <v/>
      </c>
      <c r="AE1479" t="str">
        <v/>
      </c>
      <c r="AF1479" t="str" cm="1">
        <f t="array" ref="AF1479">IF(AD1479="","",SUMPRODUCT(IF(LEFT($AD$1:AD1479,2)="JS",1,0)))</f>
        <v/>
      </c>
      <c r="AG1479" t="str">
        <f t="shared" si="92"/>
        <v/>
      </c>
      <c r="AH1479" t="str">
        <f t="shared" si="93"/>
        <v/>
      </c>
      <c r="AI1479" t="str">
        <f>IF(AH1479="","",MAX($AF$1:$AF1479))</f>
        <v/>
      </c>
      <c r="AJ1479" t="str">
        <f t="shared" si="94"/>
        <v/>
      </c>
      <c r="AK1479" t="str">
        <f>IF(AJ1479="","",MAX($AF$1:$AF1479))</f>
        <v/>
      </c>
      <c r="AL1479" t="str">
        <f t="shared" si="95"/>
        <v/>
      </c>
      <c r="AM1479" t="str">
        <f>IF(AL1479="","",MAX($AF$1:$AF1479))</f>
        <v/>
      </c>
    </row>
    <row r="1480" spans="1:39" ht="13.5" customHeight="1" x14ac:dyDescent="0.3">
      <c r="A1480" s="8" t="s">
        <v>10</v>
      </c>
      <c r="B1480" s="9"/>
      <c r="C1480" s="10">
        <v>7</v>
      </c>
      <c r="D1480" s="11"/>
      <c r="AB1480" t="str" cm="1">
        <f t="array" ref="AB1480:AC1480">_xlfn._xlws.FILTER(A1480:Z1480,A1480:Z1480&lt;&gt;"","")</f>
        <v>Combined Science: Physics + Chemistry</v>
      </c>
      <c r="AC1480">
        <v>7</v>
      </c>
      <c r="AD1480" t="str">
        <v/>
      </c>
      <c r="AE1480" t="str">
        <v/>
      </c>
      <c r="AF1480" t="str" cm="1">
        <f t="array" ref="AF1480">IF(AD1480="","",SUMPRODUCT(IF(LEFT($AD$1:AD1480,2)="JS",1,0)))</f>
        <v/>
      </c>
      <c r="AG1480" t="str">
        <f t="shared" si="92"/>
        <v/>
      </c>
      <c r="AH1480" t="str">
        <f t="shared" si="93"/>
        <v/>
      </c>
      <c r="AI1480" t="str">
        <f>IF(AH1480="","",MAX($AF$1:$AF1480))</f>
        <v/>
      </c>
      <c r="AJ1480" t="str">
        <f t="shared" si="94"/>
        <v/>
      </c>
      <c r="AK1480" t="str">
        <f>IF(AJ1480="","",MAX($AF$1:$AF1480))</f>
        <v/>
      </c>
      <c r="AL1480" t="str">
        <f t="shared" si="95"/>
        <v/>
      </c>
      <c r="AM1480" t="str">
        <f>IF(AL1480="","",MAX($AF$1:$AF1480))</f>
        <v/>
      </c>
    </row>
    <row r="1481" spans="1:39" ht="13.5" customHeight="1" x14ac:dyDescent="0.3">
      <c r="A1481" s="8" t="s">
        <v>11</v>
      </c>
      <c r="B1481" s="9"/>
      <c r="C1481" s="10">
        <v>7</v>
      </c>
      <c r="D1481" s="11"/>
      <c r="AB1481" t="str" cm="1">
        <f t="array" ref="AB1481:AC1481">_xlfn._xlws.FILTER(A1481:Z1481,A1481:Z1481&lt;&gt;"","")</f>
        <v>Design and Applied Technology</v>
      </c>
      <c r="AC1481">
        <v>7</v>
      </c>
      <c r="AD1481" t="str">
        <v/>
      </c>
      <c r="AE1481" t="str">
        <v/>
      </c>
      <c r="AF1481" t="str" cm="1">
        <f t="array" ref="AF1481">IF(AD1481="","",SUMPRODUCT(IF(LEFT($AD$1:AD1481,2)="JS",1,0)))</f>
        <v/>
      </c>
      <c r="AG1481" t="str">
        <f t="shared" si="92"/>
        <v/>
      </c>
      <c r="AH1481" t="str">
        <f t="shared" si="93"/>
        <v/>
      </c>
      <c r="AI1481" t="str">
        <f>IF(AH1481="","",MAX($AF$1:$AF1481))</f>
        <v/>
      </c>
      <c r="AJ1481" t="str">
        <f t="shared" si="94"/>
        <v/>
      </c>
      <c r="AK1481" t="str">
        <f>IF(AJ1481="","",MAX($AF$1:$AF1481))</f>
        <v/>
      </c>
      <c r="AL1481" t="str">
        <f t="shared" si="95"/>
        <v/>
      </c>
      <c r="AM1481" t="str">
        <f>IF(AL1481="","",MAX($AF$1:$AF1481))</f>
        <v/>
      </c>
    </row>
    <row r="1482" spans="1:39" ht="13.5" customHeight="1" x14ac:dyDescent="0.3">
      <c r="A1482" s="8" t="s">
        <v>217</v>
      </c>
      <c r="B1482" s="9"/>
      <c r="C1482" s="10">
        <v>7</v>
      </c>
      <c r="D1482" s="11"/>
      <c r="AB1482" t="str" cm="1">
        <f t="array" ref="AB1482:AC1482">_xlfn._xlws.FILTER(A1482:Z1482,A1482:Z1482&lt;&gt;"","")</f>
        <v>ECON</v>
      </c>
      <c r="AC1482">
        <v>7</v>
      </c>
      <c r="AD1482" t="str">
        <v/>
      </c>
      <c r="AE1482" t="str">
        <v/>
      </c>
      <c r="AF1482" t="str" cm="1">
        <f t="array" ref="AF1482">IF(AD1482="","",SUMPRODUCT(IF(LEFT($AD$1:AD1482,2)="JS",1,0)))</f>
        <v/>
      </c>
      <c r="AG1482" t="b">
        <f t="shared" si="92"/>
        <v>1</v>
      </c>
      <c r="AH1482" t="str">
        <f t="shared" si="93"/>
        <v/>
      </c>
      <c r="AI1482" t="str">
        <f>IF(AH1482="","",MAX($AF$1:$AF1482))</f>
        <v/>
      </c>
      <c r="AJ1482" t="str">
        <f t="shared" si="94"/>
        <v>ECON</v>
      </c>
      <c r="AK1482">
        <f>IF(AJ1482="","",MAX($AF$1:$AF1482))</f>
        <v>29</v>
      </c>
      <c r="AL1482" t="str">
        <f t="shared" si="95"/>
        <v/>
      </c>
      <c r="AM1482" t="str">
        <f>IF(AL1482="","",MAX($AF$1:$AF1482))</f>
        <v/>
      </c>
    </row>
    <row r="1483" spans="1:39" ht="13.5" customHeight="1" x14ac:dyDescent="0.3">
      <c r="A1483" s="8" t="s">
        <v>218</v>
      </c>
      <c r="B1483" s="9"/>
      <c r="C1483" s="10">
        <v>10</v>
      </c>
      <c r="D1483" s="11"/>
      <c r="AB1483" t="str" cm="1">
        <f t="array" ref="AB1483:AC1483">_xlfn._xlws.FILTER(A1483:Z1483,A1483:Z1483&lt;&gt;"","")</f>
        <v>ENG</v>
      </c>
      <c r="AC1483">
        <v>10</v>
      </c>
      <c r="AD1483" t="str">
        <v/>
      </c>
      <c r="AE1483" t="str">
        <v/>
      </c>
      <c r="AF1483" t="str" cm="1">
        <f t="array" ref="AF1483">IF(AD1483="","",SUMPRODUCT(IF(LEFT($AD$1:AD1483,2)="JS",1,0)))</f>
        <v/>
      </c>
      <c r="AG1483" t="b">
        <f t="shared" si="92"/>
        <v>1</v>
      </c>
      <c r="AH1483" t="str">
        <f t="shared" si="93"/>
        <v>ENG</v>
      </c>
      <c r="AI1483">
        <f>IF(AH1483="","",MAX($AF$1:$AF1483))</f>
        <v>29</v>
      </c>
      <c r="AJ1483" t="str">
        <f t="shared" si="94"/>
        <v/>
      </c>
      <c r="AK1483" t="str">
        <f>IF(AJ1483="","",MAX($AF$1:$AF1483))</f>
        <v/>
      </c>
      <c r="AL1483" t="str">
        <f t="shared" si="95"/>
        <v/>
      </c>
      <c r="AM1483" t="str">
        <f>IF(AL1483="","",MAX($AF$1:$AF1483))</f>
        <v/>
      </c>
    </row>
    <row r="1484" spans="1:39" ht="13.5" customHeight="1" x14ac:dyDescent="0.3">
      <c r="A1484" s="8" t="s">
        <v>12</v>
      </c>
      <c r="B1484" s="9"/>
      <c r="C1484" s="10">
        <v>7</v>
      </c>
      <c r="D1484" s="11"/>
      <c r="AB1484" t="str" cm="1">
        <f t="array" ref="AB1484:AC1484">_xlfn._xlws.FILTER(A1484:Z1484,A1484:Z1484&lt;&gt;"","")</f>
        <v>Ethics and Religious Studies</v>
      </c>
      <c r="AC1484">
        <v>7</v>
      </c>
      <c r="AD1484" t="str">
        <v/>
      </c>
      <c r="AE1484" t="str">
        <v/>
      </c>
      <c r="AF1484" t="str" cm="1">
        <f t="array" ref="AF1484">IF(AD1484="","",SUMPRODUCT(IF(LEFT($AD$1:AD1484,2)="JS",1,0)))</f>
        <v/>
      </c>
      <c r="AG1484" t="str">
        <f t="shared" si="92"/>
        <v/>
      </c>
      <c r="AH1484" t="str">
        <f t="shared" si="93"/>
        <v/>
      </c>
      <c r="AI1484" t="str">
        <f>IF(AH1484="","",MAX($AF$1:$AF1484))</f>
        <v/>
      </c>
      <c r="AJ1484" t="str">
        <f t="shared" si="94"/>
        <v/>
      </c>
      <c r="AK1484" t="str">
        <f>IF(AJ1484="","",MAX($AF$1:$AF1484))</f>
        <v/>
      </c>
      <c r="AL1484" t="str">
        <f t="shared" si="95"/>
        <v/>
      </c>
      <c r="AM1484" t="str">
        <f>IF(AL1484="","",MAX($AF$1:$AF1484))</f>
        <v/>
      </c>
    </row>
    <row r="1485" spans="1:39" ht="13.5" customHeight="1" x14ac:dyDescent="0.3">
      <c r="A1485" s="8" t="s">
        <v>219</v>
      </c>
      <c r="B1485" s="9"/>
      <c r="C1485" s="10">
        <v>7</v>
      </c>
      <c r="D1485" s="11"/>
      <c r="AB1485" t="str" cm="1">
        <f t="array" ref="AB1485:AC1485">_xlfn._xlws.FILTER(A1485:Z1485,A1485:Z1485&lt;&gt;"","")</f>
        <v>GEOG</v>
      </c>
      <c r="AC1485">
        <v>7</v>
      </c>
      <c r="AD1485" t="str">
        <v/>
      </c>
      <c r="AE1485" t="str">
        <v/>
      </c>
      <c r="AF1485" t="str" cm="1">
        <f t="array" ref="AF1485">IF(AD1485="","",SUMPRODUCT(IF(LEFT($AD$1:AD1485,2)="JS",1,0)))</f>
        <v/>
      </c>
      <c r="AG1485" t="b">
        <f t="shared" si="92"/>
        <v>1</v>
      </c>
      <c r="AH1485" t="str">
        <f t="shared" si="93"/>
        <v/>
      </c>
      <c r="AI1485" t="str">
        <f>IF(AH1485="","",MAX($AF$1:$AF1485))</f>
        <v/>
      </c>
      <c r="AJ1485" t="str">
        <f t="shared" si="94"/>
        <v>GEOG</v>
      </c>
      <c r="AK1485">
        <f>IF(AJ1485="","",MAX($AF$1:$AF1485))</f>
        <v>29</v>
      </c>
      <c r="AL1485" t="str">
        <f t="shared" si="95"/>
        <v/>
      </c>
      <c r="AM1485" t="str">
        <f>IF(AL1485="","",MAX($AF$1:$AF1485))</f>
        <v/>
      </c>
    </row>
    <row r="1486" spans="1:39" ht="13.5" customHeight="1" x14ac:dyDescent="0.3">
      <c r="A1486" s="8" t="s">
        <v>220</v>
      </c>
      <c r="B1486" s="9"/>
      <c r="C1486" s="10">
        <v>7</v>
      </c>
      <c r="D1486" s="11"/>
      <c r="AB1486" t="str" cm="1">
        <f t="array" ref="AB1486:AC1486">_xlfn._xlws.FILTER(A1486:Z1486,A1486:Z1486&lt;&gt;"","")</f>
        <v>HMSC</v>
      </c>
      <c r="AC1486">
        <v>7</v>
      </c>
      <c r="AD1486" t="str">
        <v/>
      </c>
      <c r="AE1486" t="str">
        <v/>
      </c>
      <c r="AF1486" t="str" cm="1">
        <f t="array" ref="AF1486">IF(AD1486="","",SUMPRODUCT(IF(LEFT($AD$1:AD1486,2)="JS",1,0)))</f>
        <v/>
      </c>
      <c r="AG1486" t="b">
        <f t="shared" si="92"/>
        <v>1</v>
      </c>
      <c r="AH1486" t="str">
        <f t="shared" si="93"/>
        <v/>
      </c>
      <c r="AI1486" t="str">
        <f>IF(AH1486="","",MAX($AF$1:$AF1486))</f>
        <v/>
      </c>
      <c r="AJ1486" t="str">
        <f t="shared" si="94"/>
        <v>HMSC</v>
      </c>
      <c r="AK1486">
        <f>IF(AJ1486="","",MAX($AF$1:$AF1486))</f>
        <v>29</v>
      </c>
      <c r="AL1486" t="str">
        <f t="shared" si="95"/>
        <v/>
      </c>
      <c r="AM1486" t="str">
        <f>IF(AL1486="","",MAX($AF$1:$AF1486))</f>
        <v/>
      </c>
    </row>
    <row r="1487" spans="1:39" ht="13.5" customHeight="1" x14ac:dyDescent="0.3">
      <c r="A1487" s="8" t="s">
        <v>221</v>
      </c>
      <c r="B1487" s="9"/>
      <c r="C1487" s="10">
        <v>7</v>
      </c>
      <c r="D1487" s="11"/>
      <c r="AB1487" t="str" cm="1">
        <f t="array" ref="AB1487:AC1487">_xlfn._xlws.FILTER(A1487:Z1487,A1487:Z1487&lt;&gt;"","")</f>
        <v>HIST</v>
      </c>
      <c r="AC1487">
        <v>7</v>
      </c>
      <c r="AD1487" t="str">
        <v/>
      </c>
      <c r="AE1487" t="str">
        <v/>
      </c>
      <c r="AF1487" t="str" cm="1">
        <f t="array" ref="AF1487">IF(AD1487="","",SUMPRODUCT(IF(LEFT($AD$1:AD1487,2)="JS",1,0)))</f>
        <v/>
      </c>
      <c r="AG1487" t="b">
        <f t="shared" si="92"/>
        <v>1</v>
      </c>
      <c r="AH1487" t="str">
        <f t="shared" si="93"/>
        <v/>
      </c>
      <c r="AI1487" t="str">
        <f>IF(AH1487="","",MAX($AF$1:$AF1487))</f>
        <v/>
      </c>
      <c r="AJ1487" t="str">
        <f t="shared" si="94"/>
        <v>HIST</v>
      </c>
      <c r="AK1487">
        <f>IF(AJ1487="","",MAX($AF$1:$AF1487))</f>
        <v>29</v>
      </c>
      <c r="AL1487" t="str">
        <f t="shared" si="95"/>
        <v/>
      </c>
      <c r="AM1487" t="str">
        <f>IF(AL1487="","",MAX($AF$1:$AF1487))</f>
        <v/>
      </c>
    </row>
    <row r="1488" spans="1:39" ht="13.5" customHeight="1" x14ac:dyDescent="0.3">
      <c r="A1488" s="8" t="s">
        <v>222</v>
      </c>
      <c r="B1488" s="9"/>
      <c r="C1488" s="10">
        <v>7</v>
      </c>
      <c r="D1488" s="11"/>
      <c r="AB1488" t="str" cm="1">
        <f t="array" ref="AB1488:AC1488">_xlfn._xlws.FILTER(A1488:Z1488,A1488:Z1488&lt;&gt;"","")</f>
        <v>ICT</v>
      </c>
      <c r="AC1488">
        <v>7</v>
      </c>
      <c r="AD1488" t="str">
        <v/>
      </c>
      <c r="AE1488" t="str">
        <v/>
      </c>
      <c r="AF1488" t="str" cm="1">
        <f t="array" ref="AF1488">IF(AD1488="","",SUMPRODUCT(IF(LEFT($AD$1:AD1488,2)="JS",1,0)))</f>
        <v/>
      </c>
      <c r="AG1488" t="b">
        <f t="shared" si="92"/>
        <v>1</v>
      </c>
      <c r="AH1488" t="str">
        <f t="shared" si="93"/>
        <v/>
      </c>
      <c r="AI1488" t="str">
        <f>IF(AH1488="","",MAX($AF$1:$AF1488))</f>
        <v/>
      </c>
      <c r="AJ1488" t="str">
        <f t="shared" si="94"/>
        <v>ICT</v>
      </c>
      <c r="AK1488">
        <f>IF(AJ1488="","",MAX($AF$1:$AF1488))</f>
        <v>29</v>
      </c>
      <c r="AL1488" t="str">
        <f t="shared" si="95"/>
        <v/>
      </c>
      <c r="AM1488" t="str">
        <f>IF(AL1488="","",MAX($AF$1:$AF1488))</f>
        <v/>
      </c>
    </row>
    <row r="1489" spans="1:39" ht="13.5" customHeight="1" x14ac:dyDescent="0.3">
      <c r="A1489" s="8" t="s">
        <v>13</v>
      </c>
      <c r="B1489" s="9"/>
      <c r="C1489" s="10">
        <v>7</v>
      </c>
      <c r="D1489" s="11"/>
      <c r="AB1489" t="str" cm="1">
        <f t="array" ref="AB1489:AC1489">_xlfn._xlws.FILTER(A1489:Z1489,A1489:Z1489&lt;&gt;"","")</f>
        <v>Integrated Science</v>
      </c>
      <c r="AC1489">
        <v>7</v>
      </c>
      <c r="AD1489" t="str">
        <v/>
      </c>
      <c r="AE1489" t="str">
        <v/>
      </c>
      <c r="AF1489" t="str" cm="1">
        <f t="array" ref="AF1489">IF(AD1489="","",SUMPRODUCT(IF(LEFT($AD$1:AD1489,2)="JS",1,0)))</f>
        <v/>
      </c>
      <c r="AG1489" t="str">
        <f t="shared" si="92"/>
        <v/>
      </c>
      <c r="AH1489" t="str">
        <f t="shared" si="93"/>
        <v/>
      </c>
      <c r="AI1489" t="str">
        <f>IF(AH1489="","",MAX($AF$1:$AF1489))</f>
        <v/>
      </c>
      <c r="AJ1489" t="str">
        <f t="shared" si="94"/>
        <v/>
      </c>
      <c r="AK1489" t="str">
        <f>IF(AJ1489="","",MAX($AF$1:$AF1489))</f>
        <v/>
      </c>
      <c r="AL1489" t="str">
        <f t="shared" si="95"/>
        <v/>
      </c>
      <c r="AM1489" t="str">
        <f>IF(AL1489="","",MAX($AF$1:$AF1489))</f>
        <v/>
      </c>
    </row>
    <row r="1490" spans="1:39" ht="13.5" customHeight="1" x14ac:dyDescent="0.3">
      <c r="A1490" s="8" t="s">
        <v>223</v>
      </c>
      <c r="B1490" s="9"/>
      <c r="C1490" s="10">
        <v>10</v>
      </c>
      <c r="D1490" s="11"/>
      <c r="AB1490" t="str" cm="1">
        <f t="array" ref="AB1490:AC1490">_xlfn._xlws.FILTER(A1490:Z1490,A1490:Z1490&lt;&gt;"","")</f>
        <v>通</v>
      </c>
      <c r="AC1490">
        <v>10</v>
      </c>
      <c r="AD1490" t="str">
        <v/>
      </c>
      <c r="AE1490" t="str">
        <v/>
      </c>
      <c r="AF1490" t="str" cm="1">
        <f t="array" ref="AF1490">IF(AD1490="","",SUMPRODUCT(IF(LEFT($AD$1:AD1490,2)="JS",1,0)))</f>
        <v/>
      </c>
      <c r="AG1490" t="b">
        <f t="shared" si="92"/>
        <v>1</v>
      </c>
      <c r="AH1490" t="str">
        <f t="shared" si="93"/>
        <v>通</v>
      </c>
      <c r="AI1490">
        <f>IF(AH1490="","",MAX($AF$1:$AF1490))</f>
        <v>29</v>
      </c>
      <c r="AJ1490" t="str">
        <f t="shared" si="94"/>
        <v/>
      </c>
      <c r="AK1490" t="str">
        <f>IF(AJ1490="","",MAX($AF$1:$AF1490))</f>
        <v/>
      </c>
      <c r="AL1490" t="str">
        <f t="shared" si="95"/>
        <v/>
      </c>
      <c r="AM1490" t="str">
        <f>IF(AL1490="","",MAX($AF$1:$AF1490))</f>
        <v/>
      </c>
    </row>
    <row r="1491" spans="1:39" ht="13.5" customHeight="1" x14ac:dyDescent="0.3">
      <c r="A1491" s="8" t="s">
        <v>14</v>
      </c>
      <c r="B1491" s="9"/>
      <c r="C1491" s="10">
        <v>7</v>
      </c>
      <c r="D1491" s="11"/>
      <c r="AB1491" t="str" cm="1">
        <f t="array" ref="AB1491:AC1491">_xlfn._xlws.FILTER(A1491:Z1491,A1491:Z1491&lt;&gt;"","")</f>
        <v>Literature in English</v>
      </c>
      <c r="AC1491">
        <v>7</v>
      </c>
      <c r="AD1491" t="str">
        <v/>
      </c>
      <c r="AE1491" t="str">
        <v/>
      </c>
      <c r="AF1491" t="str" cm="1">
        <f t="array" ref="AF1491">IF(AD1491="","",SUMPRODUCT(IF(LEFT($AD$1:AD1491,2)="JS",1,0)))</f>
        <v/>
      </c>
      <c r="AG1491" t="str">
        <f t="shared" si="92"/>
        <v/>
      </c>
      <c r="AH1491" t="str">
        <f t="shared" si="93"/>
        <v/>
      </c>
      <c r="AI1491" t="str">
        <f>IF(AH1491="","",MAX($AF$1:$AF1491))</f>
        <v/>
      </c>
      <c r="AJ1491" t="str">
        <f t="shared" si="94"/>
        <v/>
      </c>
      <c r="AK1491" t="str">
        <f>IF(AJ1491="","",MAX($AF$1:$AF1491))</f>
        <v/>
      </c>
      <c r="AL1491" t="str">
        <f t="shared" si="95"/>
        <v/>
      </c>
      <c r="AM1491" t="str">
        <f>IF(AL1491="","",MAX($AF$1:$AF1491))</f>
        <v/>
      </c>
    </row>
    <row r="1492" spans="1:39" ht="13.5" customHeight="1" x14ac:dyDescent="0.3">
      <c r="A1492" s="8" t="s">
        <v>224</v>
      </c>
      <c r="B1492" s="9"/>
      <c r="C1492" s="10">
        <v>10</v>
      </c>
      <c r="D1492" s="11"/>
      <c r="AB1492" t="str" cm="1">
        <f t="array" ref="AB1492:AC1492">_xlfn._xlws.FILTER(A1492:Z1492,A1492:Z1492&lt;&gt;"","")</f>
        <v>MATH</v>
      </c>
      <c r="AC1492">
        <v>10</v>
      </c>
      <c r="AD1492" t="str">
        <v/>
      </c>
      <c r="AE1492" t="str">
        <v/>
      </c>
      <c r="AF1492" t="str" cm="1">
        <f t="array" ref="AF1492">IF(AD1492="","",SUMPRODUCT(IF(LEFT($AD$1:AD1492,2)="JS",1,0)))</f>
        <v/>
      </c>
      <c r="AG1492" t="b">
        <f t="shared" si="92"/>
        <v>1</v>
      </c>
      <c r="AH1492" t="str">
        <f t="shared" si="93"/>
        <v>MATH</v>
      </c>
      <c r="AI1492">
        <f>IF(AH1492="","",MAX($AF$1:$AF1492))</f>
        <v>29</v>
      </c>
      <c r="AJ1492" t="str">
        <f t="shared" si="94"/>
        <v/>
      </c>
      <c r="AK1492" t="str">
        <f>IF(AJ1492="","",MAX($AF$1:$AF1492))</f>
        <v/>
      </c>
      <c r="AL1492" t="str">
        <f t="shared" si="95"/>
        <v/>
      </c>
      <c r="AM1492" t="str">
        <f>IF(AL1492="","",MAX($AF$1:$AF1492))</f>
        <v/>
      </c>
    </row>
    <row r="1493" spans="1:39" ht="13.5" customHeight="1" x14ac:dyDescent="0.3">
      <c r="A1493" s="8" t="s">
        <v>225</v>
      </c>
      <c r="B1493" s="9"/>
      <c r="C1493" s="10">
        <v>7</v>
      </c>
      <c r="D1493" s="11"/>
      <c r="AB1493" t="str" cm="1">
        <f t="array" ref="AB1493:AC1493">_xlfn._xlws.FILTER(A1493:Z1493,A1493:Z1493&lt;&gt;"","")</f>
        <v>M2</v>
      </c>
      <c r="AC1493">
        <v>7</v>
      </c>
      <c r="AD1493" t="str">
        <v/>
      </c>
      <c r="AE1493" t="str">
        <v/>
      </c>
      <c r="AF1493" t="str" cm="1">
        <f t="array" ref="AF1493">IF(AD1493="","",SUMPRODUCT(IF(LEFT($AD$1:AD1493,2)="JS",1,0)))</f>
        <v/>
      </c>
      <c r="AG1493" t="b">
        <f t="shared" si="92"/>
        <v>1</v>
      </c>
      <c r="AH1493" t="str">
        <f t="shared" si="93"/>
        <v/>
      </c>
      <c r="AI1493" t="str">
        <f>IF(AH1493="","",MAX($AF$1:$AF1493))</f>
        <v/>
      </c>
      <c r="AJ1493" t="str">
        <f t="shared" si="94"/>
        <v>M2</v>
      </c>
      <c r="AK1493">
        <f>IF(AJ1493="","",MAX($AF$1:$AF1493))</f>
        <v>29</v>
      </c>
      <c r="AL1493" t="str">
        <f t="shared" si="95"/>
        <v/>
      </c>
      <c r="AM1493" t="str">
        <f>IF(AL1493="","",MAX($AF$1:$AF1493))</f>
        <v/>
      </c>
    </row>
    <row r="1494" spans="1:39" ht="13.5" customHeight="1" x14ac:dyDescent="0.3">
      <c r="A1494" s="8" t="s">
        <v>15</v>
      </c>
      <c r="B1494" s="9"/>
      <c r="C1494" s="10">
        <v>7</v>
      </c>
      <c r="D1494" s="11"/>
      <c r="AB1494" t="str" cm="1">
        <f t="array" ref="AB1494:AC1494">_xlfn._xlws.FILTER(A1494:Z1494,A1494:Z1494&lt;&gt;"","")</f>
        <v>Mathematics (Extended part - Calculus and Statistics)</v>
      </c>
      <c r="AC1494">
        <v>7</v>
      </c>
      <c r="AD1494" t="str">
        <v/>
      </c>
      <c r="AE1494" t="str">
        <v/>
      </c>
      <c r="AF1494" t="str" cm="1">
        <f t="array" ref="AF1494">IF(AD1494="","",SUMPRODUCT(IF(LEFT($AD$1:AD1494,2)="JS",1,0)))</f>
        <v/>
      </c>
      <c r="AG1494" t="str">
        <f t="shared" si="92"/>
        <v/>
      </c>
      <c r="AH1494" t="str">
        <f t="shared" si="93"/>
        <v/>
      </c>
      <c r="AI1494" t="str">
        <f>IF(AH1494="","",MAX($AF$1:$AF1494))</f>
        <v/>
      </c>
      <c r="AJ1494" t="str">
        <f t="shared" si="94"/>
        <v/>
      </c>
      <c r="AK1494" t="str">
        <f>IF(AJ1494="","",MAX($AF$1:$AF1494))</f>
        <v/>
      </c>
      <c r="AL1494" t="str">
        <f t="shared" si="95"/>
        <v/>
      </c>
      <c r="AM1494" t="str">
        <f>IF(AL1494="","",MAX($AF$1:$AF1494))</f>
        <v/>
      </c>
    </row>
    <row r="1495" spans="1:39" ht="13.5" customHeight="1" x14ac:dyDescent="0.3">
      <c r="A1495" s="8" t="s">
        <v>16</v>
      </c>
      <c r="B1495" s="9"/>
      <c r="C1495" s="10">
        <v>7</v>
      </c>
      <c r="D1495" s="11"/>
      <c r="AB1495" t="str" cm="1">
        <f t="array" ref="AB1495:AC1495">_xlfn._xlws.FILTER(A1495:Z1495,A1495:Z1495&lt;&gt;"","")</f>
        <v>Music</v>
      </c>
      <c r="AC1495">
        <v>7</v>
      </c>
      <c r="AD1495" t="str">
        <v/>
      </c>
      <c r="AE1495" t="str">
        <v/>
      </c>
      <c r="AF1495" t="str" cm="1">
        <f t="array" ref="AF1495">IF(AD1495="","",SUMPRODUCT(IF(LEFT($AD$1:AD1495,2)="JS",1,0)))</f>
        <v/>
      </c>
      <c r="AG1495" t="str">
        <f t="shared" si="92"/>
        <v/>
      </c>
      <c r="AH1495" t="str">
        <f t="shared" si="93"/>
        <v/>
      </c>
      <c r="AI1495" t="str">
        <f>IF(AH1495="","",MAX($AF$1:$AF1495))</f>
        <v/>
      </c>
      <c r="AJ1495" t="str">
        <f t="shared" si="94"/>
        <v/>
      </c>
      <c r="AK1495" t="str">
        <f>IF(AJ1495="","",MAX($AF$1:$AF1495))</f>
        <v/>
      </c>
      <c r="AL1495" t="str">
        <f t="shared" si="95"/>
        <v/>
      </c>
      <c r="AM1495" t="str">
        <f>IF(AL1495="","",MAX($AF$1:$AF1495))</f>
        <v/>
      </c>
    </row>
    <row r="1496" spans="1:39" ht="13.5" customHeight="1" x14ac:dyDescent="0.3">
      <c r="A1496" s="8" t="s">
        <v>17</v>
      </c>
      <c r="B1496" s="9"/>
      <c r="C1496" s="10">
        <v>7</v>
      </c>
      <c r="D1496" s="11"/>
      <c r="AB1496" t="str" cm="1">
        <f t="array" ref="AB1496:AC1496">_xlfn._xlws.FILTER(A1496:Z1496,A1496:Z1496&lt;&gt;"","")</f>
        <v>Physical Education</v>
      </c>
      <c r="AC1496">
        <v>7</v>
      </c>
      <c r="AD1496" t="str">
        <v/>
      </c>
      <c r="AE1496" t="str">
        <v/>
      </c>
      <c r="AF1496" t="str" cm="1">
        <f t="array" ref="AF1496">IF(AD1496="","",SUMPRODUCT(IF(LEFT($AD$1:AD1496,2)="JS",1,0)))</f>
        <v/>
      </c>
      <c r="AG1496" t="str">
        <f t="shared" si="92"/>
        <v/>
      </c>
      <c r="AH1496" t="str">
        <f t="shared" si="93"/>
        <v/>
      </c>
      <c r="AI1496" t="str">
        <f>IF(AH1496="","",MAX($AF$1:$AF1496))</f>
        <v/>
      </c>
      <c r="AJ1496" t="str">
        <f t="shared" si="94"/>
        <v/>
      </c>
      <c r="AK1496" t="str">
        <f>IF(AJ1496="","",MAX($AF$1:$AF1496))</f>
        <v/>
      </c>
      <c r="AL1496" t="str">
        <f t="shared" si="95"/>
        <v/>
      </c>
      <c r="AM1496" t="str">
        <f>IF(AL1496="","",MAX($AF$1:$AF1496))</f>
        <v/>
      </c>
    </row>
    <row r="1497" spans="1:39" ht="13.5" customHeight="1" x14ac:dyDescent="0.3">
      <c r="A1497" s="8" t="s">
        <v>226</v>
      </c>
      <c r="B1497" s="9"/>
      <c r="C1497" s="10">
        <v>7</v>
      </c>
      <c r="D1497" s="11"/>
      <c r="AB1497" t="str" cm="1">
        <f t="array" ref="AB1497:AC1497">_xlfn._xlws.FILTER(A1497:Z1497,A1497:Z1497&lt;&gt;"","")</f>
        <v>PHY</v>
      </c>
      <c r="AC1497">
        <v>7</v>
      </c>
      <c r="AD1497" t="str">
        <v/>
      </c>
      <c r="AE1497" t="str">
        <v/>
      </c>
      <c r="AF1497" t="str" cm="1">
        <f t="array" ref="AF1497">IF(AD1497="","",SUMPRODUCT(IF(LEFT($AD$1:AD1497,2)="JS",1,0)))</f>
        <v/>
      </c>
      <c r="AG1497" t="b">
        <f t="shared" si="92"/>
        <v>1</v>
      </c>
      <c r="AH1497" t="str">
        <f t="shared" si="93"/>
        <v/>
      </c>
      <c r="AI1497" t="str">
        <f>IF(AH1497="","",MAX($AF$1:$AF1497))</f>
        <v/>
      </c>
      <c r="AJ1497" t="str">
        <f t="shared" si="94"/>
        <v>PHY</v>
      </c>
      <c r="AK1497">
        <f>IF(AJ1497="","",MAX($AF$1:$AF1497))</f>
        <v>29</v>
      </c>
      <c r="AL1497" t="str">
        <f t="shared" si="95"/>
        <v/>
      </c>
      <c r="AM1497" t="str">
        <f>IF(AL1497="","",MAX($AF$1:$AF1497))</f>
        <v/>
      </c>
    </row>
    <row r="1498" spans="1:39" ht="13.5" customHeight="1" x14ac:dyDescent="0.3">
      <c r="A1498" s="8" t="s">
        <v>18</v>
      </c>
      <c r="B1498" s="9"/>
      <c r="C1498" s="10">
        <v>7</v>
      </c>
      <c r="D1498" s="11"/>
      <c r="AB1498" t="str" cm="1">
        <f t="array" ref="AB1498:AC1498">_xlfn._xlws.FILTER(A1498:Z1498,A1498:Z1498&lt;&gt;"","")</f>
        <v>Technology and Living (Fashion, Clothing and Textiles)</v>
      </c>
      <c r="AC1498">
        <v>7</v>
      </c>
      <c r="AD1498" t="str">
        <v/>
      </c>
      <c r="AE1498" t="str">
        <v/>
      </c>
      <c r="AF1498" t="str" cm="1">
        <f t="array" ref="AF1498">IF(AD1498="","",SUMPRODUCT(IF(LEFT($AD$1:AD1498,2)="JS",1,0)))</f>
        <v/>
      </c>
      <c r="AG1498" t="str">
        <f t="shared" si="92"/>
        <v/>
      </c>
      <c r="AH1498" t="str">
        <f t="shared" si="93"/>
        <v/>
      </c>
      <c r="AI1498" t="str">
        <f>IF(AH1498="","",MAX($AF$1:$AF1498))</f>
        <v/>
      </c>
      <c r="AJ1498" t="str">
        <f t="shared" si="94"/>
        <v/>
      </c>
      <c r="AK1498" t="str">
        <f>IF(AJ1498="","",MAX($AF$1:$AF1498))</f>
        <v/>
      </c>
      <c r="AL1498" t="str">
        <f t="shared" si="95"/>
        <v/>
      </c>
      <c r="AM1498" t="str">
        <f>IF(AL1498="","",MAX($AF$1:$AF1498))</f>
        <v/>
      </c>
    </row>
    <row r="1499" spans="1:39" ht="13.5" customHeight="1" x14ac:dyDescent="0.3">
      <c r="A1499" s="8" t="s">
        <v>19</v>
      </c>
      <c r="B1499" s="9"/>
      <c r="C1499" s="10">
        <v>7</v>
      </c>
      <c r="D1499" s="11"/>
      <c r="AB1499" t="str" cm="1">
        <f t="array" ref="AB1499:AC1499">_xlfn._xlws.FILTER(A1499:Z1499,A1499:Z1499&lt;&gt;"","")</f>
        <v>Technology and Living (Food Science and Technology)</v>
      </c>
      <c r="AC1499">
        <v>7</v>
      </c>
      <c r="AD1499" t="str">
        <v/>
      </c>
      <c r="AE1499" t="str">
        <v/>
      </c>
      <c r="AF1499" t="str" cm="1">
        <f t="array" ref="AF1499">IF(AD1499="","",SUMPRODUCT(IF(LEFT($AD$1:AD1499,2)="JS",1,0)))</f>
        <v/>
      </c>
      <c r="AG1499" t="str">
        <f t="shared" si="92"/>
        <v/>
      </c>
      <c r="AH1499" t="str">
        <f t="shared" si="93"/>
        <v/>
      </c>
      <c r="AI1499" t="str">
        <f>IF(AH1499="","",MAX($AF$1:$AF1499))</f>
        <v/>
      </c>
      <c r="AJ1499" t="str">
        <f t="shared" si="94"/>
        <v/>
      </c>
      <c r="AK1499" t="str">
        <f>IF(AJ1499="","",MAX($AF$1:$AF1499))</f>
        <v/>
      </c>
      <c r="AL1499" t="str">
        <f t="shared" si="95"/>
        <v/>
      </c>
      <c r="AM1499" t="str">
        <f>IF(AL1499="","",MAX($AF$1:$AF1499))</f>
        <v/>
      </c>
    </row>
    <row r="1500" spans="1:39" ht="13.5" customHeight="1" x14ac:dyDescent="0.3">
      <c r="A1500" s="8" t="s">
        <v>20</v>
      </c>
      <c r="B1500" s="9"/>
      <c r="C1500" s="10">
        <v>7</v>
      </c>
      <c r="D1500" s="11"/>
      <c r="AB1500" t="str" cm="1">
        <f t="array" ref="AB1500:AC1500">_xlfn._xlws.FILTER(A1500:Z1500,A1500:Z1500&lt;&gt;"","")</f>
        <v>Tourism and Hospitality Studies</v>
      </c>
      <c r="AC1500">
        <v>7</v>
      </c>
      <c r="AD1500" t="str">
        <v/>
      </c>
      <c r="AE1500" t="str">
        <v/>
      </c>
      <c r="AF1500" t="str" cm="1">
        <f t="array" ref="AF1500">IF(AD1500="","",SUMPRODUCT(IF(LEFT($AD$1:AD1500,2)="JS",1,0)))</f>
        <v/>
      </c>
      <c r="AG1500" t="str">
        <f t="shared" si="92"/>
        <v/>
      </c>
      <c r="AH1500" t="str">
        <f t="shared" si="93"/>
        <v/>
      </c>
      <c r="AI1500" t="str">
        <f>IF(AH1500="","",MAX($AF$1:$AF1500))</f>
        <v/>
      </c>
      <c r="AJ1500" t="str">
        <f t="shared" si="94"/>
        <v/>
      </c>
      <c r="AK1500" t="str">
        <f>IF(AJ1500="","",MAX($AF$1:$AF1500))</f>
        <v/>
      </c>
      <c r="AL1500" t="str">
        <f t="shared" si="95"/>
        <v/>
      </c>
      <c r="AM1500" t="str">
        <f>IF(AL1500="","",MAX($AF$1:$AF1500))</f>
        <v/>
      </c>
    </row>
    <row r="1501" spans="1:39" ht="13.5" customHeight="1" x14ac:dyDescent="0.3">
      <c r="A1501" s="8" t="s">
        <v>210</v>
      </c>
      <c r="B1501" s="9"/>
      <c r="C1501" s="10">
        <v>7</v>
      </c>
      <c r="D1501" s="11"/>
      <c r="AB1501" t="str" cm="1">
        <f t="array" ref="AB1501:AC1501">_xlfn._xlws.FILTER(A1501:Z1501,A1501:Z1501&lt;&gt;"","")</f>
        <v>VA</v>
      </c>
      <c r="AC1501">
        <v>7</v>
      </c>
      <c r="AD1501" t="str">
        <v/>
      </c>
      <c r="AE1501" t="str">
        <v/>
      </c>
      <c r="AF1501" t="str" cm="1">
        <f t="array" ref="AF1501">IF(AD1501="","",SUMPRODUCT(IF(LEFT($AD$1:AD1501,2)="JS",1,0)))</f>
        <v/>
      </c>
      <c r="AG1501" t="b">
        <f t="shared" si="92"/>
        <v>1</v>
      </c>
      <c r="AH1501" t="str">
        <f t="shared" si="93"/>
        <v/>
      </c>
      <c r="AI1501" t="str">
        <f>IF(AH1501="","",MAX($AF$1:$AF1501))</f>
        <v/>
      </c>
      <c r="AJ1501" t="str">
        <f t="shared" si="94"/>
        <v>VA</v>
      </c>
      <c r="AK1501">
        <f>IF(AJ1501="","",MAX($AF$1:$AF1501))</f>
        <v>29</v>
      </c>
      <c r="AL1501" t="str">
        <f t="shared" si="95"/>
        <v/>
      </c>
      <c r="AM1501" t="str">
        <f>IF(AL1501="","",MAX($AF$1:$AF1501))</f>
        <v/>
      </c>
    </row>
    <row r="1502" spans="1:39" ht="14.5" customHeight="1" x14ac:dyDescent="0.3">
      <c r="A1502" s="12"/>
      <c r="B1502" s="12"/>
      <c r="C1502" s="2"/>
      <c r="D1502" s="2"/>
      <c r="AB1502" t="str" cm="1">
        <f t="array" ref="AB1502">_xlfn._xlws.FILTER(A1502:Z1502,A1502:Z1502&lt;&gt;"","")</f>
        <v/>
      </c>
      <c r="AD1502" t="str">
        <v/>
      </c>
      <c r="AE1502" t="str">
        <v/>
      </c>
      <c r="AF1502" t="str" cm="1">
        <f t="array" ref="AF1502">IF(AD1502="","",SUMPRODUCT(IF(LEFT($AD$1:AD1502,2)="JS",1,0)))</f>
        <v/>
      </c>
      <c r="AG1502" t="str">
        <f t="shared" si="92"/>
        <v/>
      </c>
      <c r="AH1502" t="str">
        <f t="shared" si="93"/>
        <v/>
      </c>
      <c r="AI1502" t="str">
        <f>IF(AH1502="","",MAX($AF$1:$AF1502))</f>
        <v/>
      </c>
      <c r="AJ1502" t="str">
        <f t="shared" si="94"/>
        <v/>
      </c>
      <c r="AK1502" t="str">
        <f>IF(AJ1502="","",MAX($AF$1:$AF1502))</f>
        <v/>
      </c>
      <c r="AL1502" t="str">
        <f t="shared" si="95"/>
        <v/>
      </c>
      <c r="AM1502" t="str">
        <f>IF(AL1502="","",MAX($AF$1:$AF1502))</f>
        <v/>
      </c>
    </row>
    <row r="1503" spans="1:39" ht="13.5" customHeight="1" x14ac:dyDescent="0.3">
      <c r="A1503" s="13" t="s">
        <v>34</v>
      </c>
      <c r="B1503" s="13"/>
      <c r="C1503" s="13"/>
      <c r="D1503" s="13"/>
      <c r="AB1503" t="str" cm="1">
        <f t="array" ref="AB1503">_xlfn._xlws.FILTER(A1503:Z1503,A1503:Z1503&lt;&gt;"","")</f>
        <v>Category C: Other Language Subjects</v>
      </c>
      <c r="AD1503" t="str">
        <v/>
      </c>
      <c r="AE1503" t="str">
        <v/>
      </c>
      <c r="AF1503" t="str" cm="1">
        <f t="array" ref="AF1503">IF(AD1503="","",SUMPRODUCT(IF(LEFT($AD$1:AD1503,2)="JS",1,0)))</f>
        <v/>
      </c>
      <c r="AG1503" t="str">
        <f t="shared" si="92"/>
        <v/>
      </c>
      <c r="AH1503" t="str">
        <f t="shared" si="93"/>
        <v/>
      </c>
      <c r="AI1503" t="str">
        <f>IF(AH1503="","",MAX($AF$1:$AF1503))</f>
        <v/>
      </c>
      <c r="AJ1503" t="str">
        <f t="shared" si="94"/>
        <v/>
      </c>
      <c r="AK1503" t="str">
        <f>IF(AJ1503="","",MAX($AF$1:$AF1503))</f>
        <v/>
      </c>
      <c r="AL1503" t="str">
        <f t="shared" si="95"/>
        <v/>
      </c>
      <c r="AM1503" t="str">
        <f>IF(AL1503="","",MAX($AF$1:$AF1503))</f>
        <v/>
      </c>
    </row>
    <row r="1504" spans="1:39" ht="13.5" customHeight="1" x14ac:dyDescent="0.3">
      <c r="A1504" s="14" t="s">
        <v>3</v>
      </c>
      <c r="B1504" s="15"/>
      <c r="C1504" s="16" t="s">
        <v>4</v>
      </c>
      <c r="D1504" s="17"/>
      <c r="AB1504" t="str" cm="1">
        <f t="array" ref="AB1504:AC1504">_xlfn._xlws.FILTER(A1504:Z1504,A1504:Z1504&lt;&gt;"","")</f>
        <v>Subject Name</v>
      </c>
      <c r="AC1504" t="str">
        <v>Subject Weighting for 2023/24 Admission Exercise *</v>
      </c>
      <c r="AD1504" t="str">
        <v/>
      </c>
      <c r="AE1504" t="str">
        <v/>
      </c>
      <c r="AF1504" t="str" cm="1">
        <f t="array" ref="AF1504">IF(AD1504="","",SUMPRODUCT(IF(LEFT($AD$1:AD1504,2)="JS",1,0)))</f>
        <v/>
      </c>
      <c r="AG1504" t="str">
        <f t="shared" si="92"/>
        <v/>
      </c>
      <c r="AH1504" t="str">
        <f t="shared" si="93"/>
        <v/>
      </c>
      <c r="AI1504" t="str">
        <f>IF(AH1504="","",MAX($AF$1:$AF1504))</f>
        <v/>
      </c>
      <c r="AJ1504" t="str">
        <f t="shared" si="94"/>
        <v/>
      </c>
      <c r="AK1504" t="str">
        <f>IF(AJ1504="","",MAX($AF$1:$AF1504))</f>
        <v/>
      </c>
      <c r="AL1504" t="str">
        <f t="shared" si="95"/>
        <v/>
      </c>
      <c r="AM1504" t="str">
        <f>IF(AL1504="","",MAX($AF$1:$AF1504))</f>
        <v/>
      </c>
    </row>
    <row r="1505" spans="1:39" ht="13.5" customHeight="1" x14ac:dyDescent="0.3">
      <c r="A1505" s="8" t="s">
        <v>35</v>
      </c>
      <c r="B1505" s="9"/>
      <c r="C1505" s="10">
        <v>5</v>
      </c>
      <c r="D1505" s="11"/>
      <c r="AB1505" t="str" cm="1">
        <f t="array" ref="AB1505:AC1505">_xlfn._xlws.FILTER(A1505:Z1505,A1505:Z1505&lt;&gt;"","")</f>
        <v>French</v>
      </c>
      <c r="AC1505">
        <v>5</v>
      </c>
      <c r="AD1505" t="str">
        <v/>
      </c>
      <c r="AE1505" t="str">
        <v/>
      </c>
      <c r="AF1505" t="str" cm="1">
        <f t="array" ref="AF1505">IF(AD1505="","",SUMPRODUCT(IF(LEFT($AD$1:AD1505,2)="JS",1,0)))</f>
        <v/>
      </c>
      <c r="AG1505" t="str">
        <f t="shared" si="92"/>
        <v/>
      </c>
      <c r="AH1505" t="str">
        <f t="shared" si="93"/>
        <v/>
      </c>
      <c r="AI1505" t="str">
        <f>IF(AH1505="","",MAX($AF$1:$AF1505))</f>
        <v/>
      </c>
      <c r="AJ1505" t="str">
        <f t="shared" si="94"/>
        <v/>
      </c>
      <c r="AK1505" t="str">
        <f>IF(AJ1505="","",MAX($AF$1:$AF1505))</f>
        <v/>
      </c>
      <c r="AL1505" t="str">
        <f t="shared" si="95"/>
        <v/>
      </c>
      <c r="AM1505" t="str">
        <f>IF(AL1505="","",MAX($AF$1:$AF1505))</f>
        <v/>
      </c>
    </row>
    <row r="1506" spans="1:39" ht="13.5" customHeight="1" x14ac:dyDescent="0.3">
      <c r="A1506" s="8" t="s">
        <v>36</v>
      </c>
      <c r="B1506" s="9"/>
      <c r="C1506" s="10">
        <v>5</v>
      </c>
      <c r="D1506" s="11"/>
      <c r="AB1506" t="str" cm="1">
        <f t="array" ref="AB1506:AC1506">_xlfn._xlws.FILTER(A1506:Z1506,A1506:Z1506&lt;&gt;"","")</f>
        <v>German</v>
      </c>
      <c r="AC1506">
        <v>5</v>
      </c>
      <c r="AD1506" t="str">
        <v/>
      </c>
      <c r="AE1506" t="str">
        <v/>
      </c>
      <c r="AF1506" t="str" cm="1">
        <f t="array" ref="AF1506">IF(AD1506="","",SUMPRODUCT(IF(LEFT($AD$1:AD1506,2)="JS",1,0)))</f>
        <v/>
      </c>
      <c r="AG1506" t="str">
        <f t="shared" si="92"/>
        <v/>
      </c>
      <c r="AH1506" t="str">
        <f t="shared" si="93"/>
        <v/>
      </c>
      <c r="AI1506" t="str">
        <f>IF(AH1506="","",MAX($AF$1:$AF1506))</f>
        <v/>
      </c>
      <c r="AJ1506" t="str">
        <f t="shared" si="94"/>
        <v/>
      </c>
      <c r="AK1506" t="str">
        <f>IF(AJ1506="","",MAX($AF$1:$AF1506))</f>
        <v/>
      </c>
      <c r="AL1506" t="str">
        <f t="shared" si="95"/>
        <v/>
      </c>
      <c r="AM1506" t="str">
        <f>IF(AL1506="","",MAX($AF$1:$AF1506))</f>
        <v/>
      </c>
    </row>
    <row r="1507" spans="1:39" ht="13.5" customHeight="1" x14ac:dyDescent="0.3">
      <c r="A1507" s="8" t="s">
        <v>37</v>
      </c>
      <c r="B1507" s="9"/>
      <c r="C1507" s="10">
        <v>5</v>
      </c>
      <c r="D1507" s="11"/>
      <c r="AB1507" t="str" cm="1">
        <f t="array" ref="AB1507:AC1507">_xlfn._xlws.FILTER(A1507:Z1507,A1507:Z1507&lt;&gt;"","")</f>
        <v>Hindi</v>
      </c>
      <c r="AC1507">
        <v>5</v>
      </c>
      <c r="AD1507" t="str">
        <v/>
      </c>
      <c r="AE1507" t="str">
        <v/>
      </c>
      <c r="AF1507" t="str" cm="1">
        <f t="array" ref="AF1507">IF(AD1507="","",SUMPRODUCT(IF(LEFT($AD$1:AD1507,2)="JS",1,0)))</f>
        <v/>
      </c>
      <c r="AG1507" t="str">
        <f t="shared" si="92"/>
        <v/>
      </c>
      <c r="AH1507" t="str">
        <f t="shared" si="93"/>
        <v/>
      </c>
      <c r="AI1507" t="str">
        <f>IF(AH1507="","",MAX($AF$1:$AF1507))</f>
        <v/>
      </c>
      <c r="AJ1507" t="str">
        <f t="shared" si="94"/>
        <v/>
      </c>
      <c r="AK1507" t="str">
        <f>IF(AJ1507="","",MAX($AF$1:$AF1507))</f>
        <v/>
      </c>
      <c r="AL1507" t="str">
        <f t="shared" si="95"/>
        <v/>
      </c>
      <c r="AM1507" t="str">
        <f>IF(AL1507="","",MAX($AF$1:$AF1507))</f>
        <v/>
      </c>
    </row>
    <row r="1508" spans="1:39" ht="13.5" customHeight="1" x14ac:dyDescent="0.3">
      <c r="A1508" s="8" t="s">
        <v>38</v>
      </c>
      <c r="B1508" s="9"/>
      <c r="C1508" s="10">
        <v>5</v>
      </c>
      <c r="D1508" s="11"/>
      <c r="AB1508" t="str" cm="1">
        <f t="array" ref="AB1508:AC1508">_xlfn._xlws.FILTER(A1508:Z1508,A1508:Z1508&lt;&gt;"","")</f>
        <v>Japanese</v>
      </c>
      <c r="AC1508">
        <v>5</v>
      </c>
      <c r="AD1508" t="str">
        <v/>
      </c>
      <c r="AE1508" t="str">
        <v/>
      </c>
      <c r="AF1508" t="str" cm="1">
        <f t="array" ref="AF1508">IF(AD1508="","",SUMPRODUCT(IF(LEFT($AD$1:AD1508,2)="JS",1,0)))</f>
        <v/>
      </c>
      <c r="AG1508" t="str">
        <f t="shared" si="92"/>
        <v/>
      </c>
      <c r="AH1508" t="str">
        <f t="shared" si="93"/>
        <v/>
      </c>
      <c r="AI1508" t="str">
        <f>IF(AH1508="","",MAX($AF$1:$AF1508))</f>
        <v/>
      </c>
      <c r="AJ1508" t="str">
        <f t="shared" si="94"/>
        <v/>
      </c>
      <c r="AK1508" t="str">
        <f>IF(AJ1508="","",MAX($AF$1:$AF1508))</f>
        <v/>
      </c>
      <c r="AL1508" t="str">
        <f t="shared" si="95"/>
        <v/>
      </c>
      <c r="AM1508" t="str">
        <f>IF(AL1508="","",MAX($AF$1:$AF1508))</f>
        <v/>
      </c>
    </row>
    <row r="1509" spans="1:39" ht="13.5" customHeight="1" x14ac:dyDescent="0.3">
      <c r="A1509" s="8" t="s">
        <v>39</v>
      </c>
      <c r="B1509" s="9"/>
      <c r="C1509" s="10">
        <v>5</v>
      </c>
      <c r="D1509" s="11"/>
      <c r="AB1509" t="str" cm="1">
        <f t="array" ref="AB1509:AC1509">_xlfn._xlws.FILTER(A1509:Z1509,A1509:Z1509&lt;&gt;"","")</f>
        <v>Spanish</v>
      </c>
      <c r="AC1509">
        <v>5</v>
      </c>
      <c r="AD1509" t="str">
        <v/>
      </c>
      <c r="AE1509" t="str">
        <v/>
      </c>
      <c r="AF1509" t="str" cm="1">
        <f t="array" ref="AF1509">IF(AD1509="","",SUMPRODUCT(IF(LEFT($AD$1:AD1509,2)="JS",1,0)))</f>
        <v/>
      </c>
      <c r="AG1509" t="str">
        <f t="shared" si="92"/>
        <v/>
      </c>
      <c r="AH1509" t="str">
        <f t="shared" si="93"/>
        <v/>
      </c>
      <c r="AI1509" t="str">
        <f>IF(AH1509="","",MAX($AF$1:$AF1509))</f>
        <v/>
      </c>
      <c r="AJ1509" t="str">
        <f t="shared" si="94"/>
        <v/>
      </c>
      <c r="AK1509" t="str">
        <f>IF(AJ1509="","",MAX($AF$1:$AF1509))</f>
        <v/>
      </c>
      <c r="AL1509" t="str">
        <f t="shared" si="95"/>
        <v/>
      </c>
      <c r="AM1509" t="str">
        <f>IF(AL1509="","",MAX($AF$1:$AF1509))</f>
        <v/>
      </c>
    </row>
    <row r="1510" spans="1:39" ht="13.5" customHeight="1" x14ac:dyDescent="0.3">
      <c r="A1510" s="8" t="s">
        <v>40</v>
      </c>
      <c r="B1510" s="9"/>
      <c r="C1510" s="10">
        <v>5</v>
      </c>
      <c r="D1510" s="11"/>
      <c r="AB1510" t="str" cm="1">
        <f t="array" ref="AB1510:AC1510">_xlfn._xlws.FILTER(A1510:Z1510,A1510:Z1510&lt;&gt;"","")</f>
        <v>Urdu</v>
      </c>
      <c r="AC1510">
        <v>5</v>
      </c>
      <c r="AD1510" t="str">
        <v/>
      </c>
      <c r="AE1510" t="str">
        <v/>
      </c>
      <c r="AF1510" t="str" cm="1">
        <f t="array" ref="AF1510">IF(AD1510="","",SUMPRODUCT(IF(LEFT($AD$1:AD1510,2)="JS",1,0)))</f>
        <v/>
      </c>
      <c r="AG1510" t="str">
        <f t="shared" si="92"/>
        <v/>
      </c>
      <c r="AH1510" t="str">
        <f t="shared" si="93"/>
        <v/>
      </c>
      <c r="AI1510" t="str">
        <f>IF(AH1510="","",MAX($AF$1:$AF1510))</f>
        <v/>
      </c>
      <c r="AJ1510" t="str">
        <f t="shared" si="94"/>
        <v/>
      </c>
      <c r="AK1510" t="str">
        <f>IF(AJ1510="","",MAX($AF$1:$AF1510))</f>
        <v/>
      </c>
      <c r="AL1510" t="str">
        <f t="shared" si="95"/>
        <v/>
      </c>
      <c r="AM1510" t="str">
        <f>IF(AL1510="","",MAX($AF$1:$AF1510))</f>
        <v/>
      </c>
    </row>
    <row r="1511" spans="1:39" ht="15" customHeight="1" x14ac:dyDescent="0.3">
      <c r="A1511" s="18" t="s">
        <v>206</v>
      </c>
      <c r="B1511" s="18"/>
      <c r="C1511" s="18"/>
      <c r="D1511" s="1"/>
      <c r="AB1511" t="str" cm="1">
        <f t="array" ref="AB1511">_xlfn._xlws.FILTER(A1511:Z1511,A1511:Z1511&lt;&gt;"","")</f>
        <v>JUPAS Code: JS3741</v>
      </c>
      <c r="AD1511" t="str">
        <v>JS3741</v>
      </c>
      <c r="AE1511" t="str">
        <v/>
      </c>
      <c r="AF1511" cm="1">
        <f t="array" ref="AF1511">IF(AD1511="","",SUMPRODUCT(IF(LEFT($AD$1:AD1511,2)="JS",1,0)))</f>
        <v>30</v>
      </c>
      <c r="AG1511" t="str">
        <f t="shared" si="92"/>
        <v/>
      </c>
      <c r="AH1511" t="str">
        <f t="shared" si="93"/>
        <v/>
      </c>
      <c r="AI1511" t="str">
        <f>IF(AH1511="","",MAX($AF$1:$AF1511))</f>
        <v/>
      </c>
      <c r="AJ1511" t="str">
        <f t="shared" si="94"/>
        <v/>
      </c>
      <c r="AK1511" t="str">
        <f>IF(AJ1511="","",MAX($AF$1:$AF1511))</f>
        <v/>
      </c>
      <c r="AL1511" t="str">
        <f t="shared" si="95"/>
        <v/>
      </c>
      <c r="AM1511" t="str">
        <f>IF(AL1511="","",MAX($AF$1:$AF1511))</f>
        <v/>
      </c>
    </row>
    <row r="1512" spans="1:39" ht="13.5" customHeight="1" x14ac:dyDescent="0.3">
      <c r="A1512" s="18" t="s">
        <v>207</v>
      </c>
      <c r="B1512" s="18"/>
      <c r="C1512" s="18"/>
      <c r="D1512" s="1"/>
      <c r="AB1512" t="str" cm="1">
        <f t="array" ref="AB1512">_xlfn._xlws.FILTER(A1512:Z1512,A1512:Z1512&lt;&gt;"","")</f>
        <v>Programme Title: BEng (Hons) Scheme in Mechanical Engineering</v>
      </c>
      <c r="AD1512" t="str">
        <v/>
      </c>
      <c r="AE1512" t="str">
        <v>BEng (Hons) Scheme in Mechanical Engineering</v>
      </c>
      <c r="AF1512" t="str" cm="1">
        <f t="array" ref="AF1512">IF(AD1512="","",SUMPRODUCT(IF(LEFT($AD$1:AD1512,2)="JS",1,0)))</f>
        <v/>
      </c>
      <c r="AG1512" t="str">
        <f t="shared" si="92"/>
        <v/>
      </c>
      <c r="AH1512" t="str">
        <f t="shared" si="93"/>
        <v/>
      </c>
      <c r="AI1512" t="str">
        <f>IF(AH1512="","",MAX($AF$1:$AF1512))</f>
        <v/>
      </c>
      <c r="AJ1512" t="str">
        <f t="shared" si="94"/>
        <v/>
      </c>
      <c r="AK1512" t="str">
        <f>IF(AJ1512="","",MAX($AF$1:$AF1512))</f>
        <v/>
      </c>
      <c r="AL1512" t="str">
        <f t="shared" si="95"/>
        <v/>
      </c>
      <c r="AM1512" t="str">
        <f>IF(AL1512="","",MAX($AF$1:$AF1512))</f>
        <v/>
      </c>
    </row>
    <row r="1513" spans="1:39" ht="14.5" customHeight="1" x14ac:dyDescent="0.3">
      <c r="A1513" s="12"/>
      <c r="B1513" s="12"/>
      <c r="C1513" s="2"/>
      <c r="D1513" s="2"/>
      <c r="AB1513" t="str" cm="1">
        <f t="array" ref="AB1513">_xlfn._xlws.FILTER(A1513:Z1513,A1513:Z1513&lt;&gt;"","")</f>
        <v/>
      </c>
      <c r="AD1513" t="str">
        <v/>
      </c>
      <c r="AE1513" t="str">
        <v/>
      </c>
      <c r="AF1513" t="str" cm="1">
        <f t="array" ref="AF1513">IF(AD1513="","",SUMPRODUCT(IF(LEFT($AD$1:AD1513,2)="JS",1,0)))</f>
        <v/>
      </c>
      <c r="AG1513" t="str">
        <f t="shared" si="92"/>
        <v/>
      </c>
      <c r="AH1513" t="str">
        <f t="shared" si="93"/>
        <v/>
      </c>
      <c r="AI1513" t="str">
        <f>IF(AH1513="","",MAX($AF$1:$AF1513))</f>
        <v/>
      </c>
      <c r="AJ1513" t="str">
        <f t="shared" si="94"/>
        <v/>
      </c>
      <c r="AK1513" t="str">
        <f>IF(AJ1513="","",MAX($AF$1:$AF1513))</f>
        <v/>
      </c>
      <c r="AL1513" t="str">
        <f t="shared" si="95"/>
        <v/>
      </c>
      <c r="AM1513" t="str">
        <f>IF(AL1513="","",MAX($AF$1:$AF1513))</f>
        <v/>
      </c>
    </row>
    <row r="1514" spans="1:39" ht="13.5" customHeight="1" x14ac:dyDescent="0.3">
      <c r="A1514" s="13" t="s">
        <v>2</v>
      </c>
      <c r="B1514" s="13"/>
      <c r="C1514" s="13"/>
      <c r="D1514" s="13"/>
      <c r="AB1514" t="str" cm="1">
        <f t="array" ref="AB1514">_xlfn._xlws.FILTER(A1514:Z1514,A1514:Z1514&lt;&gt;"","")</f>
        <v>Category A: Core and Elective Subjects</v>
      </c>
      <c r="AD1514" t="str">
        <v/>
      </c>
      <c r="AE1514" t="str">
        <v/>
      </c>
      <c r="AF1514" t="str" cm="1">
        <f t="array" ref="AF1514">IF(AD1514="","",SUMPRODUCT(IF(LEFT($AD$1:AD1514,2)="JS",1,0)))</f>
        <v/>
      </c>
      <c r="AG1514" t="str">
        <f t="shared" si="92"/>
        <v/>
      </c>
      <c r="AH1514" t="str">
        <f t="shared" si="93"/>
        <v/>
      </c>
      <c r="AI1514" t="str">
        <f>IF(AH1514="","",MAX($AF$1:$AF1514))</f>
        <v/>
      </c>
      <c r="AJ1514" t="str">
        <f t="shared" si="94"/>
        <v/>
      </c>
      <c r="AK1514" t="str">
        <f>IF(AJ1514="","",MAX($AF$1:$AF1514))</f>
        <v/>
      </c>
      <c r="AL1514" t="str">
        <f t="shared" si="95"/>
        <v/>
      </c>
      <c r="AM1514" t="str">
        <f>IF(AL1514="","",MAX($AF$1:$AF1514))</f>
        <v/>
      </c>
    </row>
    <row r="1515" spans="1:39" ht="13.5" customHeight="1" x14ac:dyDescent="0.3">
      <c r="A1515" s="14" t="s">
        <v>3</v>
      </c>
      <c r="B1515" s="15"/>
      <c r="C1515" s="16" t="s">
        <v>4</v>
      </c>
      <c r="D1515" s="17"/>
      <c r="AB1515" t="str" cm="1">
        <f t="array" ref="AB1515:AC1515">_xlfn._xlws.FILTER(A1515:Z1515,A1515:Z1515&lt;&gt;"","")</f>
        <v>Subject Name</v>
      </c>
      <c r="AC1515" t="str">
        <v>Subject Weighting for 2023/24 Admission Exercise *</v>
      </c>
      <c r="AD1515" t="str">
        <v/>
      </c>
      <c r="AE1515" t="str">
        <v/>
      </c>
      <c r="AF1515" t="str" cm="1">
        <f t="array" ref="AF1515">IF(AD1515="","",SUMPRODUCT(IF(LEFT($AD$1:AD1515,2)="JS",1,0)))</f>
        <v/>
      </c>
      <c r="AG1515" t="str">
        <f t="shared" si="92"/>
        <v/>
      </c>
      <c r="AH1515" t="str">
        <f t="shared" si="93"/>
        <v/>
      </c>
      <c r="AI1515" t="str">
        <f>IF(AH1515="","",MAX($AF$1:$AF1515))</f>
        <v/>
      </c>
      <c r="AJ1515" t="str">
        <f t="shared" si="94"/>
        <v/>
      </c>
      <c r="AK1515" t="str">
        <f>IF(AJ1515="","",MAX($AF$1:$AF1515))</f>
        <v/>
      </c>
      <c r="AL1515" t="str">
        <f t="shared" si="95"/>
        <v/>
      </c>
      <c r="AM1515" t="str">
        <f>IF(AL1515="","",MAX($AF$1:$AF1515))</f>
        <v/>
      </c>
    </row>
    <row r="1516" spans="1:39" ht="13.5" customHeight="1" x14ac:dyDescent="0.3">
      <c r="A1516" s="8" t="s">
        <v>211</v>
      </c>
      <c r="B1516" s="9"/>
      <c r="C1516" s="10">
        <v>10</v>
      </c>
      <c r="D1516" s="11"/>
      <c r="AB1516" t="str" cm="1">
        <f t="array" ref="AB1516:AC1516">_xlfn._xlws.FILTER(A1516:Z1516,A1516:Z1516&lt;&gt;"","")</f>
        <v>BIO</v>
      </c>
      <c r="AC1516">
        <v>10</v>
      </c>
      <c r="AD1516" t="str">
        <v/>
      </c>
      <c r="AE1516" t="str">
        <v/>
      </c>
      <c r="AF1516" t="str" cm="1">
        <f t="array" ref="AF1516">IF(AD1516="","",SUMPRODUCT(IF(LEFT($AD$1:AD1516,2)="JS",1,0)))</f>
        <v/>
      </c>
      <c r="AG1516" t="b">
        <f t="shared" si="92"/>
        <v>1</v>
      </c>
      <c r="AH1516" t="str">
        <f t="shared" si="93"/>
        <v>BIO</v>
      </c>
      <c r="AI1516">
        <f>IF(AH1516="","",MAX($AF$1:$AF1516))</f>
        <v>30</v>
      </c>
      <c r="AJ1516" t="str">
        <f t="shared" si="94"/>
        <v/>
      </c>
      <c r="AK1516" t="str">
        <f>IF(AJ1516="","",MAX($AF$1:$AF1516))</f>
        <v/>
      </c>
      <c r="AL1516" t="str">
        <f t="shared" si="95"/>
        <v/>
      </c>
      <c r="AM1516" t="str">
        <f>IF(AL1516="","",MAX($AF$1:$AF1516))</f>
        <v/>
      </c>
    </row>
    <row r="1517" spans="1:39" ht="13.5" customHeight="1" x14ac:dyDescent="0.3">
      <c r="A1517" s="8" t="s">
        <v>213</v>
      </c>
      <c r="B1517" s="9"/>
      <c r="C1517" s="10">
        <v>5</v>
      </c>
      <c r="D1517" s="11"/>
      <c r="AB1517" t="str" cm="1">
        <f t="array" ref="AB1517:AC1517">_xlfn._xlws.FILTER(A1517:Z1517,A1517:Z1517&lt;&gt;"","")</f>
        <v>BAFS</v>
      </c>
      <c r="AC1517">
        <v>5</v>
      </c>
      <c r="AD1517" t="str">
        <v/>
      </c>
      <c r="AE1517" t="str">
        <v/>
      </c>
      <c r="AF1517" t="str" cm="1">
        <f t="array" ref="AF1517">IF(AD1517="","",SUMPRODUCT(IF(LEFT($AD$1:AD1517,2)="JS",1,0)))</f>
        <v/>
      </c>
      <c r="AG1517" t="b">
        <f t="shared" si="92"/>
        <v>1</v>
      </c>
      <c r="AH1517" t="str">
        <f t="shared" si="93"/>
        <v/>
      </c>
      <c r="AI1517" t="str">
        <f>IF(AH1517="","",MAX($AF$1:$AF1517))</f>
        <v/>
      </c>
      <c r="AJ1517" t="str">
        <f t="shared" si="94"/>
        <v/>
      </c>
      <c r="AK1517" t="str">
        <f>IF(AJ1517="","",MAX($AF$1:$AF1517))</f>
        <v/>
      </c>
      <c r="AL1517" t="str">
        <f t="shared" si="95"/>
        <v>BAFS</v>
      </c>
      <c r="AM1517">
        <f>IF(AL1517="","",MAX($AF$1:$AF1517))</f>
        <v>30</v>
      </c>
    </row>
    <row r="1518" spans="1:39" ht="13.5" customHeight="1" x14ac:dyDescent="0.3">
      <c r="A1518" s="8" t="s">
        <v>5</v>
      </c>
      <c r="B1518" s="9"/>
      <c r="C1518" s="10">
        <v>5</v>
      </c>
      <c r="D1518" s="11"/>
      <c r="AB1518" t="str" cm="1">
        <f t="array" ref="AB1518:AC1518">_xlfn._xlws.FILTER(A1518:Z1518,A1518:Z1518&lt;&gt;"","")</f>
        <v>Business, Accounting and Financial Studies (Accounting)</v>
      </c>
      <c r="AC1518">
        <v>5</v>
      </c>
      <c r="AD1518" t="str">
        <v/>
      </c>
      <c r="AE1518" t="str">
        <v/>
      </c>
      <c r="AF1518" t="str" cm="1">
        <f t="array" ref="AF1518">IF(AD1518="","",SUMPRODUCT(IF(LEFT($AD$1:AD1518,2)="JS",1,0)))</f>
        <v/>
      </c>
      <c r="AG1518" t="str">
        <f t="shared" si="92"/>
        <v/>
      </c>
      <c r="AH1518" t="str">
        <f t="shared" si="93"/>
        <v/>
      </c>
      <c r="AI1518" t="str">
        <f>IF(AH1518="","",MAX($AF$1:$AF1518))</f>
        <v/>
      </c>
      <c r="AJ1518" t="str">
        <f t="shared" si="94"/>
        <v/>
      </c>
      <c r="AK1518" t="str">
        <f>IF(AJ1518="","",MAX($AF$1:$AF1518))</f>
        <v/>
      </c>
      <c r="AL1518" t="str">
        <f t="shared" si="95"/>
        <v/>
      </c>
      <c r="AM1518" t="str">
        <f>IF(AL1518="","",MAX($AF$1:$AF1518))</f>
        <v/>
      </c>
    </row>
    <row r="1519" spans="1:39" ht="13.5" customHeight="1" x14ac:dyDescent="0.3">
      <c r="A1519" s="8" t="s">
        <v>6</v>
      </c>
      <c r="B1519" s="9"/>
      <c r="C1519" s="10">
        <v>5</v>
      </c>
      <c r="D1519" s="11"/>
      <c r="AB1519" t="str" cm="1">
        <f t="array" ref="AB1519:AC1519">_xlfn._xlws.FILTER(A1519:Z1519,A1519:Z1519&lt;&gt;"","")</f>
        <v>Business, Accounting and Financial Studies (Business Management)</v>
      </c>
      <c r="AC1519">
        <v>5</v>
      </c>
      <c r="AD1519" t="str">
        <v/>
      </c>
      <c r="AE1519" t="str">
        <v/>
      </c>
      <c r="AF1519" t="str" cm="1">
        <f t="array" ref="AF1519">IF(AD1519="","",SUMPRODUCT(IF(LEFT($AD$1:AD1519,2)="JS",1,0)))</f>
        <v/>
      </c>
      <c r="AG1519" t="str">
        <f t="shared" si="92"/>
        <v/>
      </c>
      <c r="AH1519" t="str">
        <f t="shared" si="93"/>
        <v/>
      </c>
      <c r="AI1519" t="str">
        <f>IF(AH1519="","",MAX($AF$1:$AF1519))</f>
        <v/>
      </c>
      <c r="AJ1519" t="str">
        <f t="shared" si="94"/>
        <v/>
      </c>
      <c r="AK1519" t="str">
        <f>IF(AJ1519="","",MAX($AF$1:$AF1519))</f>
        <v/>
      </c>
      <c r="AL1519" t="str">
        <f t="shared" si="95"/>
        <v/>
      </c>
      <c r="AM1519" t="str">
        <f>IF(AL1519="","",MAX($AF$1:$AF1519))</f>
        <v/>
      </c>
    </row>
    <row r="1520" spans="1:39" ht="13.5" customHeight="1" x14ac:dyDescent="0.3">
      <c r="A1520" s="8" t="s">
        <v>212</v>
      </c>
      <c r="B1520" s="9"/>
      <c r="C1520" s="10">
        <v>10</v>
      </c>
      <c r="D1520" s="11"/>
      <c r="AB1520" t="str" cm="1">
        <f t="array" ref="AB1520:AC1520">_xlfn._xlws.FILTER(A1520:Z1520,A1520:Z1520&lt;&gt;"","")</f>
        <v>CHEM</v>
      </c>
      <c r="AC1520">
        <v>10</v>
      </c>
      <c r="AD1520" t="str">
        <v/>
      </c>
      <c r="AE1520" t="str">
        <v/>
      </c>
      <c r="AF1520" t="str" cm="1">
        <f t="array" ref="AF1520">IF(AD1520="","",SUMPRODUCT(IF(LEFT($AD$1:AD1520,2)="JS",1,0)))</f>
        <v/>
      </c>
      <c r="AG1520" t="b">
        <f t="shared" si="92"/>
        <v>1</v>
      </c>
      <c r="AH1520" t="str">
        <f t="shared" si="93"/>
        <v>CHEM</v>
      </c>
      <c r="AI1520">
        <f>IF(AH1520="","",MAX($AF$1:$AF1520))</f>
        <v>30</v>
      </c>
      <c r="AJ1520" t="str">
        <f t="shared" si="94"/>
        <v/>
      </c>
      <c r="AK1520" t="str">
        <f>IF(AJ1520="","",MAX($AF$1:$AF1520))</f>
        <v/>
      </c>
      <c r="AL1520" t="str">
        <f t="shared" si="95"/>
        <v/>
      </c>
      <c r="AM1520" t="str">
        <f>IF(AL1520="","",MAX($AF$1:$AF1520))</f>
        <v/>
      </c>
    </row>
    <row r="1521" spans="1:39" ht="13.5" customHeight="1" x14ac:dyDescent="0.3">
      <c r="A1521" s="8" t="s">
        <v>214</v>
      </c>
      <c r="B1521" s="9"/>
      <c r="C1521" s="10">
        <v>5</v>
      </c>
      <c r="D1521" s="11"/>
      <c r="AB1521" t="str" cm="1">
        <f t="array" ref="AB1521:AC1521">_xlfn._xlws.FILTER(A1521:Z1521,A1521:Z1521&lt;&gt;"","")</f>
        <v>中史</v>
      </c>
      <c r="AC1521">
        <v>5</v>
      </c>
      <c r="AD1521" t="str">
        <v/>
      </c>
      <c r="AE1521" t="str">
        <v/>
      </c>
      <c r="AF1521" t="str" cm="1">
        <f t="array" ref="AF1521">IF(AD1521="","",SUMPRODUCT(IF(LEFT($AD$1:AD1521,2)="JS",1,0)))</f>
        <v/>
      </c>
      <c r="AG1521" t="b">
        <f t="shared" si="92"/>
        <v>1</v>
      </c>
      <c r="AH1521" t="str">
        <f t="shared" si="93"/>
        <v/>
      </c>
      <c r="AI1521" t="str">
        <f>IF(AH1521="","",MAX($AF$1:$AF1521))</f>
        <v/>
      </c>
      <c r="AJ1521" t="str">
        <f t="shared" si="94"/>
        <v/>
      </c>
      <c r="AK1521" t="str">
        <f>IF(AJ1521="","",MAX($AF$1:$AF1521))</f>
        <v/>
      </c>
      <c r="AL1521" t="str">
        <f t="shared" si="95"/>
        <v>中史</v>
      </c>
      <c r="AM1521">
        <f>IF(AL1521="","",MAX($AF$1:$AF1521))</f>
        <v>30</v>
      </c>
    </row>
    <row r="1522" spans="1:39" ht="13.5" customHeight="1" x14ac:dyDescent="0.3">
      <c r="A1522" s="8" t="s">
        <v>216</v>
      </c>
      <c r="B1522" s="9"/>
      <c r="C1522" s="10">
        <v>7</v>
      </c>
      <c r="D1522" s="11"/>
      <c r="AB1522" t="str" cm="1">
        <f t="array" ref="AB1522:AC1522">_xlfn._xlws.FILTER(A1522:Z1522,A1522:Z1522&lt;&gt;"","")</f>
        <v>中文</v>
      </c>
      <c r="AC1522">
        <v>7</v>
      </c>
      <c r="AD1522" t="str">
        <v/>
      </c>
      <c r="AE1522" t="str">
        <v/>
      </c>
      <c r="AF1522" t="str" cm="1">
        <f t="array" ref="AF1522">IF(AD1522="","",SUMPRODUCT(IF(LEFT($AD$1:AD1522,2)="JS",1,0)))</f>
        <v/>
      </c>
      <c r="AG1522" t="b">
        <f t="shared" si="92"/>
        <v>1</v>
      </c>
      <c r="AH1522" t="str">
        <f t="shared" si="93"/>
        <v/>
      </c>
      <c r="AI1522" t="str">
        <f>IF(AH1522="","",MAX($AF$1:$AF1522))</f>
        <v/>
      </c>
      <c r="AJ1522" t="str">
        <f t="shared" si="94"/>
        <v>中文</v>
      </c>
      <c r="AK1522">
        <f>IF(AJ1522="","",MAX($AF$1:$AF1522))</f>
        <v>30</v>
      </c>
      <c r="AL1522" t="str">
        <f t="shared" si="95"/>
        <v/>
      </c>
      <c r="AM1522" t="str">
        <f>IF(AL1522="","",MAX($AF$1:$AF1522))</f>
        <v/>
      </c>
    </row>
    <row r="1523" spans="1:39" ht="13.5" customHeight="1" x14ac:dyDescent="0.3">
      <c r="A1523" s="8" t="s">
        <v>7</v>
      </c>
      <c r="B1523" s="9"/>
      <c r="C1523" s="10">
        <v>5</v>
      </c>
      <c r="D1523" s="11"/>
      <c r="AB1523" t="str" cm="1">
        <f t="array" ref="AB1523:AC1523">_xlfn._xlws.FILTER(A1523:Z1523,A1523:Z1523&lt;&gt;"","")</f>
        <v>Chinese Literature</v>
      </c>
      <c r="AC1523">
        <v>5</v>
      </c>
      <c r="AD1523" t="str">
        <v/>
      </c>
      <c r="AE1523" t="str">
        <v/>
      </c>
      <c r="AF1523" t="str" cm="1">
        <f t="array" ref="AF1523">IF(AD1523="","",SUMPRODUCT(IF(LEFT($AD$1:AD1523,2)="JS",1,0)))</f>
        <v/>
      </c>
      <c r="AG1523" t="str">
        <f t="shared" si="92"/>
        <v/>
      </c>
      <c r="AH1523" t="str">
        <f t="shared" si="93"/>
        <v/>
      </c>
      <c r="AI1523" t="str">
        <f>IF(AH1523="","",MAX($AF$1:$AF1523))</f>
        <v/>
      </c>
      <c r="AJ1523" t="str">
        <f t="shared" si="94"/>
        <v/>
      </c>
      <c r="AK1523" t="str">
        <f>IF(AJ1523="","",MAX($AF$1:$AF1523))</f>
        <v/>
      </c>
      <c r="AL1523" t="str">
        <f t="shared" si="95"/>
        <v/>
      </c>
      <c r="AM1523" t="str">
        <f>IF(AL1523="","",MAX($AF$1:$AF1523))</f>
        <v/>
      </c>
    </row>
    <row r="1524" spans="1:39" ht="13.5" customHeight="1" x14ac:dyDescent="0.3">
      <c r="A1524" s="8" t="s">
        <v>8</v>
      </c>
      <c r="B1524" s="9"/>
      <c r="C1524" s="10">
        <v>10</v>
      </c>
      <c r="D1524" s="11"/>
      <c r="AB1524" t="str" cm="1">
        <f t="array" ref="AB1524:AC1524">_xlfn._xlws.FILTER(A1524:Z1524,A1524:Z1524&lt;&gt;"","")</f>
        <v>Combined Science: Biology + Chemistry</v>
      </c>
      <c r="AC1524">
        <v>10</v>
      </c>
      <c r="AD1524" t="str">
        <v/>
      </c>
      <c r="AE1524" t="str">
        <v/>
      </c>
      <c r="AF1524" t="str" cm="1">
        <f t="array" ref="AF1524">IF(AD1524="","",SUMPRODUCT(IF(LEFT($AD$1:AD1524,2)="JS",1,0)))</f>
        <v/>
      </c>
      <c r="AG1524" t="str">
        <f t="shared" si="92"/>
        <v/>
      </c>
      <c r="AH1524" t="str">
        <f t="shared" si="93"/>
        <v/>
      </c>
      <c r="AI1524" t="str">
        <f>IF(AH1524="","",MAX($AF$1:$AF1524))</f>
        <v/>
      </c>
      <c r="AJ1524" t="str">
        <f t="shared" si="94"/>
        <v/>
      </c>
      <c r="AK1524" t="str">
        <f>IF(AJ1524="","",MAX($AF$1:$AF1524))</f>
        <v/>
      </c>
      <c r="AL1524" t="str">
        <f t="shared" si="95"/>
        <v/>
      </c>
      <c r="AM1524" t="str">
        <f>IF(AL1524="","",MAX($AF$1:$AF1524))</f>
        <v/>
      </c>
    </row>
    <row r="1525" spans="1:39" ht="13.5" customHeight="1" x14ac:dyDescent="0.3">
      <c r="A1525" s="8" t="s">
        <v>9</v>
      </c>
      <c r="B1525" s="9"/>
      <c r="C1525" s="10">
        <v>10</v>
      </c>
      <c r="D1525" s="11"/>
      <c r="AB1525" t="str" cm="1">
        <f t="array" ref="AB1525:AC1525">_xlfn._xlws.FILTER(A1525:Z1525,A1525:Z1525&lt;&gt;"","")</f>
        <v>Combined Science: Biology + Physics</v>
      </c>
      <c r="AC1525">
        <v>10</v>
      </c>
      <c r="AD1525" t="str">
        <v/>
      </c>
      <c r="AE1525" t="str">
        <v/>
      </c>
      <c r="AF1525" t="str" cm="1">
        <f t="array" ref="AF1525">IF(AD1525="","",SUMPRODUCT(IF(LEFT($AD$1:AD1525,2)="JS",1,0)))</f>
        <v/>
      </c>
      <c r="AG1525" t="str">
        <f t="shared" si="92"/>
        <v/>
      </c>
      <c r="AH1525" t="str">
        <f t="shared" si="93"/>
        <v/>
      </c>
      <c r="AI1525" t="str">
        <f>IF(AH1525="","",MAX($AF$1:$AF1525))</f>
        <v/>
      </c>
      <c r="AJ1525" t="str">
        <f t="shared" si="94"/>
        <v/>
      </c>
      <c r="AK1525" t="str">
        <f>IF(AJ1525="","",MAX($AF$1:$AF1525))</f>
        <v/>
      </c>
      <c r="AL1525" t="str">
        <f t="shared" si="95"/>
        <v/>
      </c>
      <c r="AM1525" t="str">
        <f>IF(AL1525="","",MAX($AF$1:$AF1525))</f>
        <v/>
      </c>
    </row>
    <row r="1526" spans="1:39" ht="13.5" customHeight="1" x14ac:dyDescent="0.3">
      <c r="A1526" s="8" t="s">
        <v>10</v>
      </c>
      <c r="B1526" s="9"/>
      <c r="C1526" s="10">
        <v>10</v>
      </c>
      <c r="D1526" s="11"/>
      <c r="AB1526" t="str" cm="1">
        <f t="array" ref="AB1526:AC1526">_xlfn._xlws.FILTER(A1526:Z1526,A1526:Z1526&lt;&gt;"","")</f>
        <v>Combined Science: Physics + Chemistry</v>
      </c>
      <c r="AC1526">
        <v>10</v>
      </c>
      <c r="AD1526" t="str">
        <v/>
      </c>
      <c r="AE1526" t="str">
        <v/>
      </c>
      <c r="AF1526" t="str" cm="1">
        <f t="array" ref="AF1526">IF(AD1526="","",SUMPRODUCT(IF(LEFT($AD$1:AD1526,2)="JS",1,0)))</f>
        <v/>
      </c>
      <c r="AG1526" t="str">
        <f t="shared" si="92"/>
        <v/>
      </c>
      <c r="AH1526" t="str">
        <f t="shared" si="93"/>
        <v/>
      </c>
      <c r="AI1526" t="str">
        <f>IF(AH1526="","",MAX($AF$1:$AF1526))</f>
        <v/>
      </c>
      <c r="AJ1526" t="str">
        <f t="shared" si="94"/>
        <v/>
      </c>
      <c r="AK1526" t="str">
        <f>IF(AJ1526="","",MAX($AF$1:$AF1526))</f>
        <v/>
      </c>
      <c r="AL1526" t="str">
        <f t="shared" si="95"/>
        <v/>
      </c>
      <c r="AM1526" t="str">
        <f>IF(AL1526="","",MAX($AF$1:$AF1526))</f>
        <v/>
      </c>
    </row>
    <row r="1527" spans="1:39" ht="13.5" customHeight="1" x14ac:dyDescent="0.3">
      <c r="A1527" s="8" t="s">
        <v>11</v>
      </c>
      <c r="B1527" s="9"/>
      <c r="C1527" s="10">
        <v>7</v>
      </c>
      <c r="D1527" s="11"/>
      <c r="AB1527" t="str" cm="1">
        <f t="array" ref="AB1527:AC1527">_xlfn._xlws.FILTER(A1527:Z1527,A1527:Z1527&lt;&gt;"","")</f>
        <v>Design and Applied Technology</v>
      </c>
      <c r="AC1527">
        <v>7</v>
      </c>
      <c r="AD1527" t="str">
        <v/>
      </c>
      <c r="AE1527" t="str">
        <v/>
      </c>
      <c r="AF1527" t="str" cm="1">
        <f t="array" ref="AF1527">IF(AD1527="","",SUMPRODUCT(IF(LEFT($AD$1:AD1527,2)="JS",1,0)))</f>
        <v/>
      </c>
      <c r="AG1527" t="str">
        <f t="shared" si="92"/>
        <v/>
      </c>
      <c r="AH1527" t="str">
        <f t="shared" si="93"/>
        <v/>
      </c>
      <c r="AI1527" t="str">
        <f>IF(AH1527="","",MAX($AF$1:$AF1527))</f>
        <v/>
      </c>
      <c r="AJ1527" t="str">
        <f t="shared" si="94"/>
        <v/>
      </c>
      <c r="AK1527" t="str">
        <f>IF(AJ1527="","",MAX($AF$1:$AF1527))</f>
        <v/>
      </c>
      <c r="AL1527" t="str">
        <f t="shared" si="95"/>
        <v/>
      </c>
      <c r="AM1527" t="str">
        <f>IF(AL1527="","",MAX($AF$1:$AF1527))</f>
        <v/>
      </c>
    </row>
    <row r="1528" spans="1:39" ht="13.5" customHeight="1" x14ac:dyDescent="0.3">
      <c r="A1528" s="8" t="s">
        <v>217</v>
      </c>
      <c r="B1528" s="9"/>
      <c r="C1528" s="10">
        <v>5</v>
      </c>
      <c r="D1528" s="11"/>
      <c r="AB1528" t="str" cm="1">
        <f t="array" ref="AB1528:AC1528">_xlfn._xlws.FILTER(A1528:Z1528,A1528:Z1528&lt;&gt;"","")</f>
        <v>ECON</v>
      </c>
      <c r="AC1528">
        <v>5</v>
      </c>
      <c r="AD1528" t="str">
        <v/>
      </c>
      <c r="AE1528" t="str">
        <v/>
      </c>
      <c r="AF1528" t="str" cm="1">
        <f t="array" ref="AF1528">IF(AD1528="","",SUMPRODUCT(IF(LEFT($AD$1:AD1528,2)="JS",1,0)))</f>
        <v/>
      </c>
      <c r="AG1528" t="b">
        <f t="shared" si="92"/>
        <v>1</v>
      </c>
      <c r="AH1528" t="str">
        <f t="shared" si="93"/>
        <v/>
      </c>
      <c r="AI1528" t="str">
        <f>IF(AH1528="","",MAX($AF$1:$AF1528))</f>
        <v/>
      </c>
      <c r="AJ1528" t="str">
        <f t="shared" si="94"/>
        <v/>
      </c>
      <c r="AK1528" t="str">
        <f>IF(AJ1528="","",MAX($AF$1:$AF1528))</f>
        <v/>
      </c>
      <c r="AL1528" t="str">
        <f t="shared" si="95"/>
        <v>ECON</v>
      </c>
      <c r="AM1528">
        <f>IF(AL1528="","",MAX($AF$1:$AF1528))</f>
        <v>30</v>
      </c>
    </row>
    <row r="1529" spans="1:39" ht="13.5" customHeight="1" x14ac:dyDescent="0.3">
      <c r="A1529" s="8" t="s">
        <v>218</v>
      </c>
      <c r="B1529" s="9"/>
      <c r="C1529" s="10">
        <v>10</v>
      </c>
      <c r="D1529" s="11"/>
      <c r="AB1529" t="str" cm="1">
        <f t="array" ref="AB1529:AC1529">_xlfn._xlws.FILTER(A1529:Z1529,A1529:Z1529&lt;&gt;"","")</f>
        <v>ENG</v>
      </c>
      <c r="AC1529">
        <v>10</v>
      </c>
      <c r="AD1529" t="str">
        <v/>
      </c>
      <c r="AE1529" t="str">
        <v/>
      </c>
      <c r="AF1529" t="str" cm="1">
        <f t="array" ref="AF1529">IF(AD1529="","",SUMPRODUCT(IF(LEFT($AD$1:AD1529,2)="JS",1,0)))</f>
        <v/>
      </c>
      <c r="AG1529" t="b">
        <f t="shared" si="92"/>
        <v>1</v>
      </c>
      <c r="AH1529" t="str">
        <f t="shared" si="93"/>
        <v>ENG</v>
      </c>
      <c r="AI1529">
        <f>IF(AH1529="","",MAX($AF$1:$AF1529))</f>
        <v>30</v>
      </c>
      <c r="AJ1529" t="str">
        <f t="shared" si="94"/>
        <v/>
      </c>
      <c r="AK1529" t="str">
        <f>IF(AJ1529="","",MAX($AF$1:$AF1529))</f>
        <v/>
      </c>
      <c r="AL1529" t="str">
        <f t="shared" si="95"/>
        <v/>
      </c>
      <c r="AM1529" t="str">
        <f>IF(AL1529="","",MAX($AF$1:$AF1529))</f>
        <v/>
      </c>
    </row>
    <row r="1530" spans="1:39" ht="13.5" customHeight="1" x14ac:dyDescent="0.3">
      <c r="A1530" s="8" t="s">
        <v>12</v>
      </c>
      <c r="B1530" s="9"/>
      <c r="C1530" s="10">
        <v>5</v>
      </c>
      <c r="D1530" s="11"/>
      <c r="AB1530" t="str" cm="1">
        <f t="array" ref="AB1530:AC1530">_xlfn._xlws.FILTER(A1530:Z1530,A1530:Z1530&lt;&gt;"","")</f>
        <v>Ethics and Religious Studies</v>
      </c>
      <c r="AC1530">
        <v>5</v>
      </c>
      <c r="AD1530" t="str">
        <v/>
      </c>
      <c r="AE1530" t="str">
        <v/>
      </c>
      <c r="AF1530" t="str" cm="1">
        <f t="array" ref="AF1530">IF(AD1530="","",SUMPRODUCT(IF(LEFT($AD$1:AD1530,2)="JS",1,0)))</f>
        <v/>
      </c>
      <c r="AG1530" t="str">
        <f t="shared" si="92"/>
        <v/>
      </c>
      <c r="AH1530" t="str">
        <f t="shared" si="93"/>
        <v/>
      </c>
      <c r="AI1530" t="str">
        <f>IF(AH1530="","",MAX($AF$1:$AF1530))</f>
        <v/>
      </c>
      <c r="AJ1530" t="str">
        <f t="shared" si="94"/>
        <v/>
      </c>
      <c r="AK1530" t="str">
        <f>IF(AJ1530="","",MAX($AF$1:$AF1530))</f>
        <v/>
      </c>
      <c r="AL1530" t="str">
        <f t="shared" si="95"/>
        <v/>
      </c>
      <c r="AM1530" t="str">
        <f>IF(AL1530="","",MAX($AF$1:$AF1530))</f>
        <v/>
      </c>
    </row>
    <row r="1531" spans="1:39" ht="13.5" customHeight="1" x14ac:dyDescent="0.3">
      <c r="A1531" s="8" t="s">
        <v>219</v>
      </c>
      <c r="B1531" s="9"/>
      <c r="C1531" s="10">
        <v>5</v>
      </c>
      <c r="D1531" s="11"/>
      <c r="AB1531" t="str" cm="1">
        <f t="array" ref="AB1531:AC1531">_xlfn._xlws.FILTER(A1531:Z1531,A1531:Z1531&lt;&gt;"","")</f>
        <v>GEOG</v>
      </c>
      <c r="AC1531">
        <v>5</v>
      </c>
      <c r="AD1531" t="str">
        <v/>
      </c>
      <c r="AE1531" t="str">
        <v/>
      </c>
      <c r="AF1531" t="str" cm="1">
        <f t="array" ref="AF1531">IF(AD1531="","",SUMPRODUCT(IF(LEFT($AD$1:AD1531,2)="JS",1,0)))</f>
        <v/>
      </c>
      <c r="AG1531" t="b">
        <f t="shared" si="92"/>
        <v>1</v>
      </c>
      <c r="AH1531" t="str">
        <f t="shared" si="93"/>
        <v/>
      </c>
      <c r="AI1531" t="str">
        <f>IF(AH1531="","",MAX($AF$1:$AF1531))</f>
        <v/>
      </c>
      <c r="AJ1531" t="str">
        <f t="shared" si="94"/>
        <v/>
      </c>
      <c r="AK1531" t="str">
        <f>IF(AJ1531="","",MAX($AF$1:$AF1531))</f>
        <v/>
      </c>
      <c r="AL1531" t="str">
        <f t="shared" si="95"/>
        <v>GEOG</v>
      </c>
      <c r="AM1531">
        <f>IF(AL1531="","",MAX($AF$1:$AF1531))</f>
        <v>30</v>
      </c>
    </row>
    <row r="1532" spans="1:39" ht="13.5" customHeight="1" x14ac:dyDescent="0.3">
      <c r="A1532" s="8" t="s">
        <v>220</v>
      </c>
      <c r="B1532" s="9"/>
      <c r="C1532" s="10">
        <v>5</v>
      </c>
      <c r="D1532" s="11"/>
      <c r="AB1532" t="str" cm="1">
        <f t="array" ref="AB1532:AC1532">_xlfn._xlws.FILTER(A1532:Z1532,A1532:Z1532&lt;&gt;"","")</f>
        <v>HMSC</v>
      </c>
      <c r="AC1532">
        <v>5</v>
      </c>
      <c r="AD1532" t="str">
        <v/>
      </c>
      <c r="AE1532" t="str">
        <v/>
      </c>
      <c r="AF1532" t="str" cm="1">
        <f t="array" ref="AF1532">IF(AD1532="","",SUMPRODUCT(IF(LEFT($AD$1:AD1532,2)="JS",1,0)))</f>
        <v/>
      </c>
      <c r="AG1532" t="b">
        <f t="shared" si="92"/>
        <v>1</v>
      </c>
      <c r="AH1532" t="str">
        <f t="shared" si="93"/>
        <v/>
      </c>
      <c r="AI1532" t="str">
        <f>IF(AH1532="","",MAX($AF$1:$AF1532))</f>
        <v/>
      </c>
      <c r="AJ1532" t="str">
        <f t="shared" si="94"/>
        <v/>
      </c>
      <c r="AK1532" t="str">
        <f>IF(AJ1532="","",MAX($AF$1:$AF1532))</f>
        <v/>
      </c>
      <c r="AL1532" t="str">
        <f t="shared" si="95"/>
        <v>HMSC</v>
      </c>
      <c r="AM1532">
        <f>IF(AL1532="","",MAX($AF$1:$AF1532))</f>
        <v>30</v>
      </c>
    </row>
    <row r="1533" spans="1:39" ht="13.5" customHeight="1" x14ac:dyDescent="0.3">
      <c r="A1533" s="8" t="s">
        <v>221</v>
      </c>
      <c r="B1533" s="9"/>
      <c r="C1533" s="10">
        <v>5</v>
      </c>
      <c r="D1533" s="11"/>
      <c r="AB1533" t="str" cm="1">
        <f t="array" ref="AB1533:AC1533">_xlfn._xlws.FILTER(A1533:Z1533,A1533:Z1533&lt;&gt;"","")</f>
        <v>HIST</v>
      </c>
      <c r="AC1533">
        <v>5</v>
      </c>
      <c r="AD1533" t="str">
        <v/>
      </c>
      <c r="AE1533" t="str">
        <v/>
      </c>
      <c r="AF1533" t="str" cm="1">
        <f t="array" ref="AF1533">IF(AD1533="","",SUMPRODUCT(IF(LEFT($AD$1:AD1533,2)="JS",1,0)))</f>
        <v/>
      </c>
      <c r="AG1533" t="b">
        <f t="shared" si="92"/>
        <v>1</v>
      </c>
      <c r="AH1533" t="str">
        <f t="shared" si="93"/>
        <v/>
      </c>
      <c r="AI1533" t="str">
        <f>IF(AH1533="","",MAX($AF$1:$AF1533))</f>
        <v/>
      </c>
      <c r="AJ1533" t="str">
        <f t="shared" si="94"/>
        <v/>
      </c>
      <c r="AK1533" t="str">
        <f>IF(AJ1533="","",MAX($AF$1:$AF1533))</f>
        <v/>
      </c>
      <c r="AL1533" t="str">
        <f t="shared" si="95"/>
        <v>HIST</v>
      </c>
      <c r="AM1533">
        <f>IF(AL1533="","",MAX($AF$1:$AF1533))</f>
        <v>30</v>
      </c>
    </row>
    <row r="1534" spans="1:39" ht="13.5" customHeight="1" x14ac:dyDescent="0.3">
      <c r="A1534" s="8" t="s">
        <v>222</v>
      </c>
      <c r="B1534" s="9"/>
      <c r="C1534" s="10">
        <v>10</v>
      </c>
      <c r="D1534" s="11"/>
      <c r="AB1534" t="str" cm="1">
        <f t="array" ref="AB1534:AC1534">_xlfn._xlws.FILTER(A1534:Z1534,A1534:Z1534&lt;&gt;"","")</f>
        <v>ICT</v>
      </c>
      <c r="AC1534">
        <v>10</v>
      </c>
      <c r="AD1534" t="str">
        <v/>
      </c>
      <c r="AE1534" t="str">
        <v/>
      </c>
      <c r="AF1534" t="str" cm="1">
        <f t="array" ref="AF1534">IF(AD1534="","",SUMPRODUCT(IF(LEFT($AD$1:AD1534,2)="JS",1,0)))</f>
        <v/>
      </c>
      <c r="AG1534" t="b">
        <f t="shared" si="92"/>
        <v>1</v>
      </c>
      <c r="AH1534" t="str">
        <f t="shared" si="93"/>
        <v>ICT</v>
      </c>
      <c r="AI1534">
        <f>IF(AH1534="","",MAX($AF$1:$AF1534))</f>
        <v>30</v>
      </c>
      <c r="AJ1534" t="str">
        <f t="shared" si="94"/>
        <v/>
      </c>
      <c r="AK1534" t="str">
        <f>IF(AJ1534="","",MAX($AF$1:$AF1534))</f>
        <v/>
      </c>
      <c r="AL1534" t="str">
        <f t="shared" si="95"/>
        <v/>
      </c>
      <c r="AM1534" t="str">
        <f>IF(AL1534="","",MAX($AF$1:$AF1534))</f>
        <v/>
      </c>
    </row>
    <row r="1535" spans="1:39" ht="13.5" customHeight="1" x14ac:dyDescent="0.3">
      <c r="A1535" s="8" t="s">
        <v>13</v>
      </c>
      <c r="B1535" s="9"/>
      <c r="C1535" s="10">
        <v>5</v>
      </c>
      <c r="D1535" s="11"/>
      <c r="AB1535" t="str" cm="1">
        <f t="array" ref="AB1535:AC1535">_xlfn._xlws.FILTER(A1535:Z1535,A1535:Z1535&lt;&gt;"","")</f>
        <v>Integrated Science</v>
      </c>
      <c r="AC1535">
        <v>5</v>
      </c>
      <c r="AD1535" t="str">
        <v/>
      </c>
      <c r="AE1535" t="str">
        <v/>
      </c>
      <c r="AF1535" t="str" cm="1">
        <f t="array" ref="AF1535">IF(AD1535="","",SUMPRODUCT(IF(LEFT($AD$1:AD1535,2)="JS",1,0)))</f>
        <v/>
      </c>
      <c r="AG1535" t="str">
        <f t="shared" si="92"/>
        <v/>
      </c>
      <c r="AH1535" t="str">
        <f t="shared" si="93"/>
        <v/>
      </c>
      <c r="AI1535" t="str">
        <f>IF(AH1535="","",MAX($AF$1:$AF1535))</f>
        <v/>
      </c>
      <c r="AJ1535" t="str">
        <f t="shared" si="94"/>
        <v/>
      </c>
      <c r="AK1535" t="str">
        <f>IF(AJ1535="","",MAX($AF$1:$AF1535))</f>
        <v/>
      </c>
      <c r="AL1535" t="str">
        <f t="shared" si="95"/>
        <v/>
      </c>
      <c r="AM1535" t="str">
        <f>IF(AL1535="","",MAX($AF$1:$AF1535))</f>
        <v/>
      </c>
    </row>
    <row r="1536" spans="1:39" ht="13.5" customHeight="1" x14ac:dyDescent="0.3">
      <c r="A1536" s="8" t="s">
        <v>223</v>
      </c>
      <c r="B1536" s="9"/>
      <c r="C1536" s="10">
        <v>7</v>
      </c>
      <c r="D1536" s="11"/>
      <c r="AB1536" t="str" cm="1">
        <f t="array" ref="AB1536:AC1536">_xlfn._xlws.FILTER(A1536:Z1536,A1536:Z1536&lt;&gt;"","")</f>
        <v>通</v>
      </c>
      <c r="AC1536">
        <v>7</v>
      </c>
      <c r="AD1536" t="str">
        <v/>
      </c>
      <c r="AE1536" t="str">
        <v/>
      </c>
      <c r="AF1536" t="str" cm="1">
        <f t="array" ref="AF1536">IF(AD1536="","",SUMPRODUCT(IF(LEFT($AD$1:AD1536,2)="JS",1,0)))</f>
        <v/>
      </c>
      <c r="AG1536" t="b">
        <f t="shared" si="92"/>
        <v>1</v>
      </c>
      <c r="AH1536" t="str">
        <f t="shared" si="93"/>
        <v/>
      </c>
      <c r="AI1536" t="str">
        <f>IF(AH1536="","",MAX($AF$1:$AF1536))</f>
        <v/>
      </c>
      <c r="AJ1536" t="str">
        <f t="shared" si="94"/>
        <v>通</v>
      </c>
      <c r="AK1536">
        <f>IF(AJ1536="","",MAX($AF$1:$AF1536))</f>
        <v>30</v>
      </c>
      <c r="AL1536" t="str">
        <f t="shared" si="95"/>
        <v/>
      </c>
      <c r="AM1536" t="str">
        <f>IF(AL1536="","",MAX($AF$1:$AF1536))</f>
        <v/>
      </c>
    </row>
    <row r="1537" spans="1:39" ht="13.5" customHeight="1" x14ac:dyDescent="0.3">
      <c r="A1537" s="8" t="s">
        <v>14</v>
      </c>
      <c r="B1537" s="9"/>
      <c r="C1537" s="10">
        <v>5</v>
      </c>
      <c r="D1537" s="11"/>
      <c r="AB1537" t="str" cm="1">
        <f t="array" ref="AB1537:AC1537">_xlfn._xlws.FILTER(A1537:Z1537,A1537:Z1537&lt;&gt;"","")</f>
        <v>Literature in English</v>
      </c>
      <c r="AC1537">
        <v>5</v>
      </c>
      <c r="AD1537" t="str">
        <v/>
      </c>
      <c r="AE1537" t="str">
        <v/>
      </c>
      <c r="AF1537" t="str" cm="1">
        <f t="array" ref="AF1537">IF(AD1537="","",SUMPRODUCT(IF(LEFT($AD$1:AD1537,2)="JS",1,0)))</f>
        <v/>
      </c>
      <c r="AG1537" t="str">
        <f t="shared" ref="AG1537:AG1600" si="96">IF(ISNUMBER(MATCH(AB1537,$AV$3:$AV$18,0)),TRUE,"")</f>
        <v/>
      </c>
      <c r="AH1537" t="str">
        <f t="shared" si="93"/>
        <v/>
      </c>
      <c r="AI1537" t="str">
        <f>IF(AH1537="","",MAX($AF$1:$AF1537))</f>
        <v/>
      </c>
      <c r="AJ1537" t="str">
        <f t="shared" si="94"/>
        <v/>
      </c>
      <c r="AK1537" t="str">
        <f>IF(AJ1537="","",MAX($AF$1:$AF1537))</f>
        <v/>
      </c>
      <c r="AL1537" t="str">
        <f t="shared" si="95"/>
        <v/>
      </c>
      <c r="AM1537" t="str">
        <f>IF(AL1537="","",MAX($AF$1:$AF1537))</f>
        <v/>
      </c>
    </row>
    <row r="1538" spans="1:39" ht="13.5" customHeight="1" x14ac:dyDescent="0.3">
      <c r="A1538" s="8" t="s">
        <v>224</v>
      </c>
      <c r="B1538" s="9"/>
      <c r="C1538" s="10">
        <v>10</v>
      </c>
      <c r="D1538" s="11"/>
      <c r="AB1538" t="str" cm="1">
        <f t="array" ref="AB1538:AC1538">_xlfn._xlws.FILTER(A1538:Z1538,A1538:Z1538&lt;&gt;"","")</f>
        <v>MATH</v>
      </c>
      <c r="AC1538">
        <v>10</v>
      </c>
      <c r="AD1538" t="str">
        <v/>
      </c>
      <c r="AE1538" t="str">
        <v/>
      </c>
      <c r="AF1538" t="str" cm="1">
        <f t="array" ref="AF1538">IF(AD1538="","",SUMPRODUCT(IF(LEFT($AD$1:AD1538,2)="JS",1,0)))</f>
        <v/>
      </c>
      <c r="AG1538" t="b">
        <f t="shared" si="96"/>
        <v>1</v>
      </c>
      <c r="AH1538" t="str">
        <f t="shared" ref="AH1538:AH1601" si="97">IF(AND(AC1538=10,AG1538=TRUE),AB1538,"")</f>
        <v>MATH</v>
      </c>
      <c r="AI1538">
        <f>IF(AH1538="","",MAX($AF$1:$AF1538))</f>
        <v>30</v>
      </c>
      <c r="AJ1538" t="str">
        <f t="shared" ref="AJ1538:AJ1601" si="98">IF(AND(AC1538=7,AG1538=TRUE),AB1538,"")</f>
        <v/>
      </c>
      <c r="AK1538" t="str">
        <f>IF(AJ1538="","",MAX($AF$1:$AF1538))</f>
        <v/>
      </c>
      <c r="AL1538" t="str">
        <f t="shared" ref="AL1538:AL1601" si="99">IF(AND(AC1538=5,AG1538=TRUE),AB1538,"")</f>
        <v/>
      </c>
      <c r="AM1538" t="str">
        <f>IF(AL1538="","",MAX($AF$1:$AF1538))</f>
        <v/>
      </c>
    </row>
    <row r="1539" spans="1:39" ht="13.5" customHeight="1" x14ac:dyDescent="0.3">
      <c r="A1539" s="8" t="s">
        <v>225</v>
      </c>
      <c r="B1539" s="9"/>
      <c r="C1539" s="10">
        <v>10</v>
      </c>
      <c r="D1539" s="11"/>
      <c r="AB1539" t="str" cm="1">
        <f t="array" ref="AB1539:AC1539">_xlfn._xlws.FILTER(A1539:Z1539,A1539:Z1539&lt;&gt;"","")</f>
        <v>M2</v>
      </c>
      <c r="AC1539">
        <v>10</v>
      </c>
      <c r="AD1539" t="str">
        <v/>
      </c>
      <c r="AE1539" t="str">
        <v/>
      </c>
      <c r="AF1539" t="str" cm="1">
        <f t="array" ref="AF1539">IF(AD1539="","",SUMPRODUCT(IF(LEFT($AD$1:AD1539,2)="JS",1,0)))</f>
        <v/>
      </c>
      <c r="AG1539" t="b">
        <f t="shared" si="96"/>
        <v>1</v>
      </c>
      <c r="AH1539" t="str">
        <f t="shared" si="97"/>
        <v>M2</v>
      </c>
      <c r="AI1539">
        <f>IF(AH1539="","",MAX($AF$1:$AF1539))</f>
        <v>30</v>
      </c>
      <c r="AJ1539" t="str">
        <f t="shared" si="98"/>
        <v/>
      </c>
      <c r="AK1539" t="str">
        <f>IF(AJ1539="","",MAX($AF$1:$AF1539))</f>
        <v/>
      </c>
      <c r="AL1539" t="str">
        <f t="shared" si="99"/>
        <v/>
      </c>
      <c r="AM1539" t="str">
        <f>IF(AL1539="","",MAX($AF$1:$AF1539))</f>
        <v/>
      </c>
    </row>
    <row r="1540" spans="1:39" ht="13.5" customHeight="1" x14ac:dyDescent="0.3">
      <c r="A1540" s="8" t="s">
        <v>15</v>
      </c>
      <c r="B1540" s="9"/>
      <c r="C1540" s="10">
        <v>10</v>
      </c>
      <c r="D1540" s="11"/>
      <c r="AB1540" t="str" cm="1">
        <f t="array" ref="AB1540:AC1540">_xlfn._xlws.FILTER(A1540:Z1540,A1540:Z1540&lt;&gt;"","")</f>
        <v>Mathematics (Extended part - Calculus and Statistics)</v>
      </c>
      <c r="AC1540">
        <v>10</v>
      </c>
      <c r="AD1540" t="str">
        <v/>
      </c>
      <c r="AE1540" t="str">
        <v/>
      </c>
      <c r="AF1540" t="str" cm="1">
        <f t="array" ref="AF1540">IF(AD1540="","",SUMPRODUCT(IF(LEFT($AD$1:AD1540,2)="JS",1,0)))</f>
        <v/>
      </c>
      <c r="AG1540" t="str">
        <f t="shared" si="96"/>
        <v/>
      </c>
      <c r="AH1540" t="str">
        <f t="shared" si="97"/>
        <v/>
      </c>
      <c r="AI1540" t="str">
        <f>IF(AH1540="","",MAX($AF$1:$AF1540))</f>
        <v/>
      </c>
      <c r="AJ1540" t="str">
        <f t="shared" si="98"/>
        <v/>
      </c>
      <c r="AK1540" t="str">
        <f>IF(AJ1540="","",MAX($AF$1:$AF1540))</f>
        <v/>
      </c>
      <c r="AL1540" t="str">
        <f t="shared" si="99"/>
        <v/>
      </c>
      <c r="AM1540" t="str">
        <f>IF(AL1540="","",MAX($AF$1:$AF1540))</f>
        <v/>
      </c>
    </row>
    <row r="1541" spans="1:39" ht="13.5" customHeight="1" x14ac:dyDescent="0.3">
      <c r="A1541" s="8" t="s">
        <v>16</v>
      </c>
      <c r="B1541" s="9"/>
      <c r="C1541" s="10">
        <v>5</v>
      </c>
      <c r="D1541" s="11"/>
      <c r="AB1541" t="str" cm="1">
        <f t="array" ref="AB1541:AC1541">_xlfn._xlws.FILTER(A1541:Z1541,A1541:Z1541&lt;&gt;"","")</f>
        <v>Music</v>
      </c>
      <c r="AC1541">
        <v>5</v>
      </c>
      <c r="AD1541" t="str">
        <v/>
      </c>
      <c r="AE1541" t="str">
        <v/>
      </c>
      <c r="AF1541" t="str" cm="1">
        <f t="array" ref="AF1541">IF(AD1541="","",SUMPRODUCT(IF(LEFT($AD$1:AD1541,2)="JS",1,0)))</f>
        <v/>
      </c>
      <c r="AG1541" t="str">
        <f t="shared" si="96"/>
        <v/>
      </c>
      <c r="AH1541" t="str">
        <f t="shared" si="97"/>
        <v/>
      </c>
      <c r="AI1541" t="str">
        <f>IF(AH1541="","",MAX($AF$1:$AF1541))</f>
        <v/>
      </c>
      <c r="AJ1541" t="str">
        <f t="shared" si="98"/>
        <v/>
      </c>
      <c r="AK1541" t="str">
        <f>IF(AJ1541="","",MAX($AF$1:$AF1541))</f>
        <v/>
      </c>
      <c r="AL1541" t="str">
        <f t="shared" si="99"/>
        <v/>
      </c>
      <c r="AM1541" t="str">
        <f>IF(AL1541="","",MAX($AF$1:$AF1541))</f>
        <v/>
      </c>
    </row>
    <row r="1542" spans="1:39" ht="13.5" customHeight="1" x14ac:dyDescent="0.3">
      <c r="A1542" s="8" t="s">
        <v>17</v>
      </c>
      <c r="B1542" s="9"/>
      <c r="C1542" s="10">
        <v>5</v>
      </c>
      <c r="D1542" s="11"/>
      <c r="AB1542" t="str" cm="1">
        <f t="array" ref="AB1542:AC1542">_xlfn._xlws.FILTER(A1542:Z1542,A1542:Z1542&lt;&gt;"","")</f>
        <v>Physical Education</v>
      </c>
      <c r="AC1542">
        <v>5</v>
      </c>
      <c r="AD1542" t="str">
        <v/>
      </c>
      <c r="AE1542" t="str">
        <v/>
      </c>
      <c r="AF1542" t="str" cm="1">
        <f t="array" ref="AF1542">IF(AD1542="","",SUMPRODUCT(IF(LEFT($AD$1:AD1542,2)="JS",1,0)))</f>
        <v/>
      </c>
      <c r="AG1542" t="str">
        <f t="shared" si="96"/>
        <v/>
      </c>
      <c r="AH1542" t="str">
        <f t="shared" si="97"/>
        <v/>
      </c>
      <c r="AI1542" t="str">
        <f>IF(AH1542="","",MAX($AF$1:$AF1542))</f>
        <v/>
      </c>
      <c r="AJ1542" t="str">
        <f t="shared" si="98"/>
        <v/>
      </c>
      <c r="AK1542" t="str">
        <f>IF(AJ1542="","",MAX($AF$1:$AF1542))</f>
        <v/>
      </c>
      <c r="AL1542" t="str">
        <f t="shared" si="99"/>
        <v/>
      </c>
      <c r="AM1542" t="str">
        <f>IF(AL1542="","",MAX($AF$1:$AF1542))</f>
        <v/>
      </c>
    </row>
    <row r="1543" spans="1:39" ht="13.5" customHeight="1" x14ac:dyDescent="0.3">
      <c r="A1543" s="8" t="s">
        <v>226</v>
      </c>
      <c r="B1543" s="9"/>
      <c r="C1543" s="10">
        <v>10</v>
      </c>
      <c r="D1543" s="11"/>
      <c r="AB1543" t="str" cm="1">
        <f t="array" ref="AB1543:AC1543">_xlfn._xlws.FILTER(A1543:Z1543,A1543:Z1543&lt;&gt;"","")</f>
        <v>PHY</v>
      </c>
      <c r="AC1543">
        <v>10</v>
      </c>
      <c r="AD1543" t="str">
        <v/>
      </c>
      <c r="AE1543" t="str">
        <v/>
      </c>
      <c r="AF1543" t="str" cm="1">
        <f t="array" ref="AF1543">IF(AD1543="","",SUMPRODUCT(IF(LEFT($AD$1:AD1543,2)="JS",1,0)))</f>
        <v/>
      </c>
      <c r="AG1543" t="b">
        <f t="shared" si="96"/>
        <v>1</v>
      </c>
      <c r="AH1543" t="str">
        <f t="shared" si="97"/>
        <v>PHY</v>
      </c>
      <c r="AI1543">
        <f>IF(AH1543="","",MAX($AF$1:$AF1543))</f>
        <v>30</v>
      </c>
      <c r="AJ1543" t="str">
        <f t="shared" si="98"/>
        <v/>
      </c>
      <c r="AK1543" t="str">
        <f>IF(AJ1543="","",MAX($AF$1:$AF1543))</f>
        <v/>
      </c>
      <c r="AL1543" t="str">
        <f t="shared" si="99"/>
        <v/>
      </c>
      <c r="AM1543" t="str">
        <f>IF(AL1543="","",MAX($AF$1:$AF1543))</f>
        <v/>
      </c>
    </row>
    <row r="1544" spans="1:39" ht="13.5" customHeight="1" x14ac:dyDescent="0.3">
      <c r="A1544" s="8" t="s">
        <v>18</v>
      </c>
      <c r="B1544" s="9"/>
      <c r="C1544" s="10">
        <v>5</v>
      </c>
      <c r="D1544" s="11"/>
      <c r="AB1544" t="str" cm="1">
        <f t="array" ref="AB1544:AC1544">_xlfn._xlws.FILTER(A1544:Z1544,A1544:Z1544&lt;&gt;"","")</f>
        <v>Technology and Living (Fashion, Clothing and Textiles)</v>
      </c>
      <c r="AC1544">
        <v>5</v>
      </c>
      <c r="AD1544" t="str">
        <v/>
      </c>
      <c r="AE1544" t="str">
        <v/>
      </c>
      <c r="AF1544" t="str" cm="1">
        <f t="array" ref="AF1544">IF(AD1544="","",SUMPRODUCT(IF(LEFT($AD$1:AD1544,2)="JS",1,0)))</f>
        <v/>
      </c>
      <c r="AG1544" t="str">
        <f t="shared" si="96"/>
        <v/>
      </c>
      <c r="AH1544" t="str">
        <f t="shared" si="97"/>
        <v/>
      </c>
      <c r="AI1544" t="str">
        <f>IF(AH1544="","",MAX($AF$1:$AF1544))</f>
        <v/>
      </c>
      <c r="AJ1544" t="str">
        <f t="shared" si="98"/>
        <v/>
      </c>
      <c r="AK1544" t="str">
        <f>IF(AJ1544="","",MAX($AF$1:$AF1544))</f>
        <v/>
      </c>
      <c r="AL1544" t="str">
        <f t="shared" si="99"/>
        <v/>
      </c>
      <c r="AM1544" t="str">
        <f>IF(AL1544="","",MAX($AF$1:$AF1544))</f>
        <v/>
      </c>
    </row>
    <row r="1545" spans="1:39" ht="13.5" customHeight="1" x14ac:dyDescent="0.3">
      <c r="A1545" s="8" t="s">
        <v>19</v>
      </c>
      <c r="B1545" s="9"/>
      <c r="C1545" s="10">
        <v>5</v>
      </c>
      <c r="D1545" s="11"/>
      <c r="AB1545" t="str" cm="1">
        <f t="array" ref="AB1545:AC1545">_xlfn._xlws.FILTER(A1545:Z1545,A1545:Z1545&lt;&gt;"","")</f>
        <v>Technology and Living (Food Science and Technology)</v>
      </c>
      <c r="AC1545">
        <v>5</v>
      </c>
      <c r="AD1545" t="str">
        <v/>
      </c>
      <c r="AE1545" t="str">
        <v/>
      </c>
      <c r="AF1545" t="str" cm="1">
        <f t="array" ref="AF1545">IF(AD1545="","",SUMPRODUCT(IF(LEFT($AD$1:AD1545,2)="JS",1,0)))</f>
        <v/>
      </c>
      <c r="AG1545" t="str">
        <f t="shared" si="96"/>
        <v/>
      </c>
      <c r="AH1545" t="str">
        <f t="shared" si="97"/>
        <v/>
      </c>
      <c r="AI1545" t="str">
        <f>IF(AH1545="","",MAX($AF$1:$AF1545))</f>
        <v/>
      </c>
      <c r="AJ1545" t="str">
        <f t="shared" si="98"/>
        <v/>
      </c>
      <c r="AK1545" t="str">
        <f>IF(AJ1545="","",MAX($AF$1:$AF1545))</f>
        <v/>
      </c>
      <c r="AL1545" t="str">
        <f t="shared" si="99"/>
        <v/>
      </c>
      <c r="AM1545" t="str">
        <f>IF(AL1545="","",MAX($AF$1:$AF1545))</f>
        <v/>
      </c>
    </row>
    <row r="1546" spans="1:39" ht="13.5" customHeight="1" x14ac:dyDescent="0.3">
      <c r="A1546" s="8" t="s">
        <v>20</v>
      </c>
      <c r="B1546" s="9"/>
      <c r="C1546" s="10">
        <v>5</v>
      </c>
      <c r="D1546" s="11"/>
      <c r="AB1546" t="str" cm="1">
        <f t="array" ref="AB1546:AC1546">_xlfn._xlws.FILTER(A1546:Z1546,A1546:Z1546&lt;&gt;"","")</f>
        <v>Tourism and Hospitality Studies</v>
      </c>
      <c r="AC1546">
        <v>5</v>
      </c>
      <c r="AD1546" t="str">
        <v/>
      </c>
      <c r="AE1546" t="str">
        <v/>
      </c>
      <c r="AF1546" t="str" cm="1">
        <f t="array" ref="AF1546">IF(AD1546="","",SUMPRODUCT(IF(LEFT($AD$1:AD1546,2)="JS",1,0)))</f>
        <v/>
      </c>
      <c r="AG1546" t="str">
        <f t="shared" si="96"/>
        <v/>
      </c>
      <c r="AH1546" t="str">
        <f t="shared" si="97"/>
        <v/>
      </c>
      <c r="AI1546" t="str">
        <f>IF(AH1546="","",MAX($AF$1:$AF1546))</f>
        <v/>
      </c>
      <c r="AJ1546" t="str">
        <f t="shared" si="98"/>
        <v/>
      </c>
      <c r="AK1546" t="str">
        <f>IF(AJ1546="","",MAX($AF$1:$AF1546))</f>
        <v/>
      </c>
      <c r="AL1546" t="str">
        <f t="shared" si="99"/>
        <v/>
      </c>
      <c r="AM1546" t="str">
        <f>IF(AL1546="","",MAX($AF$1:$AF1546))</f>
        <v/>
      </c>
    </row>
    <row r="1547" spans="1:39" ht="13.5" customHeight="1" x14ac:dyDescent="0.3">
      <c r="A1547" s="8" t="s">
        <v>210</v>
      </c>
      <c r="B1547" s="9"/>
      <c r="C1547" s="10">
        <v>5</v>
      </c>
      <c r="D1547" s="11"/>
      <c r="AB1547" t="str" cm="1">
        <f t="array" ref="AB1547:AC1547">_xlfn._xlws.FILTER(A1547:Z1547,A1547:Z1547&lt;&gt;"","")</f>
        <v>VA</v>
      </c>
      <c r="AC1547">
        <v>5</v>
      </c>
      <c r="AD1547" t="str">
        <v/>
      </c>
      <c r="AE1547" t="str">
        <v/>
      </c>
      <c r="AF1547" t="str" cm="1">
        <f t="array" ref="AF1547">IF(AD1547="","",SUMPRODUCT(IF(LEFT($AD$1:AD1547,2)="JS",1,0)))</f>
        <v/>
      </c>
      <c r="AG1547" t="b">
        <f t="shared" si="96"/>
        <v>1</v>
      </c>
      <c r="AH1547" t="str">
        <f t="shared" si="97"/>
        <v/>
      </c>
      <c r="AI1547" t="str">
        <f>IF(AH1547="","",MAX($AF$1:$AF1547))</f>
        <v/>
      </c>
      <c r="AJ1547" t="str">
        <f t="shared" si="98"/>
        <v/>
      </c>
      <c r="AK1547" t="str">
        <f>IF(AJ1547="","",MAX($AF$1:$AF1547))</f>
        <v/>
      </c>
      <c r="AL1547" t="str">
        <f t="shared" si="99"/>
        <v>VA</v>
      </c>
      <c r="AM1547">
        <f>IF(AL1547="","",MAX($AF$1:$AF1547))</f>
        <v>30</v>
      </c>
    </row>
    <row r="1548" spans="1:39" ht="14.5" customHeight="1" x14ac:dyDescent="0.3">
      <c r="A1548" s="12"/>
      <c r="B1548" s="12"/>
      <c r="C1548" s="2"/>
      <c r="D1548" s="2"/>
      <c r="AB1548" t="str" cm="1">
        <f t="array" ref="AB1548">_xlfn._xlws.FILTER(A1548:Z1548,A1548:Z1548&lt;&gt;"","")</f>
        <v/>
      </c>
      <c r="AD1548" t="str">
        <v/>
      </c>
      <c r="AE1548" t="str">
        <v/>
      </c>
      <c r="AF1548" t="str" cm="1">
        <f t="array" ref="AF1548">IF(AD1548="","",SUMPRODUCT(IF(LEFT($AD$1:AD1548,2)="JS",1,0)))</f>
        <v/>
      </c>
      <c r="AG1548" t="str">
        <f t="shared" si="96"/>
        <v/>
      </c>
      <c r="AH1548" t="str">
        <f t="shared" si="97"/>
        <v/>
      </c>
      <c r="AI1548" t="str">
        <f>IF(AH1548="","",MAX($AF$1:$AF1548))</f>
        <v/>
      </c>
      <c r="AJ1548" t="str">
        <f t="shared" si="98"/>
        <v/>
      </c>
      <c r="AK1548" t="str">
        <f>IF(AJ1548="","",MAX($AF$1:$AF1548))</f>
        <v/>
      </c>
      <c r="AL1548" t="str">
        <f t="shared" si="99"/>
        <v/>
      </c>
      <c r="AM1548" t="str">
        <f>IF(AL1548="","",MAX($AF$1:$AF1548))</f>
        <v/>
      </c>
    </row>
    <row r="1549" spans="1:39" ht="13.5" customHeight="1" x14ac:dyDescent="0.3">
      <c r="A1549" s="13" t="s">
        <v>34</v>
      </c>
      <c r="B1549" s="13"/>
      <c r="C1549" s="13"/>
      <c r="D1549" s="13"/>
      <c r="AB1549" t="str" cm="1">
        <f t="array" ref="AB1549">_xlfn._xlws.FILTER(A1549:Z1549,A1549:Z1549&lt;&gt;"","")</f>
        <v>Category C: Other Language Subjects</v>
      </c>
      <c r="AD1549" t="str">
        <v/>
      </c>
      <c r="AE1549" t="str">
        <v/>
      </c>
      <c r="AF1549" t="str" cm="1">
        <f t="array" ref="AF1549">IF(AD1549="","",SUMPRODUCT(IF(LEFT($AD$1:AD1549,2)="JS",1,0)))</f>
        <v/>
      </c>
      <c r="AG1549" t="str">
        <f t="shared" si="96"/>
        <v/>
      </c>
      <c r="AH1549" t="str">
        <f t="shared" si="97"/>
        <v/>
      </c>
      <c r="AI1549" t="str">
        <f>IF(AH1549="","",MAX($AF$1:$AF1549))</f>
        <v/>
      </c>
      <c r="AJ1549" t="str">
        <f t="shared" si="98"/>
        <v/>
      </c>
      <c r="AK1549" t="str">
        <f>IF(AJ1549="","",MAX($AF$1:$AF1549))</f>
        <v/>
      </c>
      <c r="AL1549" t="str">
        <f t="shared" si="99"/>
        <v/>
      </c>
      <c r="AM1549" t="str">
        <f>IF(AL1549="","",MAX($AF$1:$AF1549))</f>
        <v/>
      </c>
    </row>
    <row r="1550" spans="1:39" ht="13.5" customHeight="1" x14ac:dyDescent="0.3">
      <c r="A1550" s="14" t="s">
        <v>3</v>
      </c>
      <c r="B1550" s="15"/>
      <c r="C1550" s="16" t="s">
        <v>4</v>
      </c>
      <c r="D1550" s="17"/>
      <c r="AB1550" t="str" cm="1">
        <f t="array" ref="AB1550:AC1550">_xlfn._xlws.FILTER(A1550:Z1550,A1550:Z1550&lt;&gt;"","")</f>
        <v>Subject Name</v>
      </c>
      <c r="AC1550" t="str">
        <v>Subject Weighting for 2023/24 Admission Exercise *</v>
      </c>
      <c r="AD1550" t="str">
        <v/>
      </c>
      <c r="AE1550" t="str">
        <v/>
      </c>
      <c r="AF1550" t="str" cm="1">
        <f t="array" ref="AF1550">IF(AD1550="","",SUMPRODUCT(IF(LEFT($AD$1:AD1550,2)="JS",1,0)))</f>
        <v/>
      </c>
      <c r="AG1550" t="str">
        <f t="shared" si="96"/>
        <v/>
      </c>
      <c r="AH1550" t="str">
        <f t="shared" si="97"/>
        <v/>
      </c>
      <c r="AI1550" t="str">
        <f>IF(AH1550="","",MAX($AF$1:$AF1550))</f>
        <v/>
      </c>
      <c r="AJ1550" t="str">
        <f t="shared" si="98"/>
        <v/>
      </c>
      <c r="AK1550" t="str">
        <f>IF(AJ1550="","",MAX($AF$1:$AF1550))</f>
        <v/>
      </c>
      <c r="AL1550" t="str">
        <f t="shared" si="99"/>
        <v/>
      </c>
      <c r="AM1550" t="str">
        <f>IF(AL1550="","",MAX($AF$1:$AF1550))</f>
        <v/>
      </c>
    </row>
    <row r="1551" spans="1:39" ht="13.5" customHeight="1" x14ac:dyDescent="0.3">
      <c r="A1551" s="8" t="s">
        <v>35</v>
      </c>
      <c r="B1551" s="9"/>
      <c r="C1551" s="10">
        <v>5</v>
      </c>
      <c r="D1551" s="11"/>
      <c r="AB1551" t="str" cm="1">
        <f t="array" ref="AB1551:AC1551">_xlfn._xlws.FILTER(A1551:Z1551,A1551:Z1551&lt;&gt;"","")</f>
        <v>French</v>
      </c>
      <c r="AC1551">
        <v>5</v>
      </c>
      <c r="AD1551" t="str">
        <v/>
      </c>
      <c r="AE1551" t="str">
        <v/>
      </c>
      <c r="AF1551" t="str" cm="1">
        <f t="array" ref="AF1551">IF(AD1551="","",SUMPRODUCT(IF(LEFT($AD$1:AD1551,2)="JS",1,0)))</f>
        <v/>
      </c>
      <c r="AG1551" t="str">
        <f t="shared" si="96"/>
        <v/>
      </c>
      <c r="AH1551" t="str">
        <f t="shared" si="97"/>
        <v/>
      </c>
      <c r="AI1551" t="str">
        <f>IF(AH1551="","",MAX($AF$1:$AF1551))</f>
        <v/>
      </c>
      <c r="AJ1551" t="str">
        <f t="shared" si="98"/>
        <v/>
      </c>
      <c r="AK1551" t="str">
        <f>IF(AJ1551="","",MAX($AF$1:$AF1551))</f>
        <v/>
      </c>
      <c r="AL1551" t="str">
        <f t="shared" si="99"/>
        <v/>
      </c>
      <c r="AM1551" t="str">
        <f>IF(AL1551="","",MAX($AF$1:$AF1551))</f>
        <v/>
      </c>
    </row>
    <row r="1552" spans="1:39" ht="13.5" customHeight="1" x14ac:dyDescent="0.3">
      <c r="A1552" s="8" t="s">
        <v>36</v>
      </c>
      <c r="B1552" s="9"/>
      <c r="C1552" s="10">
        <v>5</v>
      </c>
      <c r="D1552" s="11"/>
      <c r="AB1552" t="str" cm="1">
        <f t="array" ref="AB1552:AC1552">_xlfn._xlws.FILTER(A1552:Z1552,A1552:Z1552&lt;&gt;"","")</f>
        <v>German</v>
      </c>
      <c r="AC1552">
        <v>5</v>
      </c>
      <c r="AD1552" t="str">
        <v/>
      </c>
      <c r="AE1552" t="str">
        <v/>
      </c>
      <c r="AF1552" t="str" cm="1">
        <f t="array" ref="AF1552">IF(AD1552="","",SUMPRODUCT(IF(LEFT($AD$1:AD1552,2)="JS",1,0)))</f>
        <v/>
      </c>
      <c r="AG1552" t="str">
        <f t="shared" si="96"/>
        <v/>
      </c>
      <c r="AH1552" t="str">
        <f t="shared" si="97"/>
        <v/>
      </c>
      <c r="AI1552" t="str">
        <f>IF(AH1552="","",MAX($AF$1:$AF1552))</f>
        <v/>
      </c>
      <c r="AJ1552" t="str">
        <f t="shared" si="98"/>
        <v/>
      </c>
      <c r="AK1552" t="str">
        <f>IF(AJ1552="","",MAX($AF$1:$AF1552))</f>
        <v/>
      </c>
      <c r="AL1552" t="str">
        <f t="shared" si="99"/>
        <v/>
      </c>
      <c r="AM1552" t="str">
        <f>IF(AL1552="","",MAX($AF$1:$AF1552))</f>
        <v/>
      </c>
    </row>
    <row r="1553" spans="1:39" ht="13.5" customHeight="1" x14ac:dyDescent="0.3">
      <c r="A1553" s="8" t="s">
        <v>37</v>
      </c>
      <c r="B1553" s="9"/>
      <c r="C1553" s="10">
        <v>5</v>
      </c>
      <c r="D1553" s="11"/>
      <c r="AB1553" t="str" cm="1">
        <f t="array" ref="AB1553:AC1553">_xlfn._xlws.FILTER(A1553:Z1553,A1553:Z1553&lt;&gt;"","")</f>
        <v>Hindi</v>
      </c>
      <c r="AC1553">
        <v>5</v>
      </c>
      <c r="AD1553" t="str">
        <v/>
      </c>
      <c r="AE1553" t="str">
        <v/>
      </c>
      <c r="AF1553" t="str" cm="1">
        <f t="array" ref="AF1553">IF(AD1553="","",SUMPRODUCT(IF(LEFT($AD$1:AD1553,2)="JS",1,0)))</f>
        <v/>
      </c>
      <c r="AG1553" t="str">
        <f t="shared" si="96"/>
        <v/>
      </c>
      <c r="AH1553" t="str">
        <f t="shared" si="97"/>
        <v/>
      </c>
      <c r="AI1553" t="str">
        <f>IF(AH1553="","",MAX($AF$1:$AF1553))</f>
        <v/>
      </c>
      <c r="AJ1553" t="str">
        <f t="shared" si="98"/>
        <v/>
      </c>
      <c r="AK1553" t="str">
        <f>IF(AJ1553="","",MAX($AF$1:$AF1553))</f>
        <v/>
      </c>
      <c r="AL1553" t="str">
        <f t="shared" si="99"/>
        <v/>
      </c>
      <c r="AM1553" t="str">
        <f>IF(AL1553="","",MAX($AF$1:$AF1553))</f>
        <v/>
      </c>
    </row>
    <row r="1554" spans="1:39" ht="13.5" customHeight="1" x14ac:dyDescent="0.3">
      <c r="A1554" s="8" t="s">
        <v>38</v>
      </c>
      <c r="B1554" s="9"/>
      <c r="C1554" s="10">
        <v>5</v>
      </c>
      <c r="D1554" s="11"/>
      <c r="AB1554" t="str" cm="1">
        <f t="array" ref="AB1554:AC1554">_xlfn._xlws.FILTER(A1554:Z1554,A1554:Z1554&lt;&gt;"","")</f>
        <v>Japanese</v>
      </c>
      <c r="AC1554">
        <v>5</v>
      </c>
      <c r="AD1554" t="str">
        <v/>
      </c>
      <c r="AE1554" t="str">
        <v/>
      </c>
      <c r="AF1554" t="str" cm="1">
        <f t="array" ref="AF1554">IF(AD1554="","",SUMPRODUCT(IF(LEFT($AD$1:AD1554,2)="JS",1,0)))</f>
        <v/>
      </c>
      <c r="AG1554" t="str">
        <f t="shared" si="96"/>
        <v/>
      </c>
      <c r="AH1554" t="str">
        <f t="shared" si="97"/>
        <v/>
      </c>
      <c r="AI1554" t="str">
        <f>IF(AH1554="","",MAX($AF$1:$AF1554))</f>
        <v/>
      </c>
      <c r="AJ1554" t="str">
        <f t="shared" si="98"/>
        <v/>
      </c>
      <c r="AK1554" t="str">
        <f>IF(AJ1554="","",MAX($AF$1:$AF1554))</f>
        <v/>
      </c>
      <c r="AL1554" t="str">
        <f t="shared" si="99"/>
        <v/>
      </c>
      <c r="AM1554" t="str">
        <f>IF(AL1554="","",MAX($AF$1:$AF1554))</f>
        <v/>
      </c>
    </row>
    <row r="1555" spans="1:39" ht="13.5" customHeight="1" x14ac:dyDescent="0.3">
      <c r="A1555" s="8" t="s">
        <v>39</v>
      </c>
      <c r="B1555" s="9"/>
      <c r="C1555" s="10">
        <v>5</v>
      </c>
      <c r="D1555" s="11"/>
      <c r="AB1555" t="str" cm="1">
        <f t="array" ref="AB1555:AC1555">_xlfn._xlws.FILTER(A1555:Z1555,A1555:Z1555&lt;&gt;"","")</f>
        <v>Spanish</v>
      </c>
      <c r="AC1555">
        <v>5</v>
      </c>
      <c r="AD1555" t="str">
        <v/>
      </c>
      <c r="AE1555" t="str">
        <v/>
      </c>
      <c r="AF1555" t="str" cm="1">
        <f t="array" ref="AF1555">IF(AD1555="","",SUMPRODUCT(IF(LEFT($AD$1:AD1555,2)="JS",1,0)))</f>
        <v/>
      </c>
      <c r="AG1555" t="str">
        <f t="shared" si="96"/>
        <v/>
      </c>
      <c r="AH1555" t="str">
        <f t="shared" si="97"/>
        <v/>
      </c>
      <c r="AI1555" t="str">
        <f>IF(AH1555="","",MAX($AF$1:$AF1555))</f>
        <v/>
      </c>
      <c r="AJ1555" t="str">
        <f t="shared" si="98"/>
        <v/>
      </c>
      <c r="AK1555" t="str">
        <f>IF(AJ1555="","",MAX($AF$1:$AF1555))</f>
        <v/>
      </c>
      <c r="AL1555" t="str">
        <f t="shared" si="99"/>
        <v/>
      </c>
      <c r="AM1555" t="str">
        <f>IF(AL1555="","",MAX($AF$1:$AF1555))</f>
        <v/>
      </c>
    </row>
    <row r="1556" spans="1:39" ht="13.5" customHeight="1" x14ac:dyDescent="0.3">
      <c r="A1556" s="8" t="s">
        <v>40</v>
      </c>
      <c r="B1556" s="9"/>
      <c r="C1556" s="10">
        <v>5</v>
      </c>
      <c r="D1556" s="11"/>
      <c r="AB1556" t="str" cm="1">
        <f t="array" ref="AB1556:AC1556">_xlfn._xlws.FILTER(A1556:Z1556,A1556:Z1556&lt;&gt;"","")</f>
        <v>Urdu</v>
      </c>
      <c r="AC1556">
        <v>5</v>
      </c>
      <c r="AD1556" t="str">
        <v/>
      </c>
      <c r="AE1556" t="str">
        <v/>
      </c>
      <c r="AF1556" t="str" cm="1">
        <f t="array" ref="AF1556">IF(AD1556="","",SUMPRODUCT(IF(LEFT($AD$1:AD1556,2)="JS",1,0)))</f>
        <v/>
      </c>
      <c r="AG1556" t="str">
        <f t="shared" si="96"/>
        <v/>
      </c>
      <c r="AH1556" t="str">
        <f t="shared" si="97"/>
        <v/>
      </c>
      <c r="AI1556" t="str">
        <f>IF(AH1556="","",MAX($AF$1:$AF1556))</f>
        <v/>
      </c>
      <c r="AJ1556" t="str">
        <f t="shared" si="98"/>
        <v/>
      </c>
      <c r="AK1556" t="str">
        <f>IF(AJ1556="","",MAX($AF$1:$AF1556))</f>
        <v/>
      </c>
      <c r="AL1556" t="str">
        <f t="shared" si="99"/>
        <v/>
      </c>
      <c r="AM1556" t="str">
        <f>IF(AL1556="","",MAX($AF$1:$AF1556))</f>
        <v/>
      </c>
    </row>
    <row r="1557" spans="1:39" ht="15" customHeight="1" x14ac:dyDescent="0.3">
      <c r="A1557" s="18" t="s">
        <v>208</v>
      </c>
      <c r="B1557" s="18"/>
      <c r="C1557" s="18"/>
      <c r="D1557" s="1"/>
      <c r="AB1557" t="str" cm="1">
        <f t="array" ref="AB1557">_xlfn._xlws.FILTER(A1557:Z1557,A1557:Z1557&lt;&gt;"","")</f>
        <v>JUPAS Code: JS3868</v>
      </c>
      <c r="AD1557" t="str">
        <v>JS3868</v>
      </c>
      <c r="AE1557" t="str">
        <v/>
      </c>
      <c r="AF1557" cm="1">
        <f t="array" ref="AF1557">IF(AD1557="","",SUMPRODUCT(IF(LEFT($AD$1:AD1557,2)="JS",1,0)))</f>
        <v>31</v>
      </c>
      <c r="AG1557" t="str">
        <f t="shared" si="96"/>
        <v/>
      </c>
      <c r="AH1557" t="str">
        <f t="shared" si="97"/>
        <v/>
      </c>
      <c r="AI1557" t="str">
        <f>IF(AH1557="","",MAX($AF$1:$AF1557))</f>
        <v/>
      </c>
      <c r="AJ1557" t="str">
        <f t="shared" si="98"/>
        <v/>
      </c>
      <c r="AK1557" t="str">
        <f>IF(AJ1557="","",MAX($AF$1:$AF1557))</f>
        <v/>
      </c>
      <c r="AL1557" t="str">
        <f t="shared" si="99"/>
        <v/>
      </c>
      <c r="AM1557" t="str">
        <f>IF(AL1557="","",MAX($AF$1:$AF1557))</f>
        <v/>
      </c>
    </row>
    <row r="1558" spans="1:39" ht="13.5" customHeight="1" x14ac:dyDescent="0.3">
      <c r="A1558" s="18" t="s">
        <v>209</v>
      </c>
      <c r="B1558" s="18"/>
      <c r="C1558" s="18"/>
      <c r="D1558" s="1"/>
      <c r="AB1558" t="str" cm="1">
        <f t="array" ref="AB1558">_xlfn._xlws.FILTER(A1558:Z1558,A1558:Z1558&lt;&gt;"","")</f>
        <v>Programme Title: BSc (Hons) Scheme in Computing and AI</v>
      </c>
      <c r="AD1558" t="str">
        <v/>
      </c>
      <c r="AE1558" t="str">
        <v>BSc (Hons) Scheme in Computing and AI</v>
      </c>
      <c r="AF1558" t="str" cm="1">
        <f t="array" ref="AF1558">IF(AD1558="","",SUMPRODUCT(IF(LEFT($AD$1:AD1558,2)="JS",1,0)))</f>
        <v/>
      </c>
      <c r="AG1558" t="str">
        <f t="shared" si="96"/>
        <v/>
      </c>
      <c r="AH1558" t="str">
        <f t="shared" si="97"/>
        <v/>
      </c>
      <c r="AI1558" t="str">
        <f>IF(AH1558="","",MAX($AF$1:$AF1558))</f>
        <v/>
      </c>
      <c r="AJ1558" t="str">
        <f t="shared" si="98"/>
        <v/>
      </c>
      <c r="AK1558" t="str">
        <f>IF(AJ1558="","",MAX($AF$1:$AF1558))</f>
        <v/>
      </c>
      <c r="AL1558" t="str">
        <f t="shared" si="99"/>
        <v/>
      </c>
      <c r="AM1558" t="str">
        <f>IF(AL1558="","",MAX($AF$1:$AF1558))</f>
        <v/>
      </c>
    </row>
    <row r="1559" spans="1:39" ht="14.5" customHeight="1" x14ac:dyDescent="0.3">
      <c r="A1559" s="12"/>
      <c r="B1559" s="12"/>
      <c r="C1559" s="2"/>
      <c r="D1559" s="2"/>
      <c r="AB1559" t="str" cm="1">
        <f t="array" ref="AB1559">_xlfn._xlws.FILTER(A1559:Z1559,A1559:Z1559&lt;&gt;"","")</f>
        <v/>
      </c>
      <c r="AD1559" t="str">
        <v/>
      </c>
      <c r="AE1559" t="str">
        <v/>
      </c>
      <c r="AF1559" t="str" cm="1">
        <f t="array" ref="AF1559">IF(AD1559="","",SUMPRODUCT(IF(LEFT($AD$1:AD1559,2)="JS",1,0)))</f>
        <v/>
      </c>
      <c r="AG1559" t="str">
        <f t="shared" si="96"/>
        <v/>
      </c>
      <c r="AH1559" t="str">
        <f t="shared" si="97"/>
        <v/>
      </c>
      <c r="AI1559" t="str">
        <f>IF(AH1559="","",MAX($AF$1:$AF1559))</f>
        <v/>
      </c>
      <c r="AJ1559" t="str">
        <f t="shared" si="98"/>
        <v/>
      </c>
      <c r="AK1559" t="str">
        <f>IF(AJ1559="","",MAX($AF$1:$AF1559))</f>
        <v/>
      </c>
      <c r="AL1559" t="str">
        <f t="shared" si="99"/>
        <v/>
      </c>
      <c r="AM1559" t="str">
        <f>IF(AL1559="","",MAX($AF$1:$AF1559))</f>
        <v/>
      </c>
    </row>
    <row r="1560" spans="1:39" ht="13.5" customHeight="1" x14ac:dyDescent="0.3">
      <c r="A1560" s="13" t="s">
        <v>2</v>
      </c>
      <c r="B1560" s="13"/>
      <c r="C1560" s="13"/>
      <c r="D1560" s="13"/>
      <c r="AB1560" t="str" cm="1">
        <f t="array" ref="AB1560">_xlfn._xlws.FILTER(A1560:Z1560,A1560:Z1560&lt;&gt;"","")</f>
        <v>Category A: Core and Elective Subjects</v>
      </c>
      <c r="AD1560" t="str">
        <v/>
      </c>
      <c r="AE1560" t="str">
        <v/>
      </c>
      <c r="AF1560" t="str" cm="1">
        <f t="array" ref="AF1560">IF(AD1560="","",SUMPRODUCT(IF(LEFT($AD$1:AD1560,2)="JS",1,0)))</f>
        <v/>
      </c>
      <c r="AG1560" t="str">
        <f t="shared" si="96"/>
        <v/>
      </c>
      <c r="AH1560" t="str">
        <f t="shared" si="97"/>
        <v/>
      </c>
      <c r="AI1560" t="str">
        <f>IF(AH1560="","",MAX($AF$1:$AF1560))</f>
        <v/>
      </c>
      <c r="AJ1560" t="str">
        <f t="shared" si="98"/>
        <v/>
      </c>
      <c r="AK1560" t="str">
        <f>IF(AJ1560="","",MAX($AF$1:$AF1560))</f>
        <v/>
      </c>
      <c r="AL1560" t="str">
        <f t="shared" si="99"/>
        <v/>
      </c>
      <c r="AM1560" t="str">
        <f>IF(AL1560="","",MAX($AF$1:$AF1560))</f>
        <v/>
      </c>
    </row>
    <row r="1561" spans="1:39" ht="13.5" customHeight="1" x14ac:dyDescent="0.3">
      <c r="A1561" s="14" t="s">
        <v>3</v>
      </c>
      <c r="B1561" s="15"/>
      <c r="C1561" s="16" t="s">
        <v>4</v>
      </c>
      <c r="D1561" s="17"/>
      <c r="AB1561" t="str" cm="1">
        <f t="array" ref="AB1561:AC1561">_xlfn._xlws.FILTER(A1561:Z1561,A1561:Z1561&lt;&gt;"","")</f>
        <v>Subject Name</v>
      </c>
      <c r="AC1561" t="str">
        <v>Subject Weighting for 2023/24 Admission Exercise *</v>
      </c>
      <c r="AD1561" t="str">
        <v/>
      </c>
      <c r="AE1561" t="str">
        <v/>
      </c>
      <c r="AF1561" t="str" cm="1">
        <f t="array" ref="AF1561">IF(AD1561="","",SUMPRODUCT(IF(LEFT($AD$1:AD1561,2)="JS",1,0)))</f>
        <v/>
      </c>
      <c r="AG1561" t="str">
        <f t="shared" si="96"/>
        <v/>
      </c>
      <c r="AH1561" t="str">
        <f t="shared" si="97"/>
        <v/>
      </c>
      <c r="AI1561" t="str">
        <f>IF(AH1561="","",MAX($AF$1:$AF1561))</f>
        <v/>
      </c>
      <c r="AJ1561" t="str">
        <f t="shared" si="98"/>
        <v/>
      </c>
      <c r="AK1561" t="str">
        <f>IF(AJ1561="","",MAX($AF$1:$AF1561))</f>
        <v/>
      </c>
      <c r="AL1561" t="str">
        <f t="shared" si="99"/>
        <v/>
      </c>
      <c r="AM1561" t="str">
        <f>IF(AL1561="","",MAX($AF$1:$AF1561))</f>
        <v/>
      </c>
    </row>
    <row r="1562" spans="1:39" ht="13.5" customHeight="1" x14ac:dyDescent="0.3">
      <c r="A1562" s="8" t="s">
        <v>211</v>
      </c>
      <c r="B1562" s="9"/>
      <c r="C1562" s="10">
        <v>10</v>
      </c>
      <c r="D1562" s="11"/>
      <c r="AB1562" t="str" cm="1">
        <f t="array" ref="AB1562:AC1562">_xlfn._xlws.FILTER(A1562:Z1562,A1562:Z1562&lt;&gt;"","")</f>
        <v>BIO</v>
      </c>
      <c r="AC1562">
        <v>10</v>
      </c>
      <c r="AD1562" t="str">
        <v/>
      </c>
      <c r="AE1562" t="str">
        <v/>
      </c>
      <c r="AF1562" t="str" cm="1">
        <f t="array" ref="AF1562">IF(AD1562="","",SUMPRODUCT(IF(LEFT($AD$1:AD1562,2)="JS",1,0)))</f>
        <v/>
      </c>
      <c r="AG1562" t="b">
        <f t="shared" si="96"/>
        <v>1</v>
      </c>
      <c r="AH1562" t="str">
        <f t="shared" si="97"/>
        <v>BIO</v>
      </c>
      <c r="AI1562">
        <f>IF(AH1562="","",MAX($AF$1:$AF1562))</f>
        <v>31</v>
      </c>
      <c r="AJ1562" t="str">
        <f t="shared" si="98"/>
        <v/>
      </c>
      <c r="AK1562" t="str">
        <f>IF(AJ1562="","",MAX($AF$1:$AF1562))</f>
        <v/>
      </c>
      <c r="AL1562" t="str">
        <f t="shared" si="99"/>
        <v/>
      </c>
      <c r="AM1562" t="str">
        <f>IF(AL1562="","",MAX($AF$1:$AF1562))</f>
        <v/>
      </c>
    </row>
    <row r="1563" spans="1:39" ht="13.5" customHeight="1" x14ac:dyDescent="0.3">
      <c r="A1563" s="8" t="s">
        <v>213</v>
      </c>
      <c r="B1563" s="9"/>
      <c r="C1563" s="10">
        <v>10</v>
      </c>
      <c r="D1563" s="11"/>
      <c r="AB1563" t="str" cm="1">
        <f t="array" ref="AB1563:AC1563">_xlfn._xlws.FILTER(A1563:Z1563,A1563:Z1563&lt;&gt;"","")</f>
        <v>BAFS</v>
      </c>
      <c r="AC1563">
        <v>10</v>
      </c>
      <c r="AD1563" t="str">
        <v/>
      </c>
      <c r="AE1563" t="str">
        <v/>
      </c>
      <c r="AF1563" t="str" cm="1">
        <f t="array" ref="AF1563">IF(AD1563="","",SUMPRODUCT(IF(LEFT($AD$1:AD1563,2)="JS",1,0)))</f>
        <v/>
      </c>
      <c r="AG1563" t="b">
        <f t="shared" si="96"/>
        <v>1</v>
      </c>
      <c r="AH1563" t="str">
        <f t="shared" si="97"/>
        <v>BAFS</v>
      </c>
      <c r="AI1563">
        <f>IF(AH1563="","",MAX($AF$1:$AF1563))</f>
        <v>31</v>
      </c>
      <c r="AJ1563" t="str">
        <f t="shared" si="98"/>
        <v/>
      </c>
      <c r="AK1563" t="str">
        <f>IF(AJ1563="","",MAX($AF$1:$AF1563))</f>
        <v/>
      </c>
      <c r="AL1563" t="str">
        <f t="shared" si="99"/>
        <v/>
      </c>
      <c r="AM1563" t="str">
        <f>IF(AL1563="","",MAX($AF$1:$AF1563))</f>
        <v/>
      </c>
    </row>
    <row r="1564" spans="1:39" ht="13.5" customHeight="1" x14ac:dyDescent="0.3">
      <c r="A1564" s="8" t="s">
        <v>5</v>
      </c>
      <c r="B1564" s="9"/>
      <c r="C1564" s="10">
        <v>10</v>
      </c>
      <c r="D1564" s="11"/>
      <c r="AB1564" t="str" cm="1">
        <f t="array" ref="AB1564:AC1564">_xlfn._xlws.FILTER(A1564:Z1564,A1564:Z1564&lt;&gt;"","")</f>
        <v>Business, Accounting and Financial Studies (Accounting)</v>
      </c>
      <c r="AC1564">
        <v>10</v>
      </c>
      <c r="AD1564" t="str">
        <v/>
      </c>
      <c r="AE1564" t="str">
        <v/>
      </c>
      <c r="AF1564" t="str" cm="1">
        <f t="array" ref="AF1564">IF(AD1564="","",SUMPRODUCT(IF(LEFT($AD$1:AD1564,2)="JS",1,0)))</f>
        <v/>
      </c>
      <c r="AG1564" t="str">
        <f t="shared" si="96"/>
        <v/>
      </c>
      <c r="AH1564" t="str">
        <f t="shared" si="97"/>
        <v/>
      </c>
      <c r="AI1564" t="str">
        <f>IF(AH1564="","",MAX($AF$1:$AF1564))</f>
        <v/>
      </c>
      <c r="AJ1564" t="str">
        <f t="shared" si="98"/>
        <v/>
      </c>
      <c r="AK1564" t="str">
        <f>IF(AJ1564="","",MAX($AF$1:$AF1564))</f>
        <v/>
      </c>
      <c r="AL1564" t="str">
        <f t="shared" si="99"/>
        <v/>
      </c>
      <c r="AM1564" t="str">
        <f>IF(AL1564="","",MAX($AF$1:$AF1564))</f>
        <v/>
      </c>
    </row>
    <row r="1565" spans="1:39" ht="13.5" customHeight="1" x14ac:dyDescent="0.3">
      <c r="A1565" s="8" t="s">
        <v>6</v>
      </c>
      <c r="B1565" s="9"/>
      <c r="C1565" s="10">
        <v>10</v>
      </c>
      <c r="D1565" s="11"/>
      <c r="AB1565" t="str" cm="1">
        <f t="array" ref="AB1565:AC1565">_xlfn._xlws.FILTER(A1565:Z1565,A1565:Z1565&lt;&gt;"","")</f>
        <v>Business, Accounting and Financial Studies (Business Management)</v>
      </c>
      <c r="AC1565">
        <v>10</v>
      </c>
      <c r="AD1565" t="str">
        <v/>
      </c>
      <c r="AE1565" t="str">
        <v/>
      </c>
      <c r="AF1565" t="str" cm="1">
        <f t="array" ref="AF1565">IF(AD1565="","",SUMPRODUCT(IF(LEFT($AD$1:AD1565,2)="JS",1,0)))</f>
        <v/>
      </c>
      <c r="AG1565" t="str">
        <f t="shared" si="96"/>
        <v/>
      </c>
      <c r="AH1565" t="str">
        <f t="shared" si="97"/>
        <v/>
      </c>
      <c r="AI1565" t="str">
        <f>IF(AH1565="","",MAX($AF$1:$AF1565))</f>
        <v/>
      </c>
      <c r="AJ1565" t="str">
        <f t="shared" si="98"/>
        <v/>
      </c>
      <c r="AK1565" t="str">
        <f>IF(AJ1565="","",MAX($AF$1:$AF1565))</f>
        <v/>
      </c>
      <c r="AL1565" t="str">
        <f t="shared" si="99"/>
        <v/>
      </c>
      <c r="AM1565" t="str">
        <f>IF(AL1565="","",MAX($AF$1:$AF1565))</f>
        <v/>
      </c>
    </row>
    <row r="1566" spans="1:39" ht="13.5" customHeight="1" x14ac:dyDescent="0.3">
      <c r="A1566" s="8" t="s">
        <v>212</v>
      </c>
      <c r="B1566" s="9"/>
      <c r="C1566" s="10">
        <v>10</v>
      </c>
      <c r="D1566" s="11"/>
      <c r="AB1566" t="str" cm="1">
        <f t="array" ref="AB1566:AC1566">_xlfn._xlws.FILTER(A1566:Z1566,A1566:Z1566&lt;&gt;"","")</f>
        <v>CHEM</v>
      </c>
      <c r="AC1566">
        <v>10</v>
      </c>
      <c r="AD1566" t="str">
        <v/>
      </c>
      <c r="AE1566" t="str">
        <v/>
      </c>
      <c r="AF1566" t="str" cm="1">
        <f t="array" ref="AF1566">IF(AD1566="","",SUMPRODUCT(IF(LEFT($AD$1:AD1566,2)="JS",1,0)))</f>
        <v/>
      </c>
      <c r="AG1566" t="b">
        <f t="shared" si="96"/>
        <v>1</v>
      </c>
      <c r="AH1566" t="str">
        <f t="shared" si="97"/>
        <v>CHEM</v>
      </c>
      <c r="AI1566">
        <f>IF(AH1566="","",MAX($AF$1:$AF1566))</f>
        <v>31</v>
      </c>
      <c r="AJ1566" t="str">
        <f t="shared" si="98"/>
        <v/>
      </c>
      <c r="AK1566" t="str">
        <f>IF(AJ1566="","",MAX($AF$1:$AF1566))</f>
        <v/>
      </c>
      <c r="AL1566" t="str">
        <f t="shared" si="99"/>
        <v/>
      </c>
      <c r="AM1566" t="str">
        <f>IF(AL1566="","",MAX($AF$1:$AF1566))</f>
        <v/>
      </c>
    </row>
    <row r="1567" spans="1:39" ht="13.5" customHeight="1" x14ac:dyDescent="0.3">
      <c r="A1567" s="8" t="s">
        <v>214</v>
      </c>
      <c r="B1567" s="9"/>
      <c r="C1567" s="10">
        <v>7</v>
      </c>
      <c r="D1567" s="11"/>
      <c r="AB1567" t="str" cm="1">
        <f t="array" ref="AB1567:AC1567">_xlfn._xlws.FILTER(A1567:Z1567,A1567:Z1567&lt;&gt;"","")</f>
        <v>中史</v>
      </c>
      <c r="AC1567">
        <v>7</v>
      </c>
      <c r="AD1567" t="str">
        <v/>
      </c>
      <c r="AE1567" t="str">
        <v/>
      </c>
      <c r="AF1567" t="str" cm="1">
        <f t="array" ref="AF1567">IF(AD1567="","",SUMPRODUCT(IF(LEFT($AD$1:AD1567,2)="JS",1,0)))</f>
        <v/>
      </c>
      <c r="AG1567" t="b">
        <f t="shared" si="96"/>
        <v>1</v>
      </c>
      <c r="AH1567" t="str">
        <f t="shared" si="97"/>
        <v/>
      </c>
      <c r="AI1567" t="str">
        <f>IF(AH1567="","",MAX($AF$1:$AF1567))</f>
        <v/>
      </c>
      <c r="AJ1567" t="str">
        <f t="shared" si="98"/>
        <v>中史</v>
      </c>
      <c r="AK1567">
        <f>IF(AJ1567="","",MAX($AF$1:$AF1567))</f>
        <v>31</v>
      </c>
      <c r="AL1567" t="str">
        <f t="shared" si="99"/>
        <v/>
      </c>
      <c r="AM1567" t="str">
        <f>IF(AL1567="","",MAX($AF$1:$AF1567))</f>
        <v/>
      </c>
    </row>
    <row r="1568" spans="1:39" ht="13.5" customHeight="1" x14ac:dyDescent="0.3">
      <c r="A1568" s="8" t="s">
        <v>216</v>
      </c>
      <c r="B1568" s="9"/>
      <c r="C1568" s="10">
        <v>7</v>
      </c>
      <c r="D1568" s="11"/>
      <c r="AB1568" t="str" cm="1">
        <f t="array" ref="AB1568:AC1568">_xlfn._xlws.FILTER(A1568:Z1568,A1568:Z1568&lt;&gt;"","")</f>
        <v>中文</v>
      </c>
      <c r="AC1568">
        <v>7</v>
      </c>
      <c r="AD1568" t="str">
        <v/>
      </c>
      <c r="AE1568" t="str">
        <v/>
      </c>
      <c r="AF1568" t="str" cm="1">
        <f t="array" ref="AF1568">IF(AD1568="","",SUMPRODUCT(IF(LEFT($AD$1:AD1568,2)="JS",1,0)))</f>
        <v/>
      </c>
      <c r="AG1568" t="b">
        <f t="shared" si="96"/>
        <v>1</v>
      </c>
      <c r="AH1568" t="str">
        <f t="shared" si="97"/>
        <v/>
      </c>
      <c r="AI1568" t="str">
        <f>IF(AH1568="","",MAX($AF$1:$AF1568))</f>
        <v/>
      </c>
      <c r="AJ1568" t="str">
        <f t="shared" si="98"/>
        <v>中文</v>
      </c>
      <c r="AK1568">
        <f>IF(AJ1568="","",MAX($AF$1:$AF1568))</f>
        <v>31</v>
      </c>
      <c r="AL1568" t="str">
        <f t="shared" si="99"/>
        <v/>
      </c>
      <c r="AM1568" t="str">
        <f>IF(AL1568="","",MAX($AF$1:$AF1568))</f>
        <v/>
      </c>
    </row>
    <row r="1569" spans="1:39" ht="13.5" customHeight="1" x14ac:dyDescent="0.3">
      <c r="A1569" s="8" t="s">
        <v>7</v>
      </c>
      <c r="B1569" s="9"/>
      <c r="C1569" s="10">
        <v>7</v>
      </c>
      <c r="D1569" s="11"/>
      <c r="AB1569" t="str" cm="1">
        <f t="array" ref="AB1569:AC1569">_xlfn._xlws.FILTER(A1569:Z1569,A1569:Z1569&lt;&gt;"","")</f>
        <v>Chinese Literature</v>
      </c>
      <c r="AC1569">
        <v>7</v>
      </c>
      <c r="AD1569" t="str">
        <v/>
      </c>
      <c r="AE1569" t="str">
        <v/>
      </c>
      <c r="AF1569" t="str" cm="1">
        <f t="array" ref="AF1569">IF(AD1569="","",SUMPRODUCT(IF(LEFT($AD$1:AD1569,2)="JS",1,0)))</f>
        <v/>
      </c>
      <c r="AG1569" t="str">
        <f t="shared" si="96"/>
        <v/>
      </c>
      <c r="AH1569" t="str">
        <f t="shared" si="97"/>
        <v/>
      </c>
      <c r="AI1569" t="str">
        <f>IF(AH1569="","",MAX($AF$1:$AF1569))</f>
        <v/>
      </c>
      <c r="AJ1569" t="str">
        <f t="shared" si="98"/>
        <v/>
      </c>
      <c r="AK1569" t="str">
        <f>IF(AJ1569="","",MAX($AF$1:$AF1569))</f>
        <v/>
      </c>
      <c r="AL1569" t="str">
        <f t="shared" si="99"/>
        <v/>
      </c>
      <c r="AM1569" t="str">
        <f>IF(AL1569="","",MAX($AF$1:$AF1569))</f>
        <v/>
      </c>
    </row>
    <row r="1570" spans="1:39" ht="13.5" customHeight="1" x14ac:dyDescent="0.3">
      <c r="A1570" s="8" t="s">
        <v>8</v>
      </c>
      <c r="B1570" s="9"/>
      <c r="C1570" s="10">
        <v>10</v>
      </c>
      <c r="D1570" s="11"/>
      <c r="AB1570" t="str" cm="1">
        <f t="array" ref="AB1570:AC1570">_xlfn._xlws.FILTER(A1570:Z1570,A1570:Z1570&lt;&gt;"","")</f>
        <v>Combined Science: Biology + Chemistry</v>
      </c>
      <c r="AC1570">
        <v>10</v>
      </c>
      <c r="AD1570" t="str">
        <v/>
      </c>
      <c r="AE1570" t="str">
        <v/>
      </c>
      <c r="AF1570" t="str" cm="1">
        <f t="array" ref="AF1570">IF(AD1570="","",SUMPRODUCT(IF(LEFT($AD$1:AD1570,2)="JS",1,0)))</f>
        <v/>
      </c>
      <c r="AG1570" t="str">
        <f t="shared" si="96"/>
        <v/>
      </c>
      <c r="AH1570" t="str">
        <f t="shared" si="97"/>
        <v/>
      </c>
      <c r="AI1570" t="str">
        <f>IF(AH1570="","",MAX($AF$1:$AF1570))</f>
        <v/>
      </c>
      <c r="AJ1570" t="str">
        <f t="shared" si="98"/>
        <v/>
      </c>
      <c r="AK1570" t="str">
        <f>IF(AJ1570="","",MAX($AF$1:$AF1570))</f>
        <v/>
      </c>
      <c r="AL1570" t="str">
        <f t="shared" si="99"/>
        <v/>
      </c>
      <c r="AM1570" t="str">
        <f>IF(AL1570="","",MAX($AF$1:$AF1570))</f>
        <v/>
      </c>
    </row>
    <row r="1571" spans="1:39" ht="13.5" customHeight="1" x14ac:dyDescent="0.3">
      <c r="A1571" s="8" t="s">
        <v>9</v>
      </c>
      <c r="B1571" s="9"/>
      <c r="C1571" s="10">
        <v>10</v>
      </c>
      <c r="D1571" s="11"/>
      <c r="AB1571" t="str" cm="1">
        <f t="array" ref="AB1571:AC1571">_xlfn._xlws.FILTER(A1571:Z1571,A1571:Z1571&lt;&gt;"","")</f>
        <v>Combined Science: Biology + Physics</v>
      </c>
      <c r="AC1571">
        <v>10</v>
      </c>
      <c r="AD1571" t="str">
        <v/>
      </c>
      <c r="AE1571" t="str">
        <v/>
      </c>
      <c r="AF1571" t="str" cm="1">
        <f t="array" ref="AF1571">IF(AD1571="","",SUMPRODUCT(IF(LEFT($AD$1:AD1571,2)="JS",1,0)))</f>
        <v/>
      </c>
      <c r="AG1571" t="str">
        <f t="shared" si="96"/>
        <v/>
      </c>
      <c r="AH1571" t="str">
        <f t="shared" si="97"/>
        <v/>
      </c>
      <c r="AI1571" t="str">
        <f>IF(AH1571="","",MAX($AF$1:$AF1571))</f>
        <v/>
      </c>
      <c r="AJ1571" t="str">
        <f t="shared" si="98"/>
        <v/>
      </c>
      <c r="AK1571" t="str">
        <f>IF(AJ1571="","",MAX($AF$1:$AF1571))</f>
        <v/>
      </c>
      <c r="AL1571" t="str">
        <f t="shared" si="99"/>
        <v/>
      </c>
      <c r="AM1571" t="str">
        <f>IF(AL1571="","",MAX($AF$1:$AF1571))</f>
        <v/>
      </c>
    </row>
    <row r="1572" spans="1:39" ht="13.5" customHeight="1" x14ac:dyDescent="0.3">
      <c r="A1572" s="8" t="s">
        <v>10</v>
      </c>
      <c r="B1572" s="9"/>
      <c r="C1572" s="10">
        <v>10</v>
      </c>
      <c r="D1572" s="11"/>
      <c r="AB1572" t="str" cm="1">
        <f t="array" ref="AB1572:AC1572">_xlfn._xlws.FILTER(A1572:Z1572,A1572:Z1572&lt;&gt;"","")</f>
        <v>Combined Science: Physics + Chemistry</v>
      </c>
      <c r="AC1572">
        <v>10</v>
      </c>
      <c r="AD1572" t="str">
        <v/>
      </c>
      <c r="AE1572" t="str">
        <v/>
      </c>
      <c r="AF1572" t="str" cm="1">
        <f t="array" ref="AF1572">IF(AD1572="","",SUMPRODUCT(IF(LEFT($AD$1:AD1572,2)="JS",1,0)))</f>
        <v/>
      </c>
      <c r="AG1572" t="str">
        <f t="shared" si="96"/>
        <v/>
      </c>
      <c r="AH1572" t="str">
        <f t="shared" si="97"/>
        <v/>
      </c>
      <c r="AI1572" t="str">
        <f>IF(AH1572="","",MAX($AF$1:$AF1572))</f>
        <v/>
      </c>
      <c r="AJ1572" t="str">
        <f t="shared" si="98"/>
        <v/>
      </c>
      <c r="AK1572" t="str">
        <f>IF(AJ1572="","",MAX($AF$1:$AF1572))</f>
        <v/>
      </c>
      <c r="AL1572" t="str">
        <f t="shared" si="99"/>
        <v/>
      </c>
      <c r="AM1572" t="str">
        <f>IF(AL1572="","",MAX($AF$1:$AF1572))</f>
        <v/>
      </c>
    </row>
    <row r="1573" spans="1:39" ht="13.5" customHeight="1" x14ac:dyDescent="0.3">
      <c r="A1573" s="8" t="s">
        <v>11</v>
      </c>
      <c r="B1573" s="9"/>
      <c r="C1573" s="10">
        <v>7</v>
      </c>
      <c r="D1573" s="11"/>
      <c r="AB1573" t="str" cm="1">
        <f t="array" ref="AB1573:AC1573">_xlfn._xlws.FILTER(A1573:Z1573,A1573:Z1573&lt;&gt;"","")</f>
        <v>Design and Applied Technology</v>
      </c>
      <c r="AC1573">
        <v>7</v>
      </c>
      <c r="AD1573" t="str">
        <v/>
      </c>
      <c r="AE1573" t="str">
        <v/>
      </c>
      <c r="AF1573" t="str" cm="1">
        <f t="array" ref="AF1573">IF(AD1573="","",SUMPRODUCT(IF(LEFT($AD$1:AD1573,2)="JS",1,0)))</f>
        <v/>
      </c>
      <c r="AG1573" t="str">
        <f t="shared" si="96"/>
        <v/>
      </c>
      <c r="AH1573" t="str">
        <f t="shared" si="97"/>
        <v/>
      </c>
      <c r="AI1573" t="str">
        <f>IF(AH1573="","",MAX($AF$1:$AF1573))</f>
        <v/>
      </c>
      <c r="AJ1573" t="str">
        <f t="shared" si="98"/>
        <v/>
      </c>
      <c r="AK1573" t="str">
        <f>IF(AJ1573="","",MAX($AF$1:$AF1573))</f>
        <v/>
      </c>
      <c r="AL1573" t="str">
        <f t="shared" si="99"/>
        <v/>
      </c>
      <c r="AM1573" t="str">
        <f>IF(AL1573="","",MAX($AF$1:$AF1573))</f>
        <v/>
      </c>
    </row>
    <row r="1574" spans="1:39" ht="13.5" customHeight="1" x14ac:dyDescent="0.3">
      <c r="A1574" s="8" t="s">
        <v>217</v>
      </c>
      <c r="B1574" s="9"/>
      <c r="C1574" s="10">
        <v>10</v>
      </c>
      <c r="D1574" s="11"/>
      <c r="AB1574" t="str" cm="1">
        <f t="array" ref="AB1574:AC1574">_xlfn._xlws.FILTER(A1574:Z1574,A1574:Z1574&lt;&gt;"","")</f>
        <v>ECON</v>
      </c>
      <c r="AC1574">
        <v>10</v>
      </c>
      <c r="AD1574" t="str">
        <v/>
      </c>
      <c r="AE1574" t="str">
        <v/>
      </c>
      <c r="AF1574" t="str" cm="1">
        <f t="array" ref="AF1574">IF(AD1574="","",SUMPRODUCT(IF(LEFT($AD$1:AD1574,2)="JS",1,0)))</f>
        <v/>
      </c>
      <c r="AG1574" t="b">
        <f t="shared" si="96"/>
        <v>1</v>
      </c>
      <c r="AH1574" t="str">
        <f t="shared" si="97"/>
        <v>ECON</v>
      </c>
      <c r="AI1574">
        <f>IF(AH1574="","",MAX($AF$1:$AF1574))</f>
        <v>31</v>
      </c>
      <c r="AJ1574" t="str">
        <f t="shared" si="98"/>
        <v/>
      </c>
      <c r="AK1574" t="str">
        <f>IF(AJ1574="","",MAX($AF$1:$AF1574))</f>
        <v/>
      </c>
      <c r="AL1574" t="str">
        <f t="shared" si="99"/>
        <v/>
      </c>
      <c r="AM1574" t="str">
        <f>IF(AL1574="","",MAX($AF$1:$AF1574))</f>
        <v/>
      </c>
    </row>
    <row r="1575" spans="1:39" ht="13.5" customHeight="1" x14ac:dyDescent="0.3">
      <c r="A1575" s="8" t="s">
        <v>218</v>
      </c>
      <c r="B1575" s="9"/>
      <c r="C1575" s="10">
        <v>10</v>
      </c>
      <c r="D1575" s="11"/>
      <c r="AB1575" t="str" cm="1">
        <f t="array" ref="AB1575:AC1575">_xlfn._xlws.FILTER(A1575:Z1575,A1575:Z1575&lt;&gt;"","")</f>
        <v>ENG</v>
      </c>
      <c r="AC1575">
        <v>10</v>
      </c>
      <c r="AD1575" t="str">
        <v/>
      </c>
      <c r="AE1575" t="str">
        <v/>
      </c>
      <c r="AF1575" t="str" cm="1">
        <f t="array" ref="AF1575">IF(AD1575="","",SUMPRODUCT(IF(LEFT($AD$1:AD1575,2)="JS",1,0)))</f>
        <v/>
      </c>
      <c r="AG1575" t="b">
        <f t="shared" si="96"/>
        <v>1</v>
      </c>
      <c r="AH1575" t="str">
        <f t="shared" si="97"/>
        <v>ENG</v>
      </c>
      <c r="AI1575">
        <f>IF(AH1575="","",MAX($AF$1:$AF1575))</f>
        <v>31</v>
      </c>
      <c r="AJ1575" t="str">
        <f t="shared" si="98"/>
        <v/>
      </c>
      <c r="AK1575" t="str">
        <f>IF(AJ1575="","",MAX($AF$1:$AF1575))</f>
        <v/>
      </c>
      <c r="AL1575" t="str">
        <f t="shared" si="99"/>
        <v/>
      </c>
      <c r="AM1575" t="str">
        <f>IF(AL1575="","",MAX($AF$1:$AF1575))</f>
        <v/>
      </c>
    </row>
    <row r="1576" spans="1:39" ht="13.5" customHeight="1" x14ac:dyDescent="0.3">
      <c r="A1576" s="8" t="s">
        <v>12</v>
      </c>
      <c r="B1576" s="9"/>
      <c r="C1576" s="10">
        <v>7</v>
      </c>
      <c r="D1576" s="11"/>
      <c r="AB1576" t="str" cm="1">
        <f t="array" ref="AB1576:AC1576">_xlfn._xlws.FILTER(A1576:Z1576,A1576:Z1576&lt;&gt;"","")</f>
        <v>Ethics and Religious Studies</v>
      </c>
      <c r="AC1576">
        <v>7</v>
      </c>
      <c r="AD1576" t="str">
        <v/>
      </c>
      <c r="AE1576" t="str">
        <v/>
      </c>
      <c r="AF1576" t="str" cm="1">
        <f t="array" ref="AF1576">IF(AD1576="","",SUMPRODUCT(IF(LEFT($AD$1:AD1576,2)="JS",1,0)))</f>
        <v/>
      </c>
      <c r="AG1576" t="str">
        <f t="shared" si="96"/>
        <v/>
      </c>
      <c r="AH1576" t="str">
        <f t="shared" si="97"/>
        <v/>
      </c>
      <c r="AI1576" t="str">
        <f>IF(AH1576="","",MAX($AF$1:$AF1576))</f>
        <v/>
      </c>
      <c r="AJ1576" t="str">
        <f t="shared" si="98"/>
        <v/>
      </c>
      <c r="AK1576" t="str">
        <f>IF(AJ1576="","",MAX($AF$1:$AF1576))</f>
        <v/>
      </c>
      <c r="AL1576" t="str">
        <f t="shared" si="99"/>
        <v/>
      </c>
      <c r="AM1576" t="str">
        <f>IF(AL1576="","",MAX($AF$1:$AF1576))</f>
        <v/>
      </c>
    </row>
    <row r="1577" spans="1:39" ht="13.5" customHeight="1" x14ac:dyDescent="0.3">
      <c r="A1577" s="8" t="s">
        <v>219</v>
      </c>
      <c r="B1577" s="9"/>
      <c r="C1577" s="10">
        <v>7</v>
      </c>
      <c r="D1577" s="11"/>
      <c r="AB1577" t="str" cm="1">
        <f t="array" ref="AB1577:AC1577">_xlfn._xlws.FILTER(A1577:Z1577,A1577:Z1577&lt;&gt;"","")</f>
        <v>GEOG</v>
      </c>
      <c r="AC1577">
        <v>7</v>
      </c>
      <c r="AD1577" t="str">
        <v/>
      </c>
      <c r="AE1577" t="str">
        <v/>
      </c>
      <c r="AF1577" t="str" cm="1">
        <f t="array" ref="AF1577">IF(AD1577="","",SUMPRODUCT(IF(LEFT($AD$1:AD1577,2)="JS",1,0)))</f>
        <v/>
      </c>
      <c r="AG1577" t="b">
        <f t="shared" si="96"/>
        <v>1</v>
      </c>
      <c r="AH1577" t="str">
        <f t="shared" si="97"/>
        <v/>
      </c>
      <c r="AI1577" t="str">
        <f>IF(AH1577="","",MAX($AF$1:$AF1577))</f>
        <v/>
      </c>
      <c r="AJ1577" t="str">
        <f t="shared" si="98"/>
        <v>GEOG</v>
      </c>
      <c r="AK1577">
        <f>IF(AJ1577="","",MAX($AF$1:$AF1577))</f>
        <v>31</v>
      </c>
      <c r="AL1577" t="str">
        <f t="shared" si="99"/>
        <v/>
      </c>
      <c r="AM1577" t="str">
        <f>IF(AL1577="","",MAX($AF$1:$AF1577))</f>
        <v/>
      </c>
    </row>
    <row r="1578" spans="1:39" ht="13.5" customHeight="1" x14ac:dyDescent="0.3">
      <c r="A1578" s="8" t="s">
        <v>220</v>
      </c>
      <c r="B1578" s="9"/>
      <c r="C1578" s="10">
        <v>7</v>
      </c>
      <c r="D1578" s="11"/>
      <c r="AB1578" t="str" cm="1">
        <f t="array" ref="AB1578:AC1578">_xlfn._xlws.FILTER(A1578:Z1578,A1578:Z1578&lt;&gt;"","")</f>
        <v>HMSC</v>
      </c>
      <c r="AC1578">
        <v>7</v>
      </c>
      <c r="AD1578" t="str">
        <v/>
      </c>
      <c r="AE1578" t="str">
        <v/>
      </c>
      <c r="AF1578" t="str" cm="1">
        <f t="array" ref="AF1578">IF(AD1578="","",SUMPRODUCT(IF(LEFT($AD$1:AD1578,2)="JS",1,0)))</f>
        <v/>
      </c>
      <c r="AG1578" t="b">
        <f t="shared" si="96"/>
        <v>1</v>
      </c>
      <c r="AH1578" t="str">
        <f t="shared" si="97"/>
        <v/>
      </c>
      <c r="AI1578" t="str">
        <f>IF(AH1578="","",MAX($AF$1:$AF1578))</f>
        <v/>
      </c>
      <c r="AJ1578" t="str">
        <f t="shared" si="98"/>
        <v>HMSC</v>
      </c>
      <c r="AK1578">
        <f>IF(AJ1578="","",MAX($AF$1:$AF1578))</f>
        <v>31</v>
      </c>
      <c r="AL1578" t="str">
        <f t="shared" si="99"/>
        <v/>
      </c>
      <c r="AM1578" t="str">
        <f>IF(AL1578="","",MAX($AF$1:$AF1578))</f>
        <v/>
      </c>
    </row>
    <row r="1579" spans="1:39" ht="13.5" customHeight="1" x14ac:dyDescent="0.3">
      <c r="A1579" s="8" t="s">
        <v>221</v>
      </c>
      <c r="B1579" s="9"/>
      <c r="C1579" s="10">
        <v>7</v>
      </c>
      <c r="D1579" s="11"/>
      <c r="AB1579" t="str" cm="1">
        <f t="array" ref="AB1579:AC1579">_xlfn._xlws.FILTER(A1579:Z1579,A1579:Z1579&lt;&gt;"","")</f>
        <v>HIST</v>
      </c>
      <c r="AC1579">
        <v>7</v>
      </c>
      <c r="AD1579" t="str">
        <v/>
      </c>
      <c r="AE1579" t="str">
        <v/>
      </c>
      <c r="AF1579" t="str" cm="1">
        <f t="array" ref="AF1579">IF(AD1579="","",SUMPRODUCT(IF(LEFT($AD$1:AD1579,2)="JS",1,0)))</f>
        <v/>
      </c>
      <c r="AG1579" t="b">
        <f t="shared" si="96"/>
        <v>1</v>
      </c>
      <c r="AH1579" t="str">
        <f t="shared" si="97"/>
        <v/>
      </c>
      <c r="AI1579" t="str">
        <f>IF(AH1579="","",MAX($AF$1:$AF1579))</f>
        <v/>
      </c>
      <c r="AJ1579" t="str">
        <f t="shared" si="98"/>
        <v>HIST</v>
      </c>
      <c r="AK1579">
        <f>IF(AJ1579="","",MAX($AF$1:$AF1579))</f>
        <v>31</v>
      </c>
      <c r="AL1579" t="str">
        <f t="shared" si="99"/>
        <v/>
      </c>
      <c r="AM1579" t="str">
        <f>IF(AL1579="","",MAX($AF$1:$AF1579))</f>
        <v/>
      </c>
    </row>
    <row r="1580" spans="1:39" ht="13.5" customHeight="1" x14ac:dyDescent="0.3">
      <c r="A1580" s="8" t="s">
        <v>222</v>
      </c>
      <c r="B1580" s="9"/>
      <c r="C1580" s="10">
        <v>10</v>
      </c>
      <c r="D1580" s="11"/>
      <c r="AB1580" t="str" cm="1">
        <f t="array" ref="AB1580:AC1580">_xlfn._xlws.FILTER(A1580:Z1580,A1580:Z1580&lt;&gt;"","")</f>
        <v>ICT</v>
      </c>
      <c r="AC1580">
        <v>10</v>
      </c>
      <c r="AD1580" t="str">
        <v/>
      </c>
      <c r="AE1580" t="str">
        <v/>
      </c>
      <c r="AF1580" t="str" cm="1">
        <f t="array" ref="AF1580">IF(AD1580="","",SUMPRODUCT(IF(LEFT($AD$1:AD1580,2)="JS",1,0)))</f>
        <v/>
      </c>
      <c r="AG1580" t="b">
        <f t="shared" si="96"/>
        <v>1</v>
      </c>
      <c r="AH1580" t="str">
        <f t="shared" si="97"/>
        <v>ICT</v>
      </c>
      <c r="AI1580">
        <f>IF(AH1580="","",MAX($AF$1:$AF1580))</f>
        <v>31</v>
      </c>
      <c r="AJ1580" t="str">
        <f t="shared" si="98"/>
        <v/>
      </c>
      <c r="AK1580" t="str">
        <f>IF(AJ1580="","",MAX($AF$1:$AF1580))</f>
        <v/>
      </c>
      <c r="AL1580" t="str">
        <f t="shared" si="99"/>
        <v/>
      </c>
      <c r="AM1580" t="str">
        <f>IF(AL1580="","",MAX($AF$1:$AF1580))</f>
        <v/>
      </c>
    </row>
    <row r="1581" spans="1:39" ht="13.5" customHeight="1" x14ac:dyDescent="0.3">
      <c r="A1581" s="8" t="s">
        <v>13</v>
      </c>
      <c r="B1581" s="9"/>
      <c r="C1581" s="10">
        <v>7</v>
      </c>
      <c r="D1581" s="11"/>
      <c r="AB1581" t="str" cm="1">
        <f t="array" ref="AB1581:AC1581">_xlfn._xlws.FILTER(A1581:Z1581,A1581:Z1581&lt;&gt;"","")</f>
        <v>Integrated Science</v>
      </c>
      <c r="AC1581">
        <v>7</v>
      </c>
      <c r="AD1581" t="str">
        <v/>
      </c>
      <c r="AE1581" t="str">
        <v/>
      </c>
      <c r="AF1581" t="str" cm="1">
        <f t="array" ref="AF1581">IF(AD1581="","",SUMPRODUCT(IF(LEFT($AD$1:AD1581,2)="JS",1,0)))</f>
        <v/>
      </c>
      <c r="AG1581" t="str">
        <f t="shared" si="96"/>
        <v/>
      </c>
      <c r="AH1581" t="str">
        <f t="shared" si="97"/>
        <v/>
      </c>
      <c r="AI1581" t="str">
        <f>IF(AH1581="","",MAX($AF$1:$AF1581))</f>
        <v/>
      </c>
      <c r="AJ1581" t="str">
        <f t="shared" si="98"/>
        <v/>
      </c>
      <c r="AK1581" t="str">
        <f>IF(AJ1581="","",MAX($AF$1:$AF1581))</f>
        <v/>
      </c>
      <c r="AL1581" t="str">
        <f t="shared" si="99"/>
        <v/>
      </c>
      <c r="AM1581" t="str">
        <f>IF(AL1581="","",MAX($AF$1:$AF1581))</f>
        <v/>
      </c>
    </row>
    <row r="1582" spans="1:39" ht="13.5" customHeight="1" x14ac:dyDescent="0.3">
      <c r="A1582" s="8" t="s">
        <v>223</v>
      </c>
      <c r="B1582" s="9"/>
      <c r="C1582" s="10">
        <v>7</v>
      </c>
      <c r="D1582" s="11"/>
      <c r="AB1582" t="str" cm="1">
        <f t="array" ref="AB1582:AC1582">_xlfn._xlws.FILTER(A1582:Z1582,A1582:Z1582&lt;&gt;"","")</f>
        <v>通</v>
      </c>
      <c r="AC1582">
        <v>7</v>
      </c>
      <c r="AD1582" t="str">
        <v/>
      </c>
      <c r="AE1582" t="str">
        <v/>
      </c>
      <c r="AF1582" t="str" cm="1">
        <f t="array" ref="AF1582">IF(AD1582="","",SUMPRODUCT(IF(LEFT($AD$1:AD1582,2)="JS",1,0)))</f>
        <v/>
      </c>
      <c r="AG1582" t="b">
        <f t="shared" si="96"/>
        <v>1</v>
      </c>
      <c r="AH1582" t="str">
        <f t="shared" si="97"/>
        <v/>
      </c>
      <c r="AI1582" t="str">
        <f>IF(AH1582="","",MAX($AF$1:$AF1582))</f>
        <v/>
      </c>
      <c r="AJ1582" t="str">
        <f t="shared" si="98"/>
        <v>通</v>
      </c>
      <c r="AK1582">
        <f>IF(AJ1582="","",MAX($AF$1:$AF1582))</f>
        <v>31</v>
      </c>
      <c r="AL1582" t="str">
        <f t="shared" si="99"/>
        <v/>
      </c>
      <c r="AM1582" t="str">
        <f>IF(AL1582="","",MAX($AF$1:$AF1582))</f>
        <v/>
      </c>
    </row>
    <row r="1583" spans="1:39" ht="13.5" customHeight="1" x14ac:dyDescent="0.3">
      <c r="A1583" s="8" t="s">
        <v>14</v>
      </c>
      <c r="B1583" s="9"/>
      <c r="C1583" s="10">
        <v>7</v>
      </c>
      <c r="D1583" s="11"/>
      <c r="AB1583" t="str" cm="1">
        <f t="array" ref="AB1583:AC1583">_xlfn._xlws.FILTER(A1583:Z1583,A1583:Z1583&lt;&gt;"","")</f>
        <v>Literature in English</v>
      </c>
      <c r="AC1583">
        <v>7</v>
      </c>
      <c r="AD1583" t="str">
        <v/>
      </c>
      <c r="AE1583" t="str">
        <v/>
      </c>
      <c r="AF1583" t="str" cm="1">
        <f t="array" ref="AF1583">IF(AD1583="","",SUMPRODUCT(IF(LEFT($AD$1:AD1583,2)="JS",1,0)))</f>
        <v/>
      </c>
      <c r="AG1583" t="str">
        <f t="shared" si="96"/>
        <v/>
      </c>
      <c r="AH1583" t="str">
        <f t="shared" si="97"/>
        <v/>
      </c>
      <c r="AI1583" t="str">
        <f>IF(AH1583="","",MAX($AF$1:$AF1583))</f>
        <v/>
      </c>
      <c r="AJ1583" t="str">
        <f t="shared" si="98"/>
        <v/>
      </c>
      <c r="AK1583" t="str">
        <f>IF(AJ1583="","",MAX($AF$1:$AF1583))</f>
        <v/>
      </c>
      <c r="AL1583" t="str">
        <f t="shared" si="99"/>
        <v/>
      </c>
      <c r="AM1583" t="str">
        <f>IF(AL1583="","",MAX($AF$1:$AF1583))</f>
        <v/>
      </c>
    </row>
    <row r="1584" spans="1:39" ht="13.5" customHeight="1" x14ac:dyDescent="0.3">
      <c r="A1584" s="8" t="s">
        <v>224</v>
      </c>
      <c r="B1584" s="9"/>
      <c r="C1584" s="10">
        <v>10</v>
      </c>
      <c r="D1584" s="11"/>
      <c r="AB1584" t="str" cm="1">
        <f t="array" ref="AB1584:AC1584">_xlfn._xlws.FILTER(A1584:Z1584,A1584:Z1584&lt;&gt;"","")</f>
        <v>MATH</v>
      </c>
      <c r="AC1584">
        <v>10</v>
      </c>
      <c r="AD1584" t="str">
        <v/>
      </c>
      <c r="AE1584" t="str">
        <v/>
      </c>
      <c r="AF1584" t="str" cm="1">
        <f t="array" ref="AF1584">IF(AD1584="","",SUMPRODUCT(IF(LEFT($AD$1:AD1584,2)="JS",1,0)))</f>
        <v/>
      </c>
      <c r="AG1584" t="b">
        <f t="shared" si="96"/>
        <v>1</v>
      </c>
      <c r="AH1584" t="str">
        <f t="shared" si="97"/>
        <v>MATH</v>
      </c>
      <c r="AI1584">
        <f>IF(AH1584="","",MAX($AF$1:$AF1584))</f>
        <v>31</v>
      </c>
      <c r="AJ1584" t="str">
        <f t="shared" si="98"/>
        <v/>
      </c>
      <c r="AK1584" t="str">
        <f>IF(AJ1584="","",MAX($AF$1:$AF1584))</f>
        <v/>
      </c>
      <c r="AL1584" t="str">
        <f t="shared" si="99"/>
        <v/>
      </c>
      <c r="AM1584" t="str">
        <f>IF(AL1584="","",MAX($AF$1:$AF1584))</f>
        <v/>
      </c>
    </row>
    <row r="1585" spans="1:39" ht="13.5" customHeight="1" x14ac:dyDescent="0.3">
      <c r="A1585" s="8" t="s">
        <v>225</v>
      </c>
      <c r="B1585" s="9"/>
      <c r="C1585" s="10">
        <v>10</v>
      </c>
      <c r="D1585" s="11"/>
      <c r="AB1585" t="str" cm="1">
        <f t="array" ref="AB1585:AC1585">_xlfn._xlws.FILTER(A1585:Z1585,A1585:Z1585&lt;&gt;"","")</f>
        <v>M2</v>
      </c>
      <c r="AC1585">
        <v>10</v>
      </c>
      <c r="AD1585" t="str">
        <v/>
      </c>
      <c r="AE1585" t="str">
        <v/>
      </c>
      <c r="AF1585" t="str" cm="1">
        <f t="array" ref="AF1585">IF(AD1585="","",SUMPRODUCT(IF(LEFT($AD$1:AD1585,2)="JS",1,0)))</f>
        <v/>
      </c>
      <c r="AG1585" t="b">
        <f t="shared" si="96"/>
        <v>1</v>
      </c>
      <c r="AH1585" t="str">
        <f t="shared" si="97"/>
        <v>M2</v>
      </c>
      <c r="AI1585">
        <f>IF(AH1585="","",MAX($AF$1:$AF1585))</f>
        <v>31</v>
      </c>
      <c r="AJ1585" t="str">
        <f t="shared" si="98"/>
        <v/>
      </c>
      <c r="AK1585" t="str">
        <f>IF(AJ1585="","",MAX($AF$1:$AF1585))</f>
        <v/>
      </c>
      <c r="AL1585" t="str">
        <f t="shared" si="99"/>
        <v/>
      </c>
      <c r="AM1585" t="str">
        <f>IF(AL1585="","",MAX($AF$1:$AF1585))</f>
        <v/>
      </c>
    </row>
    <row r="1586" spans="1:39" ht="13.5" customHeight="1" x14ac:dyDescent="0.3">
      <c r="A1586" s="8" t="s">
        <v>15</v>
      </c>
      <c r="B1586" s="9"/>
      <c r="C1586" s="10">
        <v>10</v>
      </c>
      <c r="D1586" s="11"/>
      <c r="AB1586" t="str" cm="1">
        <f t="array" ref="AB1586:AC1586">_xlfn._xlws.FILTER(A1586:Z1586,A1586:Z1586&lt;&gt;"","")</f>
        <v>Mathematics (Extended part - Calculus and Statistics)</v>
      </c>
      <c r="AC1586">
        <v>10</v>
      </c>
      <c r="AD1586" t="str">
        <v/>
      </c>
      <c r="AE1586" t="str">
        <v/>
      </c>
      <c r="AF1586" t="str" cm="1">
        <f t="array" ref="AF1586">IF(AD1586="","",SUMPRODUCT(IF(LEFT($AD$1:AD1586,2)="JS",1,0)))</f>
        <v/>
      </c>
      <c r="AG1586" t="str">
        <f t="shared" si="96"/>
        <v/>
      </c>
      <c r="AH1586" t="str">
        <f t="shared" si="97"/>
        <v/>
      </c>
      <c r="AI1586" t="str">
        <f>IF(AH1586="","",MAX($AF$1:$AF1586))</f>
        <v/>
      </c>
      <c r="AJ1586" t="str">
        <f t="shared" si="98"/>
        <v/>
      </c>
      <c r="AK1586" t="str">
        <f>IF(AJ1586="","",MAX($AF$1:$AF1586))</f>
        <v/>
      </c>
      <c r="AL1586" t="str">
        <f t="shared" si="99"/>
        <v/>
      </c>
      <c r="AM1586" t="str">
        <f>IF(AL1586="","",MAX($AF$1:$AF1586))</f>
        <v/>
      </c>
    </row>
    <row r="1587" spans="1:39" ht="13.5" customHeight="1" x14ac:dyDescent="0.3">
      <c r="A1587" s="8" t="s">
        <v>16</v>
      </c>
      <c r="B1587" s="9"/>
      <c r="C1587" s="10">
        <v>7</v>
      </c>
      <c r="D1587" s="11"/>
      <c r="AB1587" t="str" cm="1">
        <f t="array" ref="AB1587:AC1587">_xlfn._xlws.FILTER(A1587:Z1587,A1587:Z1587&lt;&gt;"","")</f>
        <v>Music</v>
      </c>
      <c r="AC1587">
        <v>7</v>
      </c>
      <c r="AD1587" t="str">
        <v/>
      </c>
      <c r="AE1587" t="str">
        <v/>
      </c>
      <c r="AF1587" t="str" cm="1">
        <f t="array" ref="AF1587">IF(AD1587="","",SUMPRODUCT(IF(LEFT($AD$1:AD1587,2)="JS",1,0)))</f>
        <v/>
      </c>
      <c r="AG1587" t="str">
        <f t="shared" si="96"/>
        <v/>
      </c>
      <c r="AH1587" t="str">
        <f t="shared" si="97"/>
        <v/>
      </c>
      <c r="AI1587" t="str">
        <f>IF(AH1587="","",MAX($AF$1:$AF1587))</f>
        <v/>
      </c>
      <c r="AJ1587" t="str">
        <f t="shared" si="98"/>
        <v/>
      </c>
      <c r="AK1587" t="str">
        <f>IF(AJ1587="","",MAX($AF$1:$AF1587))</f>
        <v/>
      </c>
      <c r="AL1587" t="str">
        <f t="shared" si="99"/>
        <v/>
      </c>
      <c r="AM1587" t="str">
        <f>IF(AL1587="","",MAX($AF$1:$AF1587))</f>
        <v/>
      </c>
    </row>
    <row r="1588" spans="1:39" ht="13.5" customHeight="1" x14ac:dyDescent="0.3">
      <c r="A1588" s="8" t="s">
        <v>17</v>
      </c>
      <c r="B1588" s="9"/>
      <c r="C1588" s="10">
        <v>7</v>
      </c>
      <c r="D1588" s="11"/>
      <c r="AB1588" t="str" cm="1">
        <f t="array" ref="AB1588:AC1588">_xlfn._xlws.FILTER(A1588:Z1588,A1588:Z1588&lt;&gt;"","")</f>
        <v>Physical Education</v>
      </c>
      <c r="AC1588">
        <v>7</v>
      </c>
      <c r="AD1588" t="str">
        <v/>
      </c>
      <c r="AE1588" t="str">
        <v/>
      </c>
      <c r="AF1588" t="str" cm="1">
        <f t="array" ref="AF1588">IF(AD1588="","",SUMPRODUCT(IF(LEFT($AD$1:AD1588,2)="JS",1,0)))</f>
        <v/>
      </c>
      <c r="AG1588" t="str">
        <f t="shared" si="96"/>
        <v/>
      </c>
      <c r="AH1588" t="str">
        <f t="shared" si="97"/>
        <v/>
      </c>
      <c r="AI1588" t="str">
        <f>IF(AH1588="","",MAX($AF$1:$AF1588))</f>
        <v/>
      </c>
      <c r="AJ1588" t="str">
        <f t="shared" si="98"/>
        <v/>
      </c>
      <c r="AK1588" t="str">
        <f>IF(AJ1588="","",MAX($AF$1:$AF1588))</f>
        <v/>
      </c>
      <c r="AL1588" t="str">
        <f t="shared" si="99"/>
        <v/>
      </c>
      <c r="AM1588" t="str">
        <f>IF(AL1588="","",MAX($AF$1:$AF1588))</f>
        <v/>
      </c>
    </row>
    <row r="1589" spans="1:39" ht="13.5" customHeight="1" x14ac:dyDescent="0.3">
      <c r="A1589" s="8" t="s">
        <v>226</v>
      </c>
      <c r="B1589" s="9"/>
      <c r="C1589" s="10">
        <v>10</v>
      </c>
      <c r="D1589" s="11"/>
      <c r="AB1589" t="str" cm="1">
        <f t="array" ref="AB1589:AC1589">_xlfn._xlws.FILTER(A1589:Z1589,A1589:Z1589&lt;&gt;"","")</f>
        <v>PHY</v>
      </c>
      <c r="AC1589">
        <v>10</v>
      </c>
      <c r="AD1589" t="str">
        <v/>
      </c>
      <c r="AE1589" t="str">
        <v/>
      </c>
      <c r="AF1589" t="str" cm="1">
        <f t="array" ref="AF1589">IF(AD1589="","",SUMPRODUCT(IF(LEFT($AD$1:AD1589,2)="JS",1,0)))</f>
        <v/>
      </c>
      <c r="AG1589" t="b">
        <f t="shared" si="96"/>
        <v>1</v>
      </c>
      <c r="AH1589" t="str">
        <f t="shared" si="97"/>
        <v>PHY</v>
      </c>
      <c r="AI1589">
        <f>IF(AH1589="","",MAX($AF$1:$AF1589))</f>
        <v>31</v>
      </c>
      <c r="AJ1589" t="str">
        <f t="shared" si="98"/>
        <v/>
      </c>
      <c r="AK1589" t="str">
        <f>IF(AJ1589="","",MAX($AF$1:$AF1589))</f>
        <v/>
      </c>
      <c r="AL1589" t="str">
        <f t="shared" si="99"/>
        <v/>
      </c>
      <c r="AM1589" t="str">
        <f>IF(AL1589="","",MAX($AF$1:$AF1589))</f>
        <v/>
      </c>
    </row>
    <row r="1590" spans="1:39" ht="13.5" customHeight="1" x14ac:dyDescent="0.3">
      <c r="A1590" s="8" t="s">
        <v>18</v>
      </c>
      <c r="B1590" s="9"/>
      <c r="C1590" s="10">
        <v>7</v>
      </c>
      <c r="D1590" s="11"/>
      <c r="AB1590" t="str" cm="1">
        <f t="array" ref="AB1590:AC1590">_xlfn._xlws.FILTER(A1590:Z1590,A1590:Z1590&lt;&gt;"","")</f>
        <v>Technology and Living (Fashion, Clothing and Textiles)</v>
      </c>
      <c r="AC1590">
        <v>7</v>
      </c>
      <c r="AD1590" t="str">
        <v/>
      </c>
      <c r="AE1590" t="str">
        <v/>
      </c>
      <c r="AF1590" t="str" cm="1">
        <f t="array" ref="AF1590">IF(AD1590="","",SUMPRODUCT(IF(LEFT($AD$1:AD1590,2)="JS",1,0)))</f>
        <v/>
      </c>
      <c r="AG1590" t="str">
        <f t="shared" si="96"/>
        <v/>
      </c>
      <c r="AH1590" t="str">
        <f t="shared" si="97"/>
        <v/>
      </c>
      <c r="AI1590" t="str">
        <f>IF(AH1590="","",MAX($AF$1:$AF1590))</f>
        <v/>
      </c>
      <c r="AJ1590" t="str">
        <f t="shared" si="98"/>
        <v/>
      </c>
      <c r="AK1590" t="str">
        <f>IF(AJ1590="","",MAX($AF$1:$AF1590))</f>
        <v/>
      </c>
      <c r="AL1590" t="str">
        <f t="shared" si="99"/>
        <v/>
      </c>
      <c r="AM1590" t="str">
        <f>IF(AL1590="","",MAX($AF$1:$AF1590))</f>
        <v/>
      </c>
    </row>
    <row r="1591" spans="1:39" ht="13.5" customHeight="1" x14ac:dyDescent="0.3">
      <c r="A1591" s="8" t="s">
        <v>19</v>
      </c>
      <c r="B1591" s="9"/>
      <c r="C1591" s="10">
        <v>7</v>
      </c>
      <c r="D1591" s="11"/>
      <c r="AB1591" t="str" cm="1">
        <f t="array" ref="AB1591:AC1591">_xlfn._xlws.FILTER(A1591:Z1591,A1591:Z1591&lt;&gt;"","")</f>
        <v>Technology and Living (Food Science and Technology)</v>
      </c>
      <c r="AC1591">
        <v>7</v>
      </c>
      <c r="AD1591" t="str">
        <v/>
      </c>
      <c r="AE1591" t="str">
        <v/>
      </c>
      <c r="AF1591" t="str" cm="1">
        <f t="array" ref="AF1591">IF(AD1591="","",SUMPRODUCT(IF(LEFT($AD$1:AD1591,2)="JS",1,0)))</f>
        <v/>
      </c>
      <c r="AG1591" t="str">
        <f t="shared" si="96"/>
        <v/>
      </c>
      <c r="AH1591" t="str">
        <f t="shared" si="97"/>
        <v/>
      </c>
      <c r="AI1591" t="str">
        <f>IF(AH1591="","",MAX($AF$1:$AF1591))</f>
        <v/>
      </c>
      <c r="AJ1591" t="str">
        <f t="shared" si="98"/>
        <v/>
      </c>
      <c r="AK1591" t="str">
        <f>IF(AJ1591="","",MAX($AF$1:$AF1591))</f>
        <v/>
      </c>
      <c r="AL1591" t="str">
        <f t="shared" si="99"/>
        <v/>
      </c>
      <c r="AM1591" t="str">
        <f>IF(AL1591="","",MAX($AF$1:$AF1591))</f>
        <v/>
      </c>
    </row>
    <row r="1592" spans="1:39" ht="13.5" customHeight="1" x14ac:dyDescent="0.3">
      <c r="A1592" s="8" t="s">
        <v>20</v>
      </c>
      <c r="B1592" s="9"/>
      <c r="C1592" s="10">
        <v>7</v>
      </c>
      <c r="D1592" s="11"/>
      <c r="AB1592" t="str" cm="1">
        <f t="array" ref="AB1592:AC1592">_xlfn._xlws.FILTER(A1592:Z1592,A1592:Z1592&lt;&gt;"","")</f>
        <v>Tourism and Hospitality Studies</v>
      </c>
      <c r="AC1592">
        <v>7</v>
      </c>
      <c r="AD1592" t="str">
        <v/>
      </c>
      <c r="AE1592" t="str">
        <v/>
      </c>
      <c r="AF1592" t="str" cm="1">
        <f t="array" ref="AF1592">IF(AD1592="","",SUMPRODUCT(IF(LEFT($AD$1:AD1592,2)="JS",1,0)))</f>
        <v/>
      </c>
      <c r="AG1592" t="str">
        <f t="shared" si="96"/>
        <v/>
      </c>
      <c r="AH1592" t="str">
        <f t="shared" si="97"/>
        <v/>
      </c>
      <c r="AI1592" t="str">
        <f>IF(AH1592="","",MAX($AF$1:$AF1592))</f>
        <v/>
      </c>
      <c r="AJ1592" t="str">
        <f t="shared" si="98"/>
        <v/>
      </c>
      <c r="AK1592" t="str">
        <f>IF(AJ1592="","",MAX($AF$1:$AF1592))</f>
        <v/>
      </c>
      <c r="AL1592" t="str">
        <f t="shared" si="99"/>
        <v/>
      </c>
      <c r="AM1592" t="str">
        <f>IF(AL1592="","",MAX($AF$1:$AF1592))</f>
        <v/>
      </c>
    </row>
    <row r="1593" spans="1:39" ht="13.5" customHeight="1" x14ac:dyDescent="0.3">
      <c r="A1593" s="8" t="s">
        <v>210</v>
      </c>
      <c r="B1593" s="9"/>
      <c r="C1593" s="10">
        <v>7</v>
      </c>
      <c r="D1593" s="11"/>
      <c r="AB1593" t="str" cm="1">
        <f t="array" ref="AB1593:AC1593">_xlfn._xlws.FILTER(A1593:Z1593,A1593:Z1593&lt;&gt;"","")</f>
        <v>VA</v>
      </c>
      <c r="AC1593">
        <v>7</v>
      </c>
      <c r="AD1593" t="str">
        <v/>
      </c>
      <c r="AE1593" t="str">
        <v/>
      </c>
      <c r="AF1593" t="str" cm="1">
        <f t="array" ref="AF1593">IF(AD1593="","",SUMPRODUCT(IF(LEFT($AD$1:AD1593,2)="JS",1,0)))</f>
        <v/>
      </c>
      <c r="AG1593" t="b">
        <f t="shared" si="96"/>
        <v>1</v>
      </c>
      <c r="AH1593" t="str">
        <f t="shared" si="97"/>
        <v/>
      </c>
      <c r="AI1593" t="str">
        <f>IF(AH1593="","",MAX($AF$1:$AF1593))</f>
        <v/>
      </c>
      <c r="AJ1593" t="str">
        <f t="shared" si="98"/>
        <v>VA</v>
      </c>
      <c r="AK1593">
        <f>IF(AJ1593="","",MAX($AF$1:$AF1593))</f>
        <v>31</v>
      </c>
      <c r="AL1593" t="str">
        <f t="shared" si="99"/>
        <v/>
      </c>
      <c r="AM1593" t="str">
        <f>IF(AL1593="","",MAX($AF$1:$AF1593))</f>
        <v/>
      </c>
    </row>
    <row r="1594" spans="1:39" ht="14.5" customHeight="1" x14ac:dyDescent="0.3">
      <c r="A1594" s="12"/>
      <c r="B1594" s="12"/>
      <c r="C1594" s="2"/>
      <c r="D1594" s="2"/>
      <c r="AB1594" t="str" cm="1">
        <f t="array" ref="AB1594">_xlfn._xlws.FILTER(A1594:Z1594,A1594:Z1594&lt;&gt;"","")</f>
        <v/>
      </c>
      <c r="AD1594" t="str">
        <v/>
      </c>
      <c r="AE1594" t="str">
        <v/>
      </c>
      <c r="AF1594" t="str" cm="1">
        <f t="array" ref="AF1594">IF(AD1594="","",SUMPRODUCT(IF(LEFT($AD$1:AD1594,2)="JS",1,0)))</f>
        <v/>
      </c>
      <c r="AG1594" t="str">
        <f t="shared" si="96"/>
        <v/>
      </c>
      <c r="AH1594" t="str">
        <f t="shared" si="97"/>
        <v/>
      </c>
      <c r="AI1594" t="str">
        <f>IF(AH1594="","",MAX($AF$1:$AF1594))</f>
        <v/>
      </c>
      <c r="AJ1594" t="str">
        <f t="shared" si="98"/>
        <v/>
      </c>
      <c r="AK1594" t="str">
        <f>IF(AJ1594="","",MAX($AF$1:$AF1594))</f>
        <v/>
      </c>
      <c r="AL1594" t="str">
        <f t="shared" si="99"/>
        <v/>
      </c>
      <c r="AM1594" t="str">
        <f>IF(AL1594="","",MAX($AF$1:$AF1594))</f>
        <v/>
      </c>
    </row>
    <row r="1595" spans="1:39" ht="13.5" customHeight="1" x14ac:dyDescent="0.3">
      <c r="A1595" s="13" t="s">
        <v>34</v>
      </c>
      <c r="B1595" s="13"/>
      <c r="C1595" s="13"/>
      <c r="D1595" s="13"/>
      <c r="AB1595" t="str" cm="1">
        <f t="array" ref="AB1595">_xlfn._xlws.FILTER(A1595:Z1595,A1595:Z1595&lt;&gt;"","")</f>
        <v>Category C: Other Language Subjects</v>
      </c>
      <c r="AD1595" t="str">
        <v/>
      </c>
      <c r="AE1595" t="str">
        <v/>
      </c>
      <c r="AF1595" t="str" cm="1">
        <f t="array" ref="AF1595">IF(AD1595="","",SUMPRODUCT(IF(LEFT($AD$1:AD1595,2)="JS",1,0)))</f>
        <v/>
      </c>
      <c r="AG1595" t="str">
        <f t="shared" si="96"/>
        <v/>
      </c>
      <c r="AH1595" t="str">
        <f t="shared" si="97"/>
        <v/>
      </c>
      <c r="AI1595" t="str">
        <f>IF(AH1595="","",MAX($AF$1:$AF1595))</f>
        <v/>
      </c>
      <c r="AJ1595" t="str">
        <f t="shared" si="98"/>
        <v/>
      </c>
      <c r="AK1595" t="str">
        <f>IF(AJ1595="","",MAX($AF$1:$AF1595))</f>
        <v/>
      </c>
      <c r="AL1595" t="str">
        <f t="shared" si="99"/>
        <v/>
      </c>
      <c r="AM1595" t="str">
        <f>IF(AL1595="","",MAX($AF$1:$AF1595))</f>
        <v/>
      </c>
    </row>
    <row r="1596" spans="1:39" ht="13.5" customHeight="1" x14ac:dyDescent="0.3">
      <c r="A1596" s="14" t="s">
        <v>3</v>
      </c>
      <c r="B1596" s="15"/>
      <c r="C1596" s="16" t="s">
        <v>4</v>
      </c>
      <c r="D1596" s="17"/>
      <c r="AB1596" t="str" cm="1">
        <f t="array" ref="AB1596:AC1596">_xlfn._xlws.FILTER(A1596:Z1596,A1596:Z1596&lt;&gt;"","")</f>
        <v>Subject Name</v>
      </c>
      <c r="AC1596" t="str">
        <v>Subject Weighting for 2023/24 Admission Exercise *</v>
      </c>
      <c r="AD1596" t="str">
        <v/>
      </c>
      <c r="AE1596" t="str">
        <v/>
      </c>
      <c r="AF1596" t="str" cm="1">
        <f t="array" ref="AF1596">IF(AD1596="","",SUMPRODUCT(IF(LEFT($AD$1:AD1596,2)="JS",1,0)))</f>
        <v/>
      </c>
      <c r="AG1596" t="str">
        <f t="shared" si="96"/>
        <v/>
      </c>
      <c r="AH1596" t="str">
        <f t="shared" si="97"/>
        <v/>
      </c>
      <c r="AI1596" t="str">
        <f>IF(AH1596="","",MAX($AF$1:$AF1596))</f>
        <v/>
      </c>
      <c r="AJ1596" t="str">
        <f t="shared" si="98"/>
        <v/>
      </c>
      <c r="AK1596" t="str">
        <f>IF(AJ1596="","",MAX($AF$1:$AF1596))</f>
        <v/>
      </c>
      <c r="AL1596" t="str">
        <f t="shared" si="99"/>
        <v/>
      </c>
      <c r="AM1596" t="str">
        <f>IF(AL1596="","",MAX($AF$1:$AF1596))</f>
        <v/>
      </c>
    </row>
    <row r="1597" spans="1:39" ht="13.5" customHeight="1" x14ac:dyDescent="0.3">
      <c r="A1597" s="8" t="s">
        <v>35</v>
      </c>
      <c r="B1597" s="9"/>
      <c r="C1597" s="10">
        <v>7</v>
      </c>
      <c r="D1597" s="11"/>
      <c r="AB1597" t="str" cm="1">
        <f t="array" ref="AB1597:AC1597">_xlfn._xlws.FILTER(A1597:Z1597,A1597:Z1597&lt;&gt;"","")</f>
        <v>French</v>
      </c>
      <c r="AC1597">
        <v>7</v>
      </c>
      <c r="AD1597" t="str">
        <v/>
      </c>
      <c r="AE1597" t="str">
        <v/>
      </c>
      <c r="AF1597" t="str" cm="1">
        <f t="array" ref="AF1597">IF(AD1597="","",SUMPRODUCT(IF(LEFT($AD$1:AD1597,2)="JS",1,0)))</f>
        <v/>
      </c>
      <c r="AG1597" t="str">
        <f t="shared" si="96"/>
        <v/>
      </c>
      <c r="AH1597" t="str">
        <f t="shared" si="97"/>
        <v/>
      </c>
      <c r="AI1597" t="str">
        <f>IF(AH1597="","",MAX($AF$1:$AF1597))</f>
        <v/>
      </c>
      <c r="AJ1597" t="str">
        <f t="shared" si="98"/>
        <v/>
      </c>
      <c r="AK1597" t="str">
        <f>IF(AJ1597="","",MAX($AF$1:$AF1597))</f>
        <v/>
      </c>
      <c r="AL1597" t="str">
        <f t="shared" si="99"/>
        <v/>
      </c>
      <c r="AM1597" t="str">
        <f>IF(AL1597="","",MAX($AF$1:$AF1597))</f>
        <v/>
      </c>
    </row>
    <row r="1598" spans="1:39" ht="13.5" customHeight="1" x14ac:dyDescent="0.3">
      <c r="A1598" s="8" t="s">
        <v>36</v>
      </c>
      <c r="B1598" s="9"/>
      <c r="C1598" s="10">
        <v>7</v>
      </c>
      <c r="D1598" s="11"/>
      <c r="AB1598" t="str" cm="1">
        <f t="array" ref="AB1598:AC1598">_xlfn._xlws.FILTER(A1598:Z1598,A1598:Z1598&lt;&gt;"","")</f>
        <v>German</v>
      </c>
      <c r="AC1598">
        <v>7</v>
      </c>
      <c r="AD1598" t="str">
        <v/>
      </c>
      <c r="AE1598" t="str">
        <v/>
      </c>
      <c r="AF1598" t="str" cm="1">
        <f t="array" ref="AF1598">IF(AD1598="","",SUMPRODUCT(IF(LEFT($AD$1:AD1598,2)="JS",1,0)))</f>
        <v/>
      </c>
      <c r="AG1598" t="str">
        <f t="shared" si="96"/>
        <v/>
      </c>
      <c r="AH1598" t="str">
        <f t="shared" si="97"/>
        <v/>
      </c>
      <c r="AI1598" t="str">
        <f>IF(AH1598="","",MAX($AF$1:$AF1598))</f>
        <v/>
      </c>
      <c r="AJ1598" t="str">
        <f t="shared" si="98"/>
        <v/>
      </c>
      <c r="AK1598" t="str">
        <f>IF(AJ1598="","",MAX($AF$1:$AF1598))</f>
        <v/>
      </c>
      <c r="AL1598" t="str">
        <f t="shared" si="99"/>
        <v/>
      </c>
      <c r="AM1598" t="str">
        <f>IF(AL1598="","",MAX($AF$1:$AF1598))</f>
        <v/>
      </c>
    </row>
    <row r="1599" spans="1:39" ht="13.5" customHeight="1" x14ac:dyDescent="0.3">
      <c r="A1599" s="8" t="s">
        <v>37</v>
      </c>
      <c r="B1599" s="9"/>
      <c r="C1599" s="10">
        <v>7</v>
      </c>
      <c r="D1599" s="11"/>
      <c r="AB1599" t="str" cm="1">
        <f t="array" ref="AB1599:AC1599">_xlfn._xlws.FILTER(A1599:Z1599,A1599:Z1599&lt;&gt;"","")</f>
        <v>Hindi</v>
      </c>
      <c r="AC1599">
        <v>7</v>
      </c>
      <c r="AD1599" t="str">
        <v/>
      </c>
      <c r="AE1599" t="str">
        <v/>
      </c>
      <c r="AF1599" t="str" cm="1">
        <f t="array" ref="AF1599">IF(AD1599="","",SUMPRODUCT(IF(LEFT($AD$1:AD1599,2)="JS",1,0)))</f>
        <v/>
      </c>
      <c r="AG1599" t="str">
        <f t="shared" si="96"/>
        <v/>
      </c>
      <c r="AH1599" t="str">
        <f t="shared" si="97"/>
        <v/>
      </c>
      <c r="AI1599" t="str">
        <f>IF(AH1599="","",MAX($AF$1:$AF1599))</f>
        <v/>
      </c>
      <c r="AJ1599" t="str">
        <f t="shared" si="98"/>
        <v/>
      </c>
      <c r="AK1599" t="str">
        <f>IF(AJ1599="","",MAX($AF$1:$AF1599))</f>
        <v/>
      </c>
      <c r="AL1599" t="str">
        <f t="shared" si="99"/>
        <v/>
      </c>
      <c r="AM1599" t="str">
        <f>IF(AL1599="","",MAX($AF$1:$AF1599))</f>
        <v/>
      </c>
    </row>
    <row r="1600" spans="1:39" ht="13.5" customHeight="1" x14ac:dyDescent="0.3">
      <c r="A1600" s="8" t="s">
        <v>38</v>
      </c>
      <c r="B1600" s="9"/>
      <c r="C1600" s="10">
        <v>7</v>
      </c>
      <c r="D1600" s="11"/>
      <c r="AB1600" t="str" cm="1">
        <f t="array" ref="AB1600:AC1600">_xlfn._xlws.FILTER(A1600:Z1600,A1600:Z1600&lt;&gt;"","")</f>
        <v>Japanese</v>
      </c>
      <c r="AC1600">
        <v>7</v>
      </c>
      <c r="AD1600" t="str">
        <v/>
      </c>
      <c r="AE1600" t="str">
        <v/>
      </c>
      <c r="AF1600" t="str" cm="1">
        <f t="array" ref="AF1600">IF(AD1600="","",SUMPRODUCT(IF(LEFT($AD$1:AD1600,2)="JS",1,0)))</f>
        <v/>
      </c>
      <c r="AG1600" t="str">
        <f t="shared" si="96"/>
        <v/>
      </c>
      <c r="AH1600" t="str">
        <f t="shared" si="97"/>
        <v/>
      </c>
      <c r="AI1600" t="str">
        <f>IF(AH1600="","",MAX($AF$1:$AF1600))</f>
        <v/>
      </c>
      <c r="AJ1600" t="str">
        <f t="shared" si="98"/>
        <v/>
      </c>
      <c r="AK1600" t="str">
        <f>IF(AJ1600="","",MAX($AF$1:$AF1600))</f>
        <v/>
      </c>
      <c r="AL1600" t="str">
        <f t="shared" si="99"/>
        <v/>
      </c>
      <c r="AM1600" t="str">
        <f>IF(AL1600="","",MAX($AF$1:$AF1600))</f>
        <v/>
      </c>
    </row>
    <row r="1601" spans="1:39" ht="13.5" customHeight="1" x14ac:dyDescent="0.3">
      <c r="A1601" s="8" t="s">
        <v>39</v>
      </c>
      <c r="B1601" s="9"/>
      <c r="C1601" s="10">
        <v>7</v>
      </c>
      <c r="D1601" s="11"/>
      <c r="AB1601" t="str" cm="1">
        <f t="array" ref="AB1601:AC1601">_xlfn._xlws.FILTER(A1601:Z1601,A1601:Z1601&lt;&gt;"","")</f>
        <v>Spanish</v>
      </c>
      <c r="AC1601">
        <v>7</v>
      </c>
      <c r="AD1601" t="str">
        <v/>
      </c>
      <c r="AE1601" t="str">
        <v/>
      </c>
      <c r="AF1601" t="str" cm="1">
        <f t="array" ref="AF1601">IF(AD1601="","",SUMPRODUCT(IF(LEFT($AD$1:AD1601,2)="JS",1,0)))</f>
        <v/>
      </c>
      <c r="AG1601" t="str">
        <f t="shared" ref="AG1601:AG1640" si="100">IF(ISNUMBER(MATCH(AB1601,$AV$3:$AV$18,0)),TRUE,"")</f>
        <v/>
      </c>
      <c r="AH1601" t="str">
        <f t="shared" si="97"/>
        <v/>
      </c>
      <c r="AI1601" t="str">
        <f>IF(AH1601="","",MAX($AF$1:$AF1601))</f>
        <v/>
      </c>
      <c r="AJ1601" t="str">
        <f t="shared" si="98"/>
        <v/>
      </c>
      <c r="AK1601" t="str">
        <f>IF(AJ1601="","",MAX($AF$1:$AF1601))</f>
        <v/>
      </c>
      <c r="AL1601" t="str">
        <f t="shared" si="99"/>
        <v/>
      </c>
      <c r="AM1601" t="str">
        <f>IF(AL1601="","",MAX($AF$1:$AF1601))</f>
        <v/>
      </c>
    </row>
    <row r="1602" spans="1:39" ht="13.5" customHeight="1" x14ac:dyDescent="0.3">
      <c r="A1602" s="8" t="s">
        <v>40</v>
      </c>
      <c r="B1602" s="9"/>
      <c r="C1602" s="10">
        <v>7</v>
      </c>
      <c r="D1602" s="11"/>
      <c r="AB1602" t="str" cm="1">
        <f t="array" ref="AB1602:AC1602">_xlfn._xlws.FILTER(A1602:Z1602,A1602:Z1602&lt;&gt;"","")</f>
        <v>Urdu</v>
      </c>
      <c r="AC1602">
        <v>7</v>
      </c>
      <c r="AD1602" t="str">
        <v/>
      </c>
      <c r="AE1602" t="str">
        <v/>
      </c>
      <c r="AF1602" t="str" cm="1">
        <f t="array" ref="AF1602">IF(AD1602="","",SUMPRODUCT(IF(LEFT($AD$1:AD1602,2)="JS",1,0)))</f>
        <v/>
      </c>
      <c r="AG1602" t="str">
        <f t="shared" si="100"/>
        <v/>
      </c>
      <c r="AH1602" t="str">
        <f t="shared" ref="AH1602:AH1640" si="101">IF(AND(AC1602=10,AG1602=TRUE),AB1602,"")</f>
        <v/>
      </c>
      <c r="AI1602" t="str">
        <f>IF(AH1602="","",MAX($AF$1:$AF1602))</f>
        <v/>
      </c>
      <c r="AJ1602" t="str">
        <f t="shared" ref="AJ1602:AJ1640" si="102">IF(AND(AC1602=7,AG1602=TRUE),AB1602,"")</f>
        <v/>
      </c>
      <c r="AK1602" t="str">
        <f>IF(AJ1602="","",MAX($AF$1:$AF1602))</f>
        <v/>
      </c>
      <c r="AL1602" t="str">
        <f t="shared" ref="AL1602:AL1640" si="103">IF(AND(AC1602=5,AG1602=TRUE),AB1602,"")</f>
        <v/>
      </c>
      <c r="AM1602" t="str">
        <f>IF(AL1602="","",MAX($AF$1:$AF1602))</f>
        <v/>
      </c>
    </row>
    <row r="1603" spans="1:39" x14ac:dyDescent="0.3">
      <c r="AB1603" t="str" cm="1">
        <f t="array" ref="AB1603">_xlfn._xlws.FILTER(A1603:Z1603,A1603:Z1603&lt;&gt;"","")</f>
        <v/>
      </c>
      <c r="AD1603" t="str">
        <v/>
      </c>
      <c r="AE1603" t="str">
        <v/>
      </c>
      <c r="AF1603" t="str" cm="1">
        <f t="array" ref="AF1603">IF(AD1603="","",SUMPRODUCT(IF(LEFT($AD$1:AD1603,2)="JS",1,0)))</f>
        <v/>
      </c>
      <c r="AG1603" t="str">
        <f t="shared" si="100"/>
        <v/>
      </c>
      <c r="AH1603" t="str">
        <f t="shared" si="101"/>
        <v/>
      </c>
      <c r="AI1603" t="str">
        <f>IF(AH1603="","",MAX($AF$1:$AF1603))</f>
        <v/>
      </c>
      <c r="AJ1603" t="str">
        <f t="shared" si="102"/>
        <v/>
      </c>
      <c r="AK1603" t="str">
        <f>IF(AJ1603="","",MAX($AF$1:$AF1603))</f>
        <v/>
      </c>
      <c r="AL1603" t="str">
        <f t="shared" si="103"/>
        <v/>
      </c>
      <c r="AM1603" t="str">
        <f>IF(AL1603="","",MAX($AF$1:$AF1603))</f>
        <v/>
      </c>
    </row>
    <row r="1604" spans="1:39" x14ac:dyDescent="0.3">
      <c r="AB1604" t="str" cm="1">
        <f t="array" ref="AB1604">_xlfn._xlws.FILTER(A1604:Z1604,A1604:Z1604&lt;&gt;"","")</f>
        <v/>
      </c>
      <c r="AD1604" t="str">
        <v/>
      </c>
      <c r="AE1604" t="str">
        <v/>
      </c>
      <c r="AF1604" t="str" cm="1">
        <f t="array" ref="AF1604">IF(AD1604="","",SUMPRODUCT(IF(LEFT($AD$1:AD1604,2)="JS",1,0)))</f>
        <v/>
      </c>
      <c r="AG1604" t="str">
        <f t="shared" si="100"/>
        <v/>
      </c>
      <c r="AH1604" t="str">
        <f t="shared" si="101"/>
        <v/>
      </c>
      <c r="AI1604" t="str">
        <f>IF(AH1604="","",MAX($AF$1:$AF1604))</f>
        <v/>
      </c>
      <c r="AJ1604" t="str">
        <f t="shared" si="102"/>
        <v/>
      </c>
      <c r="AK1604" t="str">
        <f>IF(AJ1604="","",MAX($AF$1:$AF1604))</f>
        <v/>
      </c>
      <c r="AL1604" t="str">
        <f t="shared" si="103"/>
        <v/>
      </c>
      <c r="AM1604" t="str">
        <f>IF(AL1604="","",MAX($AF$1:$AF1604))</f>
        <v/>
      </c>
    </row>
    <row r="1605" spans="1:39" x14ac:dyDescent="0.3">
      <c r="AB1605" t="str" cm="1">
        <f t="array" ref="AB1605">_xlfn._xlws.FILTER(A1605:Z1605,A1605:Z1605&lt;&gt;"","")</f>
        <v/>
      </c>
      <c r="AD1605" t="str">
        <v/>
      </c>
      <c r="AE1605" t="str">
        <v/>
      </c>
      <c r="AF1605" t="str" cm="1">
        <f t="array" ref="AF1605">IF(AD1605="","",SUMPRODUCT(IF(LEFT($AD$1:AD1605,2)="JS",1,0)))</f>
        <v/>
      </c>
      <c r="AG1605" t="str">
        <f t="shared" si="100"/>
        <v/>
      </c>
      <c r="AH1605" t="str">
        <f t="shared" si="101"/>
        <v/>
      </c>
      <c r="AI1605" t="str">
        <f>IF(AH1605="","",MAX($AF$1:$AF1605))</f>
        <v/>
      </c>
      <c r="AJ1605" t="str">
        <f t="shared" si="102"/>
        <v/>
      </c>
      <c r="AK1605" t="str">
        <f>IF(AJ1605="","",MAX($AF$1:$AF1605))</f>
        <v/>
      </c>
      <c r="AL1605" t="str">
        <f t="shared" si="103"/>
        <v/>
      </c>
      <c r="AM1605" t="str">
        <f>IF(AL1605="","",MAX($AF$1:$AF1605))</f>
        <v/>
      </c>
    </row>
    <row r="1606" spans="1:39" x14ac:dyDescent="0.3">
      <c r="AB1606" t="str" cm="1">
        <f t="array" ref="AB1606">_xlfn._xlws.FILTER(A1606:Z1606,A1606:Z1606&lt;&gt;"","")</f>
        <v/>
      </c>
      <c r="AD1606" t="str">
        <v/>
      </c>
      <c r="AE1606" t="str">
        <v/>
      </c>
      <c r="AF1606" t="str" cm="1">
        <f t="array" ref="AF1606">IF(AD1606="","",SUMPRODUCT(IF(LEFT($AD$1:AD1606,2)="JS",1,0)))</f>
        <v/>
      </c>
      <c r="AG1606" t="str">
        <f t="shared" si="100"/>
        <v/>
      </c>
      <c r="AH1606" t="str">
        <f t="shared" si="101"/>
        <v/>
      </c>
      <c r="AI1606" t="str">
        <f>IF(AH1606="","",MAX($AF$1:$AF1606))</f>
        <v/>
      </c>
      <c r="AJ1606" t="str">
        <f t="shared" si="102"/>
        <v/>
      </c>
      <c r="AK1606" t="str">
        <f>IF(AJ1606="","",MAX($AF$1:$AF1606))</f>
        <v/>
      </c>
      <c r="AL1606" t="str">
        <f t="shared" si="103"/>
        <v/>
      </c>
      <c r="AM1606" t="str">
        <f>IF(AL1606="","",MAX($AF$1:$AF1606))</f>
        <v/>
      </c>
    </row>
    <row r="1607" spans="1:39" x14ac:dyDescent="0.3">
      <c r="AB1607" t="str" cm="1">
        <f t="array" ref="AB1607">_xlfn._xlws.FILTER(A1607:Z1607,A1607:Z1607&lt;&gt;"","")</f>
        <v/>
      </c>
      <c r="AD1607" t="str">
        <v/>
      </c>
      <c r="AE1607" t="str">
        <v/>
      </c>
      <c r="AF1607" t="str" cm="1">
        <f t="array" ref="AF1607">IF(AD1607="","",SUMPRODUCT(IF(LEFT($AD$1:AD1607,2)="JS",1,0)))</f>
        <v/>
      </c>
      <c r="AG1607" t="str">
        <f t="shared" si="100"/>
        <v/>
      </c>
      <c r="AH1607" t="str">
        <f t="shared" si="101"/>
        <v/>
      </c>
      <c r="AI1607" t="str">
        <f>IF(AH1607="","",MAX($AF$1:$AF1607))</f>
        <v/>
      </c>
      <c r="AJ1607" t="str">
        <f t="shared" si="102"/>
        <v/>
      </c>
      <c r="AK1607" t="str">
        <f>IF(AJ1607="","",MAX($AF$1:$AF1607))</f>
        <v/>
      </c>
      <c r="AL1607" t="str">
        <f t="shared" si="103"/>
        <v/>
      </c>
      <c r="AM1607" t="str">
        <f>IF(AL1607="","",MAX($AF$1:$AF1607))</f>
        <v/>
      </c>
    </row>
    <row r="1608" spans="1:39" x14ac:dyDescent="0.3">
      <c r="AB1608" t="str" cm="1">
        <f t="array" ref="AB1608">_xlfn._xlws.FILTER(A1608:Z1608,A1608:Z1608&lt;&gt;"","")</f>
        <v/>
      </c>
      <c r="AD1608" t="str">
        <v/>
      </c>
      <c r="AE1608" t="str">
        <v/>
      </c>
      <c r="AF1608" t="str" cm="1">
        <f t="array" ref="AF1608">IF(AD1608="","",SUMPRODUCT(IF(LEFT($AD$1:AD1608,2)="JS",1,0)))</f>
        <v/>
      </c>
      <c r="AG1608" t="str">
        <f t="shared" si="100"/>
        <v/>
      </c>
      <c r="AH1608" t="str">
        <f t="shared" si="101"/>
        <v/>
      </c>
      <c r="AI1608" t="str">
        <f>IF(AH1608="","",MAX($AF$1:$AF1608))</f>
        <v/>
      </c>
      <c r="AJ1608" t="str">
        <f t="shared" si="102"/>
        <v/>
      </c>
      <c r="AK1608" t="str">
        <f>IF(AJ1608="","",MAX($AF$1:$AF1608))</f>
        <v/>
      </c>
      <c r="AL1608" t="str">
        <f t="shared" si="103"/>
        <v/>
      </c>
      <c r="AM1608" t="str">
        <f>IF(AL1608="","",MAX($AF$1:$AF1608))</f>
        <v/>
      </c>
    </row>
    <row r="1609" spans="1:39" x14ac:dyDescent="0.3">
      <c r="AB1609" t="str" cm="1">
        <f t="array" ref="AB1609">_xlfn._xlws.FILTER(A1609:Z1609,A1609:Z1609&lt;&gt;"","")</f>
        <v/>
      </c>
      <c r="AD1609" t="str">
        <v/>
      </c>
      <c r="AE1609" t="str">
        <v/>
      </c>
      <c r="AF1609" t="str" cm="1">
        <f t="array" ref="AF1609">IF(AD1609="","",SUMPRODUCT(IF(LEFT($AD$1:AD1609,2)="JS",1,0)))</f>
        <v/>
      </c>
      <c r="AG1609" t="str">
        <f t="shared" si="100"/>
        <v/>
      </c>
      <c r="AH1609" t="str">
        <f t="shared" si="101"/>
        <v/>
      </c>
      <c r="AI1609" t="str">
        <f>IF(AH1609="","",MAX($AF$1:$AF1609))</f>
        <v/>
      </c>
      <c r="AJ1609" t="str">
        <f t="shared" si="102"/>
        <v/>
      </c>
      <c r="AK1609" t="str">
        <f>IF(AJ1609="","",MAX($AF$1:$AF1609))</f>
        <v/>
      </c>
      <c r="AL1609" t="str">
        <f t="shared" si="103"/>
        <v/>
      </c>
      <c r="AM1609" t="str">
        <f>IF(AL1609="","",MAX($AF$1:$AF1609))</f>
        <v/>
      </c>
    </row>
    <row r="1610" spans="1:39" x14ac:dyDescent="0.3">
      <c r="AB1610" t="str" cm="1">
        <f t="array" ref="AB1610">_xlfn._xlws.FILTER(A1610:Z1610,A1610:Z1610&lt;&gt;"","")</f>
        <v/>
      </c>
      <c r="AD1610" t="str">
        <v/>
      </c>
      <c r="AE1610" t="str">
        <v/>
      </c>
      <c r="AF1610" t="str" cm="1">
        <f t="array" ref="AF1610">IF(AD1610="","",SUMPRODUCT(IF(LEFT($AD$1:AD1610,2)="JS",1,0)))</f>
        <v/>
      </c>
      <c r="AG1610" t="str">
        <f t="shared" si="100"/>
        <v/>
      </c>
      <c r="AH1610" t="str">
        <f t="shared" si="101"/>
        <v/>
      </c>
      <c r="AI1610" t="str">
        <f>IF(AH1610="","",MAX($AF$1:$AF1610))</f>
        <v/>
      </c>
      <c r="AJ1610" t="str">
        <f t="shared" si="102"/>
        <v/>
      </c>
      <c r="AK1610" t="str">
        <f>IF(AJ1610="","",MAX($AF$1:$AF1610))</f>
        <v/>
      </c>
      <c r="AL1610" t="str">
        <f t="shared" si="103"/>
        <v/>
      </c>
      <c r="AM1610" t="str">
        <f>IF(AL1610="","",MAX($AF$1:$AF1610))</f>
        <v/>
      </c>
    </row>
    <row r="1611" spans="1:39" x14ac:dyDescent="0.3">
      <c r="AB1611" t="str" cm="1">
        <f t="array" ref="AB1611">_xlfn._xlws.FILTER(A1611:Z1611,A1611:Z1611&lt;&gt;"","")</f>
        <v/>
      </c>
      <c r="AD1611" t="str">
        <v/>
      </c>
      <c r="AE1611" t="str">
        <v/>
      </c>
      <c r="AF1611" t="str" cm="1">
        <f t="array" ref="AF1611">IF(AD1611="","",SUMPRODUCT(IF(LEFT($AD$1:AD1611,2)="JS",1,0)))</f>
        <v/>
      </c>
      <c r="AG1611" t="str">
        <f t="shared" si="100"/>
        <v/>
      </c>
      <c r="AH1611" t="str">
        <f t="shared" si="101"/>
        <v/>
      </c>
      <c r="AI1611" t="str">
        <f>IF(AH1611="","",MAX($AF$1:$AF1611))</f>
        <v/>
      </c>
      <c r="AJ1611" t="str">
        <f t="shared" si="102"/>
        <v/>
      </c>
      <c r="AK1611" t="str">
        <f>IF(AJ1611="","",MAX($AF$1:$AF1611))</f>
        <v/>
      </c>
      <c r="AL1611" t="str">
        <f t="shared" si="103"/>
        <v/>
      </c>
      <c r="AM1611" t="str">
        <f>IF(AL1611="","",MAX($AF$1:$AF1611))</f>
        <v/>
      </c>
    </row>
    <row r="1612" spans="1:39" x14ac:dyDescent="0.3">
      <c r="AB1612" t="str" cm="1">
        <f t="array" ref="AB1612">_xlfn._xlws.FILTER(A1612:Z1612,A1612:Z1612&lt;&gt;"","")</f>
        <v/>
      </c>
      <c r="AD1612" t="str">
        <v/>
      </c>
      <c r="AE1612" t="str">
        <v/>
      </c>
      <c r="AF1612" t="str" cm="1">
        <f t="array" ref="AF1612">IF(AD1612="","",SUMPRODUCT(IF(LEFT($AD$1:AD1612,2)="JS",1,0)))</f>
        <v/>
      </c>
      <c r="AG1612" t="str">
        <f t="shared" si="100"/>
        <v/>
      </c>
      <c r="AH1612" t="str">
        <f t="shared" si="101"/>
        <v/>
      </c>
      <c r="AI1612" t="str">
        <f>IF(AH1612="","",MAX($AF$1:$AF1612))</f>
        <v/>
      </c>
      <c r="AJ1612" t="str">
        <f t="shared" si="102"/>
        <v/>
      </c>
      <c r="AK1612" t="str">
        <f>IF(AJ1612="","",MAX($AF$1:$AF1612))</f>
        <v/>
      </c>
      <c r="AL1612" t="str">
        <f t="shared" si="103"/>
        <v/>
      </c>
      <c r="AM1612" t="str">
        <f>IF(AL1612="","",MAX($AF$1:$AF1612))</f>
        <v/>
      </c>
    </row>
    <row r="1613" spans="1:39" x14ac:dyDescent="0.3">
      <c r="AB1613" t="str" cm="1">
        <f t="array" ref="AB1613">_xlfn._xlws.FILTER(A1613:Z1613,A1613:Z1613&lt;&gt;"","")</f>
        <v/>
      </c>
      <c r="AD1613" t="str">
        <v/>
      </c>
      <c r="AE1613" t="str">
        <v/>
      </c>
      <c r="AF1613" t="str" cm="1">
        <f t="array" ref="AF1613">IF(AD1613="","",SUMPRODUCT(IF(LEFT($AD$1:AD1613,2)="JS",1,0)))</f>
        <v/>
      </c>
      <c r="AG1613" t="str">
        <f t="shared" si="100"/>
        <v/>
      </c>
      <c r="AH1613" t="str">
        <f t="shared" si="101"/>
        <v/>
      </c>
      <c r="AI1613" t="str">
        <f>IF(AH1613="","",MAX($AF$1:$AF1613))</f>
        <v/>
      </c>
      <c r="AJ1613" t="str">
        <f t="shared" si="102"/>
        <v/>
      </c>
      <c r="AK1613" t="str">
        <f>IF(AJ1613="","",MAX($AF$1:$AF1613))</f>
        <v/>
      </c>
      <c r="AL1613" t="str">
        <f t="shared" si="103"/>
        <v/>
      </c>
      <c r="AM1613" t="str">
        <f>IF(AL1613="","",MAX($AF$1:$AF1613))</f>
        <v/>
      </c>
    </row>
    <row r="1614" spans="1:39" x14ac:dyDescent="0.3">
      <c r="AB1614" t="str" cm="1">
        <f t="array" ref="AB1614">_xlfn._xlws.FILTER(A1614:Z1614,A1614:Z1614&lt;&gt;"","")</f>
        <v/>
      </c>
      <c r="AD1614" t="str">
        <v/>
      </c>
      <c r="AE1614" t="str">
        <v/>
      </c>
      <c r="AF1614" t="str" cm="1">
        <f t="array" ref="AF1614">IF(AD1614="","",SUMPRODUCT(IF(LEFT($AD$1:AD1614,2)="JS",1,0)))</f>
        <v/>
      </c>
      <c r="AG1614" t="str">
        <f t="shared" si="100"/>
        <v/>
      </c>
      <c r="AH1614" t="str">
        <f t="shared" si="101"/>
        <v/>
      </c>
      <c r="AI1614" t="str">
        <f>IF(AH1614="","",MAX($AF$1:$AF1614))</f>
        <v/>
      </c>
      <c r="AJ1614" t="str">
        <f t="shared" si="102"/>
        <v/>
      </c>
      <c r="AK1614" t="str">
        <f>IF(AJ1614="","",MAX($AF$1:$AF1614))</f>
        <v/>
      </c>
      <c r="AL1614" t="str">
        <f t="shared" si="103"/>
        <v/>
      </c>
      <c r="AM1614" t="str">
        <f>IF(AL1614="","",MAX($AF$1:$AF1614))</f>
        <v/>
      </c>
    </row>
    <row r="1615" spans="1:39" x14ac:dyDescent="0.3">
      <c r="AB1615" t="str" cm="1">
        <f t="array" ref="AB1615">_xlfn._xlws.FILTER(A1615:Z1615,A1615:Z1615&lt;&gt;"","")</f>
        <v/>
      </c>
      <c r="AD1615" t="str">
        <v/>
      </c>
      <c r="AE1615" t="str">
        <v/>
      </c>
      <c r="AF1615" t="str" cm="1">
        <f t="array" ref="AF1615">IF(AD1615="","",SUMPRODUCT(IF(LEFT($AD$1:AD1615,2)="JS",1,0)))</f>
        <v/>
      </c>
      <c r="AG1615" t="str">
        <f t="shared" si="100"/>
        <v/>
      </c>
      <c r="AH1615" t="str">
        <f t="shared" si="101"/>
        <v/>
      </c>
      <c r="AI1615" t="str">
        <f>IF(AH1615="","",MAX($AF$1:$AF1615))</f>
        <v/>
      </c>
      <c r="AJ1615" t="str">
        <f t="shared" si="102"/>
        <v/>
      </c>
      <c r="AK1615" t="str">
        <f>IF(AJ1615="","",MAX($AF$1:$AF1615))</f>
        <v/>
      </c>
      <c r="AL1615" t="str">
        <f t="shared" si="103"/>
        <v/>
      </c>
      <c r="AM1615" t="str">
        <f>IF(AL1615="","",MAX($AF$1:$AF1615))</f>
        <v/>
      </c>
    </row>
    <row r="1616" spans="1:39" x14ac:dyDescent="0.3">
      <c r="AB1616" t="str" cm="1">
        <f t="array" ref="AB1616">_xlfn._xlws.FILTER(A1616:Z1616,A1616:Z1616&lt;&gt;"","")</f>
        <v/>
      </c>
      <c r="AD1616" t="str">
        <v/>
      </c>
      <c r="AE1616" t="str">
        <v/>
      </c>
      <c r="AF1616" t="str" cm="1">
        <f t="array" ref="AF1616">IF(AD1616="","",SUMPRODUCT(IF(LEFT($AD$1:AD1616,2)="JS",1,0)))</f>
        <v/>
      </c>
      <c r="AG1616" t="str">
        <f t="shared" si="100"/>
        <v/>
      </c>
      <c r="AH1616" t="str">
        <f t="shared" si="101"/>
        <v/>
      </c>
      <c r="AI1616" t="str">
        <f>IF(AH1616="","",MAX($AF$1:$AF1616))</f>
        <v/>
      </c>
      <c r="AJ1616" t="str">
        <f t="shared" si="102"/>
        <v/>
      </c>
      <c r="AK1616" t="str">
        <f>IF(AJ1616="","",MAX($AF$1:$AF1616))</f>
        <v/>
      </c>
      <c r="AL1616" t="str">
        <f t="shared" si="103"/>
        <v/>
      </c>
      <c r="AM1616" t="str">
        <f>IF(AL1616="","",MAX($AF$1:$AF1616))</f>
        <v/>
      </c>
    </row>
    <row r="1617" spans="28:39" x14ac:dyDescent="0.3">
      <c r="AB1617" t="str" cm="1">
        <f t="array" ref="AB1617">_xlfn._xlws.FILTER(A1617:Z1617,A1617:Z1617&lt;&gt;"","")</f>
        <v/>
      </c>
      <c r="AD1617" t="str">
        <v/>
      </c>
      <c r="AE1617" t="str">
        <v/>
      </c>
      <c r="AF1617" t="str" cm="1">
        <f t="array" ref="AF1617">IF(AD1617="","",SUMPRODUCT(IF(LEFT($AD$1:AD1617,2)="JS",1,0)))</f>
        <v/>
      </c>
      <c r="AG1617" t="str">
        <f t="shared" si="100"/>
        <v/>
      </c>
      <c r="AH1617" t="str">
        <f t="shared" si="101"/>
        <v/>
      </c>
      <c r="AI1617" t="str">
        <f>IF(AH1617="","",MAX($AF$1:$AF1617))</f>
        <v/>
      </c>
      <c r="AJ1617" t="str">
        <f t="shared" si="102"/>
        <v/>
      </c>
      <c r="AK1617" t="str">
        <f>IF(AJ1617="","",MAX($AF$1:$AF1617))</f>
        <v/>
      </c>
      <c r="AL1617" t="str">
        <f t="shared" si="103"/>
        <v/>
      </c>
      <c r="AM1617" t="str">
        <f>IF(AL1617="","",MAX($AF$1:$AF1617))</f>
        <v/>
      </c>
    </row>
    <row r="1618" spans="28:39" x14ac:dyDescent="0.3">
      <c r="AB1618" t="str" cm="1">
        <f t="array" ref="AB1618">_xlfn._xlws.FILTER(A1618:Z1618,A1618:Z1618&lt;&gt;"","")</f>
        <v/>
      </c>
      <c r="AD1618" t="str">
        <v/>
      </c>
      <c r="AE1618" t="str">
        <v/>
      </c>
      <c r="AF1618" t="str" cm="1">
        <f t="array" ref="AF1618">IF(AD1618="","",SUMPRODUCT(IF(LEFT($AD$1:AD1618,2)="JS",1,0)))</f>
        <v/>
      </c>
      <c r="AG1618" t="str">
        <f t="shared" si="100"/>
        <v/>
      </c>
      <c r="AH1618" t="str">
        <f t="shared" si="101"/>
        <v/>
      </c>
      <c r="AI1618" t="str">
        <f>IF(AH1618="","",MAX($AF$1:$AF1618))</f>
        <v/>
      </c>
      <c r="AJ1618" t="str">
        <f t="shared" si="102"/>
        <v/>
      </c>
      <c r="AK1618" t="str">
        <f>IF(AJ1618="","",MAX($AF$1:$AF1618))</f>
        <v/>
      </c>
      <c r="AL1618" t="str">
        <f t="shared" si="103"/>
        <v/>
      </c>
      <c r="AM1618" t="str">
        <f>IF(AL1618="","",MAX($AF$1:$AF1618))</f>
        <v/>
      </c>
    </row>
    <row r="1619" spans="28:39" x14ac:dyDescent="0.3">
      <c r="AB1619" t="str" cm="1">
        <f t="array" ref="AB1619">_xlfn._xlws.FILTER(A1619:Z1619,A1619:Z1619&lt;&gt;"","")</f>
        <v/>
      </c>
      <c r="AD1619" t="str">
        <v/>
      </c>
      <c r="AE1619" t="str">
        <v/>
      </c>
      <c r="AF1619" t="str" cm="1">
        <f t="array" ref="AF1619">IF(AD1619="","",SUMPRODUCT(IF(LEFT($AD$1:AD1619,2)="JS",1,0)))</f>
        <v/>
      </c>
      <c r="AG1619" t="str">
        <f t="shared" si="100"/>
        <v/>
      </c>
      <c r="AH1619" t="str">
        <f t="shared" si="101"/>
        <v/>
      </c>
      <c r="AI1619" t="str">
        <f>IF(AH1619="","",MAX($AF$1:$AF1619))</f>
        <v/>
      </c>
      <c r="AJ1619" t="str">
        <f t="shared" si="102"/>
        <v/>
      </c>
      <c r="AK1619" t="str">
        <f>IF(AJ1619="","",MAX($AF$1:$AF1619))</f>
        <v/>
      </c>
      <c r="AL1619" t="str">
        <f t="shared" si="103"/>
        <v/>
      </c>
      <c r="AM1619" t="str">
        <f>IF(AL1619="","",MAX($AF$1:$AF1619))</f>
        <v/>
      </c>
    </row>
    <row r="1620" spans="28:39" x14ac:dyDescent="0.3">
      <c r="AB1620" t="str" cm="1">
        <f t="array" ref="AB1620">_xlfn._xlws.FILTER(A1620:Z1620,A1620:Z1620&lt;&gt;"","")</f>
        <v/>
      </c>
      <c r="AD1620" t="str">
        <v/>
      </c>
      <c r="AE1620" t="str">
        <v/>
      </c>
      <c r="AF1620" t="str" cm="1">
        <f t="array" ref="AF1620">IF(AD1620="","",SUMPRODUCT(IF(LEFT($AD$1:AD1620,2)="JS",1,0)))</f>
        <v/>
      </c>
      <c r="AG1620" t="str">
        <f t="shared" si="100"/>
        <v/>
      </c>
      <c r="AH1620" t="str">
        <f t="shared" si="101"/>
        <v/>
      </c>
      <c r="AI1620" t="str">
        <f>IF(AH1620="","",MAX($AF$1:$AF1620))</f>
        <v/>
      </c>
      <c r="AJ1620" t="str">
        <f t="shared" si="102"/>
        <v/>
      </c>
      <c r="AK1620" t="str">
        <f>IF(AJ1620="","",MAX($AF$1:$AF1620))</f>
        <v/>
      </c>
      <c r="AL1620" t="str">
        <f t="shared" si="103"/>
        <v/>
      </c>
      <c r="AM1620" t="str">
        <f>IF(AL1620="","",MAX($AF$1:$AF1620))</f>
        <v/>
      </c>
    </row>
    <row r="1621" spans="28:39" x14ac:dyDescent="0.3">
      <c r="AB1621" t="str" cm="1">
        <f t="array" ref="AB1621">_xlfn._xlws.FILTER(A1621:Z1621,A1621:Z1621&lt;&gt;"","")</f>
        <v/>
      </c>
      <c r="AD1621" t="str">
        <v/>
      </c>
      <c r="AE1621" t="str">
        <v/>
      </c>
      <c r="AF1621" t="str" cm="1">
        <f t="array" ref="AF1621">IF(AD1621="","",SUMPRODUCT(IF(LEFT($AD$1:AD1621,2)="JS",1,0)))</f>
        <v/>
      </c>
      <c r="AG1621" t="str">
        <f t="shared" si="100"/>
        <v/>
      </c>
      <c r="AH1621" t="str">
        <f t="shared" si="101"/>
        <v/>
      </c>
      <c r="AI1621" t="str">
        <f>IF(AH1621="","",MAX($AF$1:$AF1621))</f>
        <v/>
      </c>
      <c r="AJ1621" t="str">
        <f t="shared" si="102"/>
        <v/>
      </c>
      <c r="AK1621" t="str">
        <f>IF(AJ1621="","",MAX($AF$1:$AF1621))</f>
        <v/>
      </c>
      <c r="AL1621" t="str">
        <f t="shared" si="103"/>
        <v/>
      </c>
      <c r="AM1621" t="str">
        <f>IF(AL1621="","",MAX($AF$1:$AF1621))</f>
        <v/>
      </c>
    </row>
    <row r="1622" spans="28:39" x14ac:dyDescent="0.3">
      <c r="AB1622" t="str" cm="1">
        <f t="array" ref="AB1622">_xlfn._xlws.FILTER(A1622:Z1622,A1622:Z1622&lt;&gt;"","")</f>
        <v/>
      </c>
      <c r="AD1622" t="str">
        <v/>
      </c>
      <c r="AE1622" t="str">
        <v/>
      </c>
      <c r="AF1622" t="str" cm="1">
        <f t="array" ref="AF1622">IF(AD1622="","",SUMPRODUCT(IF(LEFT($AD$1:AD1622,2)="JS",1,0)))</f>
        <v/>
      </c>
      <c r="AG1622" t="str">
        <f t="shared" si="100"/>
        <v/>
      </c>
      <c r="AH1622" t="str">
        <f t="shared" si="101"/>
        <v/>
      </c>
      <c r="AI1622" t="str">
        <f>IF(AH1622="","",MAX($AF$1:$AF1622))</f>
        <v/>
      </c>
      <c r="AJ1622" t="str">
        <f t="shared" si="102"/>
        <v/>
      </c>
      <c r="AK1622" t="str">
        <f>IF(AJ1622="","",MAX($AF$1:$AF1622))</f>
        <v/>
      </c>
      <c r="AL1622" t="str">
        <f t="shared" si="103"/>
        <v/>
      </c>
      <c r="AM1622" t="str">
        <f>IF(AL1622="","",MAX($AF$1:$AF1622))</f>
        <v/>
      </c>
    </row>
    <row r="1623" spans="28:39" x14ac:dyDescent="0.3">
      <c r="AB1623" t="str" cm="1">
        <f t="array" ref="AB1623">_xlfn._xlws.FILTER(A1623:Z1623,A1623:Z1623&lt;&gt;"","")</f>
        <v/>
      </c>
      <c r="AD1623" t="str">
        <v/>
      </c>
      <c r="AE1623" t="str">
        <v/>
      </c>
      <c r="AF1623" t="str" cm="1">
        <f t="array" ref="AF1623">IF(AD1623="","",SUMPRODUCT(IF(LEFT($AD$1:AD1623,2)="JS",1,0)))</f>
        <v/>
      </c>
      <c r="AG1623" t="str">
        <f t="shared" si="100"/>
        <v/>
      </c>
      <c r="AH1623" t="str">
        <f t="shared" si="101"/>
        <v/>
      </c>
      <c r="AI1623" t="str">
        <f>IF(AH1623="","",MAX($AF$1:$AF1623))</f>
        <v/>
      </c>
      <c r="AJ1623" t="str">
        <f t="shared" si="102"/>
        <v/>
      </c>
      <c r="AK1623" t="str">
        <f>IF(AJ1623="","",MAX($AF$1:$AF1623))</f>
        <v/>
      </c>
      <c r="AL1623" t="str">
        <f t="shared" si="103"/>
        <v/>
      </c>
      <c r="AM1623" t="str">
        <f>IF(AL1623="","",MAX($AF$1:$AF1623))</f>
        <v/>
      </c>
    </row>
    <row r="1624" spans="28:39" x14ac:dyDescent="0.3">
      <c r="AB1624" t="str" cm="1">
        <f t="array" ref="AB1624">_xlfn._xlws.FILTER(A1624:Z1624,A1624:Z1624&lt;&gt;"","")</f>
        <v/>
      </c>
      <c r="AD1624" t="str">
        <v/>
      </c>
      <c r="AE1624" t="str">
        <v/>
      </c>
      <c r="AF1624" t="str" cm="1">
        <f t="array" ref="AF1624">IF(AD1624="","",SUMPRODUCT(IF(LEFT($AD$1:AD1624,2)="JS",1,0)))</f>
        <v/>
      </c>
      <c r="AG1624" t="str">
        <f t="shared" si="100"/>
        <v/>
      </c>
      <c r="AH1624" t="str">
        <f t="shared" si="101"/>
        <v/>
      </c>
      <c r="AI1624" t="str">
        <f>IF(AH1624="","",MAX($AF$1:$AF1624))</f>
        <v/>
      </c>
      <c r="AJ1624" t="str">
        <f t="shared" si="102"/>
        <v/>
      </c>
      <c r="AK1624" t="str">
        <f>IF(AJ1624="","",MAX($AF$1:$AF1624))</f>
        <v/>
      </c>
      <c r="AL1624" t="str">
        <f t="shared" si="103"/>
        <v/>
      </c>
      <c r="AM1624" t="str">
        <f>IF(AL1624="","",MAX($AF$1:$AF1624))</f>
        <v/>
      </c>
    </row>
    <row r="1625" spans="28:39" x14ac:dyDescent="0.3">
      <c r="AB1625" t="str" cm="1">
        <f t="array" ref="AB1625">_xlfn._xlws.FILTER(A1625:Z1625,A1625:Z1625&lt;&gt;"","")</f>
        <v/>
      </c>
      <c r="AD1625" t="str">
        <v/>
      </c>
      <c r="AE1625" t="str">
        <v/>
      </c>
      <c r="AF1625" t="str" cm="1">
        <f t="array" ref="AF1625">IF(AD1625="","",SUMPRODUCT(IF(LEFT($AD$1:AD1625,2)="JS",1,0)))</f>
        <v/>
      </c>
      <c r="AG1625" t="str">
        <f t="shared" si="100"/>
        <v/>
      </c>
      <c r="AH1625" t="str">
        <f t="shared" si="101"/>
        <v/>
      </c>
      <c r="AI1625" t="str">
        <f>IF(AH1625="","",MAX($AF$1:$AF1625))</f>
        <v/>
      </c>
      <c r="AJ1625" t="str">
        <f t="shared" si="102"/>
        <v/>
      </c>
      <c r="AK1625" t="str">
        <f>IF(AJ1625="","",MAX($AF$1:$AF1625))</f>
        <v/>
      </c>
      <c r="AL1625" t="str">
        <f t="shared" si="103"/>
        <v/>
      </c>
      <c r="AM1625" t="str">
        <f>IF(AL1625="","",MAX($AF$1:$AF1625))</f>
        <v/>
      </c>
    </row>
    <row r="1626" spans="28:39" x14ac:dyDescent="0.3">
      <c r="AB1626" t="str" cm="1">
        <f t="array" ref="AB1626">_xlfn._xlws.FILTER(A1626:Z1626,A1626:Z1626&lt;&gt;"","")</f>
        <v/>
      </c>
      <c r="AD1626" t="str">
        <v/>
      </c>
      <c r="AE1626" t="str">
        <v/>
      </c>
      <c r="AF1626" t="str" cm="1">
        <f t="array" ref="AF1626">IF(AD1626="","",SUMPRODUCT(IF(LEFT($AD$1:AD1626,2)="JS",1,0)))</f>
        <v/>
      </c>
      <c r="AG1626" t="str">
        <f t="shared" si="100"/>
        <v/>
      </c>
      <c r="AH1626" t="str">
        <f t="shared" si="101"/>
        <v/>
      </c>
      <c r="AI1626" t="str">
        <f>IF(AH1626="","",MAX($AF$1:$AF1626))</f>
        <v/>
      </c>
      <c r="AJ1626" t="str">
        <f t="shared" si="102"/>
        <v/>
      </c>
      <c r="AK1626" t="str">
        <f>IF(AJ1626="","",MAX($AF$1:$AF1626))</f>
        <v/>
      </c>
      <c r="AL1626" t="str">
        <f t="shared" si="103"/>
        <v/>
      </c>
      <c r="AM1626" t="str">
        <f>IF(AL1626="","",MAX($AF$1:$AF1626))</f>
        <v/>
      </c>
    </row>
    <row r="1627" spans="28:39" x14ac:dyDescent="0.3">
      <c r="AB1627" t="str" cm="1">
        <f t="array" ref="AB1627">_xlfn._xlws.FILTER(A1627:Z1627,A1627:Z1627&lt;&gt;"","")</f>
        <v/>
      </c>
      <c r="AD1627" t="str">
        <v/>
      </c>
      <c r="AE1627" t="str">
        <v/>
      </c>
      <c r="AF1627" t="str" cm="1">
        <f t="array" ref="AF1627">IF(AD1627="","",SUMPRODUCT(IF(LEFT($AD$1:AD1627,2)="JS",1,0)))</f>
        <v/>
      </c>
      <c r="AG1627" t="str">
        <f t="shared" si="100"/>
        <v/>
      </c>
      <c r="AH1627" t="str">
        <f t="shared" si="101"/>
        <v/>
      </c>
      <c r="AI1627" t="str">
        <f>IF(AH1627="","",MAX($AF$1:$AF1627))</f>
        <v/>
      </c>
      <c r="AJ1627" t="str">
        <f t="shared" si="102"/>
        <v/>
      </c>
      <c r="AK1627" t="str">
        <f>IF(AJ1627="","",MAX($AF$1:$AF1627))</f>
        <v/>
      </c>
      <c r="AL1627" t="str">
        <f t="shared" si="103"/>
        <v/>
      </c>
      <c r="AM1627" t="str">
        <f>IF(AL1627="","",MAX($AF$1:$AF1627))</f>
        <v/>
      </c>
    </row>
    <row r="1628" spans="28:39" x14ac:dyDescent="0.3">
      <c r="AB1628" t="str" cm="1">
        <f t="array" ref="AB1628">_xlfn._xlws.FILTER(A1628:Z1628,A1628:Z1628&lt;&gt;"","")</f>
        <v/>
      </c>
      <c r="AD1628" t="str">
        <v/>
      </c>
      <c r="AE1628" t="str">
        <v/>
      </c>
      <c r="AF1628" t="str" cm="1">
        <f t="array" ref="AF1628">IF(AD1628="","",SUMPRODUCT(IF(LEFT($AD$1:AD1628,2)="JS",1,0)))</f>
        <v/>
      </c>
      <c r="AG1628" t="str">
        <f t="shared" si="100"/>
        <v/>
      </c>
      <c r="AH1628" t="str">
        <f t="shared" si="101"/>
        <v/>
      </c>
      <c r="AI1628" t="str">
        <f>IF(AH1628="","",MAX($AF$1:$AF1628))</f>
        <v/>
      </c>
      <c r="AJ1628" t="str">
        <f t="shared" si="102"/>
        <v/>
      </c>
      <c r="AK1628" t="str">
        <f>IF(AJ1628="","",MAX($AF$1:$AF1628))</f>
        <v/>
      </c>
      <c r="AL1628" t="str">
        <f t="shared" si="103"/>
        <v/>
      </c>
      <c r="AM1628" t="str">
        <f>IF(AL1628="","",MAX($AF$1:$AF1628))</f>
        <v/>
      </c>
    </row>
    <row r="1629" spans="28:39" x14ac:dyDescent="0.3">
      <c r="AB1629" t="str" cm="1">
        <f t="array" ref="AB1629">_xlfn._xlws.FILTER(A1629:Z1629,A1629:Z1629&lt;&gt;"","")</f>
        <v/>
      </c>
      <c r="AD1629" t="str">
        <v/>
      </c>
      <c r="AE1629" t="str">
        <v/>
      </c>
      <c r="AF1629" t="str" cm="1">
        <f t="array" ref="AF1629">IF(AD1629="","",SUMPRODUCT(IF(LEFT($AD$1:AD1629,2)="JS",1,0)))</f>
        <v/>
      </c>
      <c r="AG1629" t="str">
        <f t="shared" si="100"/>
        <v/>
      </c>
      <c r="AH1629" t="str">
        <f t="shared" si="101"/>
        <v/>
      </c>
      <c r="AI1629" t="str">
        <f>IF(AH1629="","",MAX($AF$1:$AF1629))</f>
        <v/>
      </c>
      <c r="AJ1629" t="str">
        <f t="shared" si="102"/>
        <v/>
      </c>
      <c r="AK1629" t="str">
        <f>IF(AJ1629="","",MAX($AF$1:$AF1629))</f>
        <v/>
      </c>
      <c r="AL1629" t="str">
        <f t="shared" si="103"/>
        <v/>
      </c>
      <c r="AM1629" t="str">
        <f>IF(AL1629="","",MAX($AF$1:$AF1629))</f>
        <v/>
      </c>
    </row>
    <row r="1630" spans="28:39" x14ac:dyDescent="0.3">
      <c r="AB1630" t="str" cm="1">
        <f t="array" ref="AB1630">_xlfn._xlws.FILTER(A1630:Z1630,A1630:Z1630&lt;&gt;"","")</f>
        <v/>
      </c>
      <c r="AD1630" t="str">
        <v/>
      </c>
      <c r="AE1630" t="str">
        <v/>
      </c>
      <c r="AF1630" t="str" cm="1">
        <f t="array" ref="AF1630">IF(AD1630="","",SUMPRODUCT(IF(LEFT($AD$1:AD1630,2)="JS",1,0)))</f>
        <v/>
      </c>
      <c r="AG1630" t="str">
        <f t="shared" si="100"/>
        <v/>
      </c>
      <c r="AH1630" t="str">
        <f t="shared" si="101"/>
        <v/>
      </c>
      <c r="AI1630" t="str">
        <f>IF(AH1630="","",MAX($AF$1:$AF1630))</f>
        <v/>
      </c>
      <c r="AJ1630" t="str">
        <f t="shared" si="102"/>
        <v/>
      </c>
      <c r="AK1630" t="str">
        <f>IF(AJ1630="","",MAX($AF$1:$AF1630))</f>
        <v/>
      </c>
      <c r="AL1630" t="str">
        <f t="shared" si="103"/>
        <v/>
      </c>
      <c r="AM1630" t="str">
        <f>IF(AL1630="","",MAX($AF$1:$AF1630))</f>
        <v/>
      </c>
    </row>
    <row r="1631" spans="28:39" x14ac:dyDescent="0.3">
      <c r="AB1631" t="str" cm="1">
        <f t="array" ref="AB1631">_xlfn._xlws.FILTER(A1631:Z1631,A1631:Z1631&lt;&gt;"","")</f>
        <v/>
      </c>
      <c r="AD1631" t="str">
        <v/>
      </c>
      <c r="AE1631" t="str">
        <v/>
      </c>
      <c r="AF1631" t="str" cm="1">
        <f t="array" ref="AF1631">IF(AD1631="","",SUMPRODUCT(IF(LEFT($AD$1:AD1631,2)="JS",1,0)))</f>
        <v/>
      </c>
      <c r="AG1631" t="str">
        <f t="shared" si="100"/>
        <v/>
      </c>
      <c r="AH1631" t="str">
        <f t="shared" si="101"/>
        <v/>
      </c>
      <c r="AI1631" t="str">
        <f>IF(AH1631="","",MAX($AF$1:$AF1631))</f>
        <v/>
      </c>
      <c r="AJ1631" t="str">
        <f t="shared" si="102"/>
        <v/>
      </c>
      <c r="AK1631" t="str">
        <f>IF(AJ1631="","",MAX($AF$1:$AF1631))</f>
        <v/>
      </c>
      <c r="AL1631" t="str">
        <f t="shared" si="103"/>
        <v/>
      </c>
      <c r="AM1631" t="str">
        <f>IF(AL1631="","",MAX($AF$1:$AF1631))</f>
        <v/>
      </c>
    </row>
    <row r="1632" spans="28:39" x14ac:dyDescent="0.3">
      <c r="AB1632" t="str" cm="1">
        <f t="array" ref="AB1632">_xlfn._xlws.FILTER(A1632:Z1632,A1632:Z1632&lt;&gt;"","")</f>
        <v/>
      </c>
      <c r="AD1632" t="str">
        <v/>
      </c>
      <c r="AE1632" t="str">
        <v/>
      </c>
      <c r="AF1632" t="str" cm="1">
        <f t="array" ref="AF1632">IF(AD1632="","",SUMPRODUCT(IF(LEFT($AD$1:AD1632,2)="JS",1,0)))</f>
        <v/>
      </c>
      <c r="AG1632" t="str">
        <f t="shared" si="100"/>
        <v/>
      </c>
      <c r="AH1632" t="str">
        <f t="shared" si="101"/>
        <v/>
      </c>
      <c r="AI1632" t="str">
        <f>IF(AH1632="","",MAX($AF$1:$AF1632))</f>
        <v/>
      </c>
      <c r="AJ1632" t="str">
        <f t="shared" si="102"/>
        <v/>
      </c>
      <c r="AK1632" t="str">
        <f>IF(AJ1632="","",MAX($AF$1:$AF1632))</f>
        <v/>
      </c>
      <c r="AL1632" t="str">
        <f t="shared" si="103"/>
        <v/>
      </c>
      <c r="AM1632" t="str">
        <f>IF(AL1632="","",MAX($AF$1:$AF1632))</f>
        <v/>
      </c>
    </row>
    <row r="1633" spans="28:39" x14ac:dyDescent="0.3">
      <c r="AB1633" t="str" cm="1">
        <f t="array" ref="AB1633">_xlfn._xlws.FILTER(A1633:Z1633,A1633:Z1633&lt;&gt;"","")</f>
        <v/>
      </c>
      <c r="AD1633" t="str">
        <v/>
      </c>
      <c r="AE1633" t="str">
        <v/>
      </c>
      <c r="AF1633" t="str" cm="1">
        <f t="array" ref="AF1633">IF(AD1633="","",SUMPRODUCT(IF(LEFT($AD$1:AD1633,2)="JS",1,0)))</f>
        <v/>
      </c>
      <c r="AG1633" t="str">
        <f t="shared" si="100"/>
        <v/>
      </c>
      <c r="AH1633" t="str">
        <f t="shared" si="101"/>
        <v/>
      </c>
      <c r="AI1633" t="str">
        <f>IF(AH1633="","",MAX($AF$1:$AF1633))</f>
        <v/>
      </c>
      <c r="AJ1633" t="str">
        <f t="shared" si="102"/>
        <v/>
      </c>
      <c r="AK1633" t="str">
        <f>IF(AJ1633="","",MAX($AF$1:$AF1633))</f>
        <v/>
      </c>
      <c r="AL1633" t="str">
        <f t="shared" si="103"/>
        <v/>
      </c>
      <c r="AM1633" t="str">
        <f>IF(AL1633="","",MAX($AF$1:$AF1633))</f>
        <v/>
      </c>
    </row>
    <row r="1634" spans="28:39" x14ac:dyDescent="0.3">
      <c r="AB1634" t="str" cm="1">
        <f t="array" ref="AB1634">_xlfn._xlws.FILTER(A1634:Z1634,A1634:Z1634&lt;&gt;"","")</f>
        <v/>
      </c>
      <c r="AD1634" t="str">
        <v/>
      </c>
      <c r="AE1634" t="str">
        <v/>
      </c>
      <c r="AF1634" t="str" cm="1">
        <f t="array" ref="AF1634">IF(AD1634="","",SUMPRODUCT(IF(LEFT($AD$1:AD1634,2)="JS",1,0)))</f>
        <v/>
      </c>
      <c r="AG1634" t="str">
        <f t="shared" si="100"/>
        <v/>
      </c>
      <c r="AH1634" t="str">
        <f t="shared" si="101"/>
        <v/>
      </c>
      <c r="AI1634" t="str">
        <f>IF(AH1634="","",MAX($AF$1:$AF1634))</f>
        <v/>
      </c>
      <c r="AJ1634" t="str">
        <f t="shared" si="102"/>
        <v/>
      </c>
      <c r="AK1634" t="str">
        <f>IF(AJ1634="","",MAX($AF$1:$AF1634))</f>
        <v/>
      </c>
      <c r="AL1634" t="str">
        <f t="shared" si="103"/>
        <v/>
      </c>
      <c r="AM1634" t="str">
        <f>IF(AL1634="","",MAX($AF$1:$AF1634))</f>
        <v/>
      </c>
    </row>
    <row r="1635" spans="28:39" x14ac:dyDescent="0.3">
      <c r="AB1635" t="str" cm="1">
        <f t="array" ref="AB1635">_xlfn._xlws.FILTER(A1635:Z1635,A1635:Z1635&lt;&gt;"","")</f>
        <v/>
      </c>
      <c r="AD1635" t="str">
        <v/>
      </c>
      <c r="AE1635" t="str">
        <v/>
      </c>
      <c r="AF1635" t="str" cm="1">
        <f t="array" ref="AF1635">IF(AD1635="","",SUMPRODUCT(IF(LEFT($AD$1:AD1635,2)="JS",1,0)))</f>
        <v/>
      </c>
      <c r="AG1635" t="str">
        <f t="shared" si="100"/>
        <v/>
      </c>
      <c r="AH1635" t="str">
        <f t="shared" si="101"/>
        <v/>
      </c>
      <c r="AI1635" t="str">
        <f>IF(AH1635="","",MAX($AF$1:$AF1635))</f>
        <v/>
      </c>
      <c r="AJ1635" t="str">
        <f t="shared" si="102"/>
        <v/>
      </c>
      <c r="AK1635" t="str">
        <f>IF(AJ1635="","",MAX($AF$1:$AF1635))</f>
        <v/>
      </c>
      <c r="AL1635" t="str">
        <f t="shared" si="103"/>
        <v/>
      </c>
      <c r="AM1635" t="str">
        <f>IF(AL1635="","",MAX($AF$1:$AF1635))</f>
        <v/>
      </c>
    </row>
    <row r="1636" spans="28:39" x14ac:dyDescent="0.3">
      <c r="AB1636" t="str" cm="1">
        <f t="array" ref="AB1636">_xlfn._xlws.FILTER(A1636:Z1636,A1636:Z1636&lt;&gt;"","")</f>
        <v/>
      </c>
      <c r="AD1636" t="str">
        <v/>
      </c>
      <c r="AE1636" t="str">
        <v/>
      </c>
      <c r="AF1636" t="str" cm="1">
        <f t="array" ref="AF1636">IF(AD1636="","",SUMPRODUCT(IF(LEFT($AD$1:AD1636,2)="JS",1,0)))</f>
        <v/>
      </c>
      <c r="AG1636" t="str">
        <f t="shared" si="100"/>
        <v/>
      </c>
      <c r="AH1636" t="str">
        <f t="shared" si="101"/>
        <v/>
      </c>
      <c r="AI1636" t="str">
        <f>IF(AH1636="","",MAX($AF$1:$AF1636))</f>
        <v/>
      </c>
      <c r="AJ1636" t="str">
        <f t="shared" si="102"/>
        <v/>
      </c>
      <c r="AK1636" t="str">
        <f>IF(AJ1636="","",MAX($AF$1:$AF1636))</f>
        <v/>
      </c>
      <c r="AL1636" t="str">
        <f t="shared" si="103"/>
        <v/>
      </c>
      <c r="AM1636" t="str">
        <f>IF(AL1636="","",MAX($AF$1:$AF1636))</f>
        <v/>
      </c>
    </row>
    <row r="1637" spans="28:39" x14ac:dyDescent="0.3">
      <c r="AB1637" t="str" cm="1">
        <f t="array" ref="AB1637">_xlfn._xlws.FILTER(A1637:Z1637,A1637:Z1637&lt;&gt;"","")</f>
        <v/>
      </c>
      <c r="AD1637" t="str">
        <v/>
      </c>
      <c r="AE1637" t="str">
        <v/>
      </c>
      <c r="AF1637" t="str" cm="1">
        <f t="array" ref="AF1637">IF(AD1637="","",SUMPRODUCT(IF(LEFT($AD$1:AD1637,2)="JS",1,0)))</f>
        <v/>
      </c>
      <c r="AG1637" t="str">
        <f t="shared" si="100"/>
        <v/>
      </c>
      <c r="AH1637" t="str">
        <f t="shared" si="101"/>
        <v/>
      </c>
      <c r="AI1637" t="str">
        <f>IF(AH1637="","",MAX($AF$1:$AF1637))</f>
        <v/>
      </c>
      <c r="AJ1637" t="str">
        <f t="shared" si="102"/>
        <v/>
      </c>
      <c r="AK1637" t="str">
        <f>IF(AJ1637="","",MAX($AF$1:$AF1637))</f>
        <v/>
      </c>
      <c r="AL1637" t="str">
        <f t="shared" si="103"/>
        <v/>
      </c>
      <c r="AM1637" t="str">
        <f>IF(AL1637="","",MAX($AF$1:$AF1637))</f>
        <v/>
      </c>
    </row>
    <row r="1638" spans="28:39" x14ac:dyDescent="0.3">
      <c r="AB1638" t="str" cm="1">
        <f t="array" ref="AB1638">_xlfn._xlws.FILTER(A1638:Z1638,A1638:Z1638&lt;&gt;"","")</f>
        <v/>
      </c>
      <c r="AD1638" t="str">
        <v/>
      </c>
      <c r="AE1638" t="str">
        <v/>
      </c>
      <c r="AF1638" t="str" cm="1">
        <f t="array" ref="AF1638">IF(AD1638="","",SUMPRODUCT(IF(LEFT($AD$1:AD1638,2)="JS",1,0)))</f>
        <v/>
      </c>
      <c r="AG1638" t="str">
        <f t="shared" si="100"/>
        <v/>
      </c>
      <c r="AH1638" t="str">
        <f t="shared" si="101"/>
        <v/>
      </c>
      <c r="AI1638" t="str">
        <f>IF(AH1638="","",MAX($AF$1:$AF1638))</f>
        <v/>
      </c>
      <c r="AJ1638" t="str">
        <f t="shared" si="102"/>
        <v/>
      </c>
      <c r="AK1638" t="str">
        <f>IF(AJ1638="","",MAX($AF$1:$AF1638))</f>
        <v/>
      </c>
      <c r="AL1638" t="str">
        <f t="shared" si="103"/>
        <v/>
      </c>
      <c r="AM1638" t="str">
        <f>IF(AL1638="","",MAX($AF$1:$AF1638))</f>
        <v/>
      </c>
    </row>
    <row r="1639" spans="28:39" x14ac:dyDescent="0.3">
      <c r="AB1639" t="str" cm="1">
        <f t="array" ref="AB1639">_xlfn._xlws.FILTER(A1639:Z1639,A1639:Z1639&lt;&gt;"","")</f>
        <v/>
      </c>
      <c r="AD1639" t="str">
        <v/>
      </c>
      <c r="AE1639" t="str">
        <v/>
      </c>
      <c r="AF1639" t="str" cm="1">
        <f t="array" ref="AF1639">IF(AD1639="","",SUMPRODUCT(IF(LEFT($AD$1:AD1639,2)="JS",1,0)))</f>
        <v/>
      </c>
      <c r="AG1639" t="str">
        <f t="shared" si="100"/>
        <v/>
      </c>
      <c r="AH1639" t="str">
        <f t="shared" si="101"/>
        <v/>
      </c>
      <c r="AI1639" t="str">
        <f>IF(AH1639="","",MAX($AF$1:$AF1639))</f>
        <v/>
      </c>
      <c r="AJ1639" t="str">
        <f t="shared" si="102"/>
        <v/>
      </c>
      <c r="AK1639" t="str">
        <f>IF(AJ1639="","",MAX($AF$1:$AF1639))</f>
        <v/>
      </c>
      <c r="AL1639" t="str">
        <f t="shared" si="103"/>
        <v/>
      </c>
      <c r="AM1639" t="str">
        <f>IF(AL1639="","",MAX($AF$1:$AF1639))</f>
        <v/>
      </c>
    </row>
    <row r="1640" spans="28:39" x14ac:dyDescent="0.3">
      <c r="AB1640" t="str" cm="1">
        <f t="array" ref="AB1640">_xlfn._xlws.FILTER(A1640:Z1640,A1640:Z1640&lt;&gt;"","")</f>
        <v/>
      </c>
      <c r="AD1640" t="str">
        <v/>
      </c>
      <c r="AE1640" t="str">
        <v/>
      </c>
      <c r="AF1640" t="str" cm="1">
        <f t="array" ref="AF1640">IF(AD1640="","",SUMPRODUCT(IF(LEFT($AD$1:AD1640,2)="JS",1,0)))</f>
        <v/>
      </c>
      <c r="AG1640" t="str">
        <f t="shared" si="100"/>
        <v/>
      </c>
      <c r="AH1640" t="str">
        <f t="shared" si="101"/>
        <v/>
      </c>
      <c r="AI1640" t="str">
        <f>IF(AH1640="","",MAX($AF$1:$AF1640))</f>
        <v/>
      </c>
      <c r="AJ1640" t="str">
        <f t="shared" si="102"/>
        <v/>
      </c>
      <c r="AK1640" t="str">
        <f>IF(AJ1640="","",MAX($AF$1:$AF1640))</f>
        <v/>
      </c>
      <c r="AL1640" t="str">
        <f t="shared" si="103"/>
        <v/>
      </c>
      <c r="AM1640" t="str">
        <f>IF(AL1640="","",MAX($AF$1:$AF1640))</f>
        <v/>
      </c>
    </row>
  </sheetData>
  <mergeCells count="3022">
    <mergeCell ref="A1:C1"/>
    <mergeCell ref="A2:C2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E59"/>
    <mergeCell ref="A60:C60"/>
    <mergeCell ref="A61:C61"/>
    <mergeCell ref="A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E104"/>
    <mergeCell ref="A105:C105"/>
    <mergeCell ref="A106:C106"/>
    <mergeCell ref="A107:B107"/>
    <mergeCell ref="A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42:B142"/>
    <mergeCell ref="A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E198"/>
    <mergeCell ref="A199:C199"/>
    <mergeCell ref="A200:C200"/>
    <mergeCell ref="A201:B201"/>
    <mergeCell ref="A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A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C245"/>
    <mergeCell ref="A246:C246"/>
    <mergeCell ref="A247:B247"/>
    <mergeCell ref="A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A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C291"/>
    <mergeCell ref="A292:C292"/>
    <mergeCell ref="A293:B293"/>
    <mergeCell ref="A294:D294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A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C337"/>
    <mergeCell ref="A338:C338"/>
    <mergeCell ref="A339:B339"/>
    <mergeCell ref="A340:D340"/>
    <mergeCell ref="A341:B341"/>
    <mergeCell ref="C341:D341"/>
    <mergeCell ref="A342:B342"/>
    <mergeCell ref="C342:D342"/>
    <mergeCell ref="A343:B343"/>
    <mergeCell ref="C343:D343"/>
    <mergeCell ref="A344:B344"/>
    <mergeCell ref="C344:D344"/>
    <mergeCell ref="A345:B345"/>
    <mergeCell ref="C345:D345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A362:B362"/>
    <mergeCell ref="C362:D362"/>
    <mergeCell ref="A363:B363"/>
    <mergeCell ref="C363:D363"/>
    <mergeCell ref="A364:B364"/>
    <mergeCell ref="C364:D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B371"/>
    <mergeCell ref="C371:D371"/>
    <mergeCell ref="A372:B372"/>
    <mergeCell ref="C372:D372"/>
    <mergeCell ref="A373:B373"/>
    <mergeCell ref="C373:D373"/>
    <mergeCell ref="A374:B374"/>
    <mergeCell ref="A375:D375"/>
    <mergeCell ref="A376:B376"/>
    <mergeCell ref="C376:D376"/>
    <mergeCell ref="A377:B377"/>
    <mergeCell ref="C377:D377"/>
    <mergeCell ref="A378:B378"/>
    <mergeCell ref="C378:D378"/>
    <mergeCell ref="A379:B379"/>
    <mergeCell ref="C379:D379"/>
    <mergeCell ref="A380:B380"/>
    <mergeCell ref="C380:D380"/>
    <mergeCell ref="A381:B381"/>
    <mergeCell ref="C381:D381"/>
    <mergeCell ref="A382:B382"/>
    <mergeCell ref="C382:D382"/>
    <mergeCell ref="A383:C383"/>
    <mergeCell ref="A384:C384"/>
    <mergeCell ref="A385:B385"/>
    <mergeCell ref="A386:D386"/>
    <mergeCell ref="A387:B387"/>
    <mergeCell ref="C387:D387"/>
    <mergeCell ref="A388:B388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A394:B394"/>
    <mergeCell ref="C394:D394"/>
    <mergeCell ref="A395:B395"/>
    <mergeCell ref="C395:D395"/>
    <mergeCell ref="A396:B396"/>
    <mergeCell ref="C396:D396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402:B402"/>
    <mergeCell ref="C402:D402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B419"/>
    <mergeCell ref="C419:D419"/>
    <mergeCell ref="A420:B420"/>
    <mergeCell ref="A421:D421"/>
    <mergeCell ref="A422:B422"/>
    <mergeCell ref="C422:D422"/>
    <mergeCell ref="A423:B423"/>
    <mergeCell ref="C423:D423"/>
    <mergeCell ref="A424:B424"/>
    <mergeCell ref="C424:D424"/>
    <mergeCell ref="A425:B425"/>
    <mergeCell ref="A426:D426"/>
    <mergeCell ref="A427:B427"/>
    <mergeCell ref="C427:D427"/>
    <mergeCell ref="A428:B428"/>
    <mergeCell ref="C428:D428"/>
    <mergeCell ref="A429:B429"/>
    <mergeCell ref="C429:D429"/>
    <mergeCell ref="A430:B430"/>
    <mergeCell ref="C430:D430"/>
    <mergeCell ref="A431:B431"/>
    <mergeCell ref="C431:D431"/>
    <mergeCell ref="A432:B432"/>
    <mergeCell ref="C432:D432"/>
    <mergeCell ref="A433:B433"/>
    <mergeCell ref="C433:D433"/>
    <mergeCell ref="A434:C434"/>
    <mergeCell ref="A435:C435"/>
    <mergeCell ref="A436:B436"/>
    <mergeCell ref="A437:D437"/>
    <mergeCell ref="A438:B438"/>
    <mergeCell ref="C438:D438"/>
    <mergeCell ref="A439:B439"/>
    <mergeCell ref="C439:D43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48:B448"/>
    <mergeCell ref="C448:D448"/>
    <mergeCell ref="A449:B449"/>
    <mergeCell ref="C449:D449"/>
    <mergeCell ref="A450:B450"/>
    <mergeCell ref="C450:D450"/>
    <mergeCell ref="A451:B451"/>
    <mergeCell ref="C451:D451"/>
    <mergeCell ref="A452:B452"/>
    <mergeCell ref="C452:D452"/>
    <mergeCell ref="A453:B453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A472:D472"/>
    <mergeCell ref="A473:B473"/>
    <mergeCell ref="C473:D473"/>
    <mergeCell ref="A474:B474"/>
    <mergeCell ref="C474:D474"/>
    <mergeCell ref="A475:B475"/>
    <mergeCell ref="C475:D475"/>
    <mergeCell ref="A476:B476"/>
    <mergeCell ref="A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A482:B482"/>
    <mergeCell ref="C482:D482"/>
    <mergeCell ref="A483:B483"/>
    <mergeCell ref="C483:D483"/>
    <mergeCell ref="A484:B484"/>
    <mergeCell ref="C484:D484"/>
    <mergeCell ref="A485:C485"/>
    <mergeCell ref="A486:C486"/>
    <mergeCell ref="A487:B487"/>
    <mergeCell ref="A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A523:D523"/>
    <mergeCell ref="A524:B524"/>
    <mergeCell ref="C524:D524"/>
    <mergeCell ref="A525:B525"/>
    <mergeCell ref="C525:D525"/>
    <mergeCell ref="A526:B526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C531"/>
    <mergeCell ref="A532:C532"/>
    <mergeCell ref="A533:B533"/>
    <mergeCell ref="A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50:B550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67:B567"/>
    <mergeCell ref="C567:D567"/>
    <mergeCell ref="A568:B568"/>
    <mergeCell ref="A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A577:C577"/>
    <mergeCell ref="A578:C578"/>
    <mergeCell ref="A579:B579"/>
    <mergeCell ref="A580:D580"/>
    <mergeCell ref="A581:B581"/>
    <mergeCell ref="C581:D581"/>
    <mergeCell ref="A582:B582"/>
    <mergeCell ref="C582:D582"/>
    <mergeCell ref="A583:B583"/>
    <mergeCell ref="C583:D583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A612:B612"/>
    <mergeCell ref="C612:D612"/>
    <mergeCell ref="A613:B613"/>
    <mergeCell ref="C613:D613"/>
    <mergeCell ref="A614:B614"/>
    <mergeCell ref="A615:D615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C623"/>
    <mergeCell ref="A624:C624"/>
    <mergeCell ref="A625:B625"/>
    <mergeCell ref="A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50:B650"/>
    <mergeCell ref="C650:D650"/>
    <mergeCell ref="A651:B651"/>
    <mergeCell ref="C651:D651"/>
    <mergeCell ref="A652:B652"/>
    <mergeCell ref="C652:D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A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67:B667"/>
    <mergeCell ref="C667:D667"/>
    <mergeCell ref="A668:B668"/>
    <mergeCell ref="C668:D668"/>
    <mergeCell ref="A669:C669"/>
    <mergeCell ref="A670:C670"/>
    <mergeCell ref="A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A711:B711"/>
    <mergeCell ref="C711:D711"/>
    <mergeCell ref="A712:B712"/>
    <mergeCell ref="C712:D712"/>
    <mergeCell ref="A713:B713"/>
    <mergeCell ref="C713:D713"/>
    <mergeCell ref="A714:D714"/>
    <mergeCell ref="A715:B715"/>
    <mergeCell ref="C715:D715"/>
    <mergeCell ref="A716:B716"/>
    <mergeCell ref="C716:D716"/>
    <mergeCell ref="A717:B717"/>
    <mergeCell ref="C717:D717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E722"/>
    <mergeCell ref="A723:C723"/>
    <mergeCell ref="D723:E723"/>
    <mergeCell ref="A724:C724"/>
    <mergeCell ref="D724:E724"/>
    <mergeCell ref="A725:C725"/>
    <mergeCell ref="D725:E725"/>
    <mergeCell ref="B726:C726"/>
    <mergeCell ref="D726:E726"/>
    <mergeCell ref="B727:C727"/>
    <mergeCell ref="D727:E727"/>
    <mergeCell ref="B728:C728"/>
    <mergeCell ref="D728:E728"/>
    <mergeCell ref="B729:C729"/>
    <mergeCell ref="D729:E729"/>
    <mergeCell ref="B730:C730"/>
    <mergeCell ref="D730:E730"/>
    <mergeCell ref="B731:C731"/>
    <mergeCell ref="D731:E731"/>
    <mergeCell ref="B732:C732"/>
    <mergeCell ref="D732:E732"/>
    <mergeCell ref="B733:C733"/>
    <mergeCell ref="D733:E733"/>
    <mergeCell ref="B734:C734"/>
    <mergeCell ref="D734:E734"/>
    <mergeCell ref="B735:C735"/>
    <mergeCell ref="D735:E735"/>
    <mergeCell ref="B736:C736"/>
    <mergeCell ref="D736:E736"/>
    <mergeCell ref="B737:C737"/>
    <mergeCell ref="D737:E737"/>
    <mergeCell ref="B738:C738"/>
    <mergeCell ref="D738:E738"/>
    <mergeCell ref="B739:C739"/>
    <mergeCell ref="D739:E739"/>
    <mergeCell ref="B740:C740"/>
    <mergeCell ref="D740:E740"/>
    <mergeCell ref="B741:C741"/>
    <mergeCell ref="D741:E741"/>
    <mergeCell ref="B742:C742"/>
    <mergeCell ref="D742:E742"/>
    <mergeCell ref="B743:C743"/>
    <mergeCell ref="D743:E743"/>
    <mergeCell ref="B744:C744"/>
    <mergeCell ref="D744:E744"/>
    <mergeCell ref="B745:C745"/>
    <mergeCell ref="D745:E745"/>
    <mergeCell ref="B746:C746"/>
    <mergeCell ref="D746:E746"/>
    <mergeCell ref="B747:C747"/>
    <mergeCell ref="D747:E747"/>
    <mergeCell ref="B748:C748"/>
    <mergeCell ref="D748:E748"/>
    <mergeCell ref="B749:C749"/>
    <mergeCell ref="D749:E749"/>
    <mergeCell ref="B750:C750"/>
    <mergeCell ref="D750:E750"/>
    <mergeCell ref="B751:C751"/>
    <mergeCell ref="D751:E751"/>
    <mergeCell ref="B752:C752"/>
    <mergeCell ref="D752:E752"/>
    <mergeCell ref="B753:C753"/>
    <mergeCell ref="D753:E753"/>
    <mergeCell ref="B754:C754"/>
    <mergeCell ref="D754:E754"/>
    <mergeCell ref="B755:C755"/>
    <mergeCell ref="D755:E755"/>
    <mergeCell ref="B756:C756"/>
    <mergeCell ref="D756:E756"/>
    <mergeCell ref="B757:C757"/>
    <mergeCell ref="D757:E757"/>
    <mergeCell ref="B758:C758"/>
    <mergeCell ref="D758:E758"/>
    <mergeCell ref="A759:C759"/>
    <mergeCell ref="D759:E759"/>
    <mergeCell ref="B760:C760"/>
    <mergeCell ref="D760:E760"/>
    <mergeCell ref="B761:C761"/>
    <mergeCell ref="D761:E761"/>
    <mergeCell ref="B762:C762"/>
    <mergeCell ref="D762:E762"/>
    <mergeCell ref="B763:C763"/>
    <mergeCell ref="D763:E763"/>
    <mergeCell ref="B764:C764"/>
    <mergeCell ref="D764:E764"/>
    <mergeCell ref="B765:C765"/>
    <mergeCell ref="D765:E765"/>
    <mergeCell ref="B766:C766"/>
    <mergeCell ref="D766:E766"/>
    <mergeCell ref="B767:C767"/>
    <mergeCell ref="D767:E767"/>
    <mergeCell ref="B768:C768"/>
    <mergeCell ref="D768:E768"/>
    <mergeCell ref="B769:C769"/>
    <mergeCell ref="D769:E769"/>
    <mergeCell ref="B770:C770"/>
    <mergeCell ref="D770:E770"/>
    <mergeCell ref="B771:C771"/>
    <mergeCell ref="D771:E771"/>
    <mergeCell ref="B772:C772"/>
    <mergeCell ref="D772:E772"/>
    <mergeCell ref="B773:C773"/>
    <mergeCell ref="D773:E773"/>
    <mergeCell ref="B774:C774"/>
    <mergeCell ref="D774:E774"/>
    <mergeCell ref="B775:C775"/>
    <mergeCell ref="D775:E775"/>
    <mergeCell ref="B776:C776"/>
    <mergeCell ref="D776:E776"/>
    <mergeCell ref="B777:C777"/>
    <mergeCell ref="D777:E777"/>
    <mergeCell ref="A778:C778"/>
    <mergeCell ref="D778:E778"/>
    <mergeCell ref="B779:C779"/>
    <mergeCell ref="D779:E779"/>
    <mergeCell ref="B780:C780"/>
    <mergeCell ref="D780:E780"/>
    <mergeCell ref="B781:C781"/>
    <mergeCell ref="D781:E781"/>
    <mergeCell ref="B782:C782"/>
    <mergeCell ref="D782:E782"/>
    <mergeCell ref="B783:C783"/>
    <mergeCell ref="D783:E783"/>
    <mergeCell ref="B784:C784"/>
    <mergeCell ref="D784:E784"/>
    <mergeCell ref="B785:C785"/>
    <mergeCell ref="D785:E785"/>
    <mergeCell ref="A786:E786"/>
    <mergeCell ref="A787:C787"/>
    <mergeCell ref="A788:C788"/>
    <mergeCell ref="A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820:B820"/>
    <mergeCell ref="C820:D820"/>
    <mergeCell ref="A821:B821"/>
    <mergeCell ref="C821:D821"/>
    <mergeCell ref="A822:B822"/>
    <mergeCell ref="C822:D822"/>
    <mergeCell ref="A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E831"/>
    <mergeCell ref="A832:C832"/>
    <mergeCell ref="A833:C833"/>
    <mergeCell ref="A834:D834"/>
    <mergeCell ref="A835:B835"/>
    <mergeCell ref="C835:D835"/>
    <mergeCell ref="A836:B836"/>
    <mergeCell ref="C836:D836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D868"/>
    <mergeCell ref="A869:B869"/>
    <mergeCell ref="C869:D869"/>
    <mergeCell ref="A870:B870"/>
    <mergeCell ref="C870:D870"/>
    <mergeCell ref="A871:B871"/>
    <mergeCell ref="C871:D871"/>
    <mergeCell ref="A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E880"/>
    <mergeCell ref="A881:C881"/>
    <mergeCell ref="A882:C882"/>
    <mergeCell ref="A883:B883"/>
    <mergeCell ref="A884:D884"/>
    <mergeCell ref="A885:B885"/>
    <mergeCell ref="C885:D885"/>
    <mergeCell ref="A886:B886"/>
    <mergeCell ref="C886:D886"/>
    <mergeCell ref="A887:B887"/>
    <mergeCell ref="C887:D887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A919:D919"/>
    <mergeCell ref="A920:B920"/>
    <mergeCell ref="C920:D920"/>
    <mergeCell ref="A921:B921"/>
    <mergeCell ref="C921:D921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C927"/>
    <mergeCell ref="A928:C928"/>
    <mergeCell ref="A929:B929"/>
    <mergeCell ref="A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A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73:C973"/>
    <mergeCell ref="A974:C974"/>
    <mergeCell ref="A975:B975"/>
    <mergeCell ref="A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1007:B1007"/>
    <mergeCell ref="C1007:D1007"/>
    <mergeCell ref="A1008:B1008"/>
    <mergeCell ref="C1008:D1008"/>
    <mergeCell ref="A1009:B1009"/>
    <mergeCell ref="C1009:D1009"/>
    <mergeCell ref="A1010:B1010"/>
    <mergeCell ref="A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C1019"/>
    <mergeCell ref="A1020:C1020"/>
    <mergeCell ref="A1021:B1021"/>
    <mergeCell ref="A1022:D1022"/>
    <mergeCell ref="A1023:B1023"/>
    <mergeCell ref="C1023:D1023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A1056:B1056"/>
    <mergeCell ref="A1057:D1057"/>
    <mergeCell ref="A1058:B1058"/>
    <mergeCell ref="C1058:D1058"/>
    <mergeCell ref="A1059:B1059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A1065:C1065"/>
    <mergeCell ref="A1066:C1066"/>
    <mergeCell ref="A1067:B1067"/>
    <mergeCell ref="A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A1073:B1073"/>
    <mergeCell ref="C1073:D1073"/>
    <mergeCell ref="A1074:B1074"/>
    <mergeCell ref="C1074:D1074"/>
    <mergeCell ref="A1075:B1075"/>
    <mergeCell ref="C1075:D1075"/>
    <mergeCell ref="A1076:B1076"/>
    <mergeCell ref="C1076:D1076"/>
    <mergeCell ref="A1077:B1077"/>
    <mergeCell ref="C1077:D1077"/>
    <mergeCell ref="A1078:B1078"/>
    <mergeCell ref="C1078:D1078"/>
    <mergeCell ref="A1079:B1079"/>
    <mergeCell ref="C1079:D1079"/>
    <mergeCell ref="A1080:B1080"/>
    <mergeCell ref="C1080:D1080"/>
    <mergeCell ref="A1081:B1081"/>
    <mergeCell ref="C1081:D1081"/>
    <mergeCell ref="A1082:B1082"/>
    <mergeCell ref="C1082:D1082"/>
    <mergeCell ref="A1083:B1083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A1088:B1088"/>
    <mergeCell ref="C1088:D1088"/>
    <mergeCell ref="A1089:B1089"/>
    <mergeCell ref="C1089:D1089"/>
    <mergeCell ref="A1090:B1090"/>
    <mergeCell ref="C1090:D1090"/>
    <mergeCell ref="A1091:B1091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A1097:B1097"/>
    <mergeCell ref="C1097:D1097"/>
    <mergeCell ref="A1098:B1098"/>
    <mergeCell ref="C1098:D1098"/>
    <mergeCell ref="A1099:B1099"/>
    <mergeCell ref="C1099:D1099"/>
    <mergeCell ref="A1100:B1100"/>
    <mergeCell ref="C1100:D1100"/>
    <mergeCell ref="A1101:B1101"/>
    <mergeCell ref="C1101:D1101"/>
    <mergeCell ref="A1102:B1102"/>
    <mergeCell ref="A1103:D1103"/>
    <mergeCell ref="A1104:B1104"/>
    <mergeCell ref="C1104:D1104"/>
    <mergeCell ref="A1105:B1105"/>
    <mergeCell ref="C1105:D1105"/>
    <mergeCell ref="A1106:B1106"/>
    <mergeCell ref="C1106:D1106"/>
    <mergeCell ref="A1107:B1107"/>
    <mergeCell ref="C1107:D1107"/>
    <mergeCell ref="A1108:B1108"/>
    <mergeCell ref="C1108:D1108"/>
    <mergeCell ref="A1109:B1109"/>
    <mergeCell ref="C1109:D1109"/>
    <mergeCell ref="A1110:B1110"/>
    <mergeCell ref="C1110:D1110"/>
    <mergeCell ref="A1111:C1111"/>
    <mergeCell ref="A1112:C1112"/>
    <mergeCell ref="A1113:D1113"/>
    <mergeCell ref="A1114:B1114"/>
    <mergeCell ref="C1114:D1114"/>
    <mergeCell ref="A1115:B1115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122:B1122"/>
    <mergeCell ref="C1122:D1122"/>
    <mergeCell ref="A1123:B1123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A1129:B1129"/>
    <mergeCell ref="C1129:D1129"/>
    <mergeCell ref="A1130:B1130"/>
    <mergeCell ref="C1130:D1130"/>
    <mergeCell ref="A1131:B113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A1137:B1137"/>
    <mergeCell ref="C1137:D1137"/>
    <mergeCell ref="A1138:B1138"/>
    <mergeCell ref="C1138:D1138"/>
    <mergeCell ref="A1139:B1139"/>
    <mergeCell ref="C1139:D113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4:B1144"/>
    <mergeCell ref="C1144:D1144"/>
    <mergeCell ref="A1145:B1145"/>
    <mergeCell ref="C1145:D1145"/>
    <mergeCell ref="A1146:B1146"/>
    <mergeCell ref="C1146:D1146"/>
    <mergeCell ref="A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A1152:B1152"/>
    <mergeCell ref="C1152:D1152"/>
    <mergeCell ref="A1153:B1153"/>
    <mergeCell ref="C1153:D1153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A1161:B1161"/>
    <mergeCell ref="C1161:D1161"/>
    <mergeCell ref="A1162:B1162"/>
    <mergeCell ref="C1162:D1162"/>
    <mergeCell ref="A1163:B116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A1171:B1171"/>
    <mergeCell ref="C1171:D1171"/>
    <mergeCell ref="A1172:B1172"/>
    <mergeCell ref="C1172:D1172"/>
    <mergeCell ref="A1173:E1173"/>
    <mergeCell ref="A1174:B1174"/>
    <mergeCell ref="C1174:D1174"/>
    <mergeCell ref="A1175:B1175"/>
    <mergeCell ref="C1175:D1175"/>
    <mergeCell ref="A1176:B1176"/>
    <mergeCell ref="C1176:D1176"/>
    <mergeCell ref="A1177:B1177"/>
    <mergeCell ref="C1177:D1177"/>
    <mergeCell ref="A1178:B1178"/>
    <mergeCell ref="C1178:D1178"/>
    <mergeCell ref="A1179:B1179"/>
    <mergeCell ref="C1179:D1179"/>
    <mergeCell ref="A1180:B1180"/>
    <mergeCell ref="C1180:D1180"/>
    <mergeCell ref="A1181:E1181"/>
    <mergeCell ref="A1182:C1182"/>
    <mergeCell ref="A1183:C1183"/>
    <mergeCell ref="A1184:B1184"/>
    <mergeCell ref="A1185:D1185"/>
    <mergeCell ref="A1186:B1186"/>
    <mergeCell ref="C1186:D1186"/>
    <mergeCell ref="A1187:B1187"/>
    <mergeCell ref="C1187:D1187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A1201:B1201"/>
    <mergeCell ref="C1201:D1201"/>
    <mergeCell ref="A1202:B1202"/>
    <mergeCell ref="C1202:D1202"/>
    <mergeCell ref="A1203:B1203"/>
    <mergeCell ref="C1203:D1203"/>
    <mergeCell ref="A1204:B1204"/>
    <mergeCell ref="C1204:D1204"/>
    <mergeCell ref="A1205:B1205"/>
    <mergeCell ref="C1205:D1205"/>
    <mergeCell ref="A1206:B1206"/>
    <mergeCell ref="C1206:D1206"/>
    <mergeCell ref="A1207:B1207"/>
    <mergeCell ref="C1207:D1207"/>
    <mergeCell ref="A1208:B1208"/>
    <mergeCell ref="C1208:D1208"/>
    <mergeCell ref="A1209:B1209"/>
    <mergeCell ref="C1209:D1209"/>
    <mergeCell ref="A1210:B1210"/>
    <mergeCell ref="C1210:D1210"/>
    <mergeCell ref="A1211:B1211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A1216:B1216"/>
    <mergeCell ref="C1216:D1216"/>
    <mergeCell ref="A1217:B1217"/>
    <mergeCell ref="C1217:D1217"/>
    <mergeCell ref="A1218:B1218"/>
    <mergeCell ref="C1218:D1218"/>
    <mergeCell ref="A1219:B1219"/>
    <mergeCell ref="A1220:D1220"/>
    <mergeCell ref="A1221:B1221"/>
    <mergeCell ref="C1221:D1221"/>
    <mergeCell ref="A1222:B1222"/>
    <mergeCell ref="C1222:D1222"/>
    <mergeCell ref="A1223:B1223"/>
    <mergeCell ref="C1223:D1223"/>
    <mergeCell ref="A1224:B1224"/>
    <mergeCell ref="C1224:D1224"/>
    <mergeCell ref="A1225:B1225"/>
    <mergeCell ref="C1225:D1225"/>
    <mergeCell ref="A1226:B1226"/>
    <mergeCell ref="C1226:D1226"/>
    <mergeCell ref="A1227:B1227"/>
    <mergeCell ref="C1227:D1227"/>
    <mergeCell ref="A1228:B1228"/>
    <mergeCell ref="C1228:D1228"/>
    <mergeCell ref="A1229:B1229"/>
    <mergeCell ref="C1229:D1229"/>
    <mergeCell ref="A1230:B1230"/>
    <mergeCell ref="C1230:D1230"/>
    <mergeCell ref="A1231:B1231"/>
    <mergeCell ref="C1231:D1231"/>
    <mergeCell ref="A1232:B1232"/>
    <mergeCell ref="C1232:D1232"/>
    <mergeCell ref="A1233:B1233"/>
    <mergeCell ref="C1233:D1233"/>
    <mergeCell ref="A1234:B1234"/>
    <mergeCell ref="C1234:D1234"/>
    <mergeCell ref="A1235:B1235"/>
    <mergeCell ref="C1235:D1235"/>
    <mergeCell ref="A1236:B1236"/>
    <mergeCell ref="C1236:D1236"/>
    <mergeCell ref="A1237:B1237"/>
    <mergeCell ref="C1237:D1237"/>
    <mergeCell ref="A1238:B1238"/>
    <mergeCell ref="C1238:D1238"/>
    <mergeCell ref="A1239:B1239"/>
    <mergeCell ref="C1239:D1239"/>
    <mergeCell ref="A1240:B1240"/>
    <mergeCell ref="C1240:D1240"/>
    <mergeCell ref="A1241:B1241"/>
    <mergeCell ref="C1241:D1241"/>
    <mergeCell ref="A1242:B1242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A1249:B1249"/>
    <mergeCell ref="C1249:D1249"/>
    <mergeCell ref="A1250:B1250"/>
    <mergeCell ref="C1250:D1250"/>
    <mergeCell ref="A1251:B1251"/>
    <mergeCell ref="C1251:D1251"/>
    <mergeCell ref="A1252:B1252"/>
    <mergeCell ref="C1252:D1252"/>
    <mergeCell ref="A1253:B1253"/>
    <mergeCell ref="C1253:D1253"/>
    <mergeCell ref="A1254:D1254"/>
    <mergeCell ref="A1255:B1255"/>
    <mergeCell ref="C1255:D1255"/>
    <mergeCell ref="A1256:B1256"/>
    <mergeCell ref="C1256:D1256"/>
    <mergeCell ref="A1257:B1257"/>
    <mergeCell ref="C1257:D1257"/>
    <mergeCell ref="A1258:B1258"/>
    <mergeCell ref="C1258:D1258"/>
    <mergeCell ref="A1259:B1259"/>
    <mergeCell ref="C1259:D1259"/>
    <mergeCell ref="A1260:B1260"/>
    <mergeCell ref="C1260:D1260"/>
    <mergeCell ref="A1261:B1261"/>
    <mergeCell ref="C1261:D1261"/>
    <mergeCell ref="A1262:E1262"/>
    <mergeCell ref="A1263:C1263"/>
    <mergeCell ref="D1263:E1263"/>
    <mergeCell ref="A1264:C1264"/>
    <mergeCell ref="D1264:E1264"/>
    <mergeCell ref="A1265:C1265"/>
    <mergeCell ref="D1265:E1265"/>
    <mergeCell ref="B1266:C1266"/>
    <mergeCell ref="D1266:E1266"/>
    <mergeCell ref="B1267:C1267"/>
    <mergeCell ref="D1267:E1267"/>
    <mergeCell ref="B1268:C1268"/>
    <mergeCell ref="D1268:E1268"/>
    <mergeCell ref="B1269:C1269"/>
    <mergeCell ref="D1269:E1269"/>
    <mergeCell ref="B1270:C1270"/>
    <mergeCell ref="D1270:E1270"/>
    <mergeCell ref="B1271:C1271"/>
    <mergeCell ref="D1271:E1271"/>
    <mergeCell ref="B1272:C1272"/>
    <mergeCell ref="D1272:E1272"/>
    <mergeCell ref="B1273:C1273"/>
    <mergeCell ref="D1273:E1273"/>
    <mergeCell ref="B1274:C1274"/>
    <mergeCell ref="D1274:E1274"/>
    <mergeCell ref="B1275:C1275"/>
    <mergeCell ref="D1275:E1275"/>
    <mergeCell ref="B1276:C1276"/>
    <mergeCell ref="D1276:E1276"/>
    <mergeCell ref="B1277:C1277"/>
    <mergeCell ref="D1277:E1277"/>
    <mergeCell ref="B1278:C1278"/>
    <mergeCell ref="D1278:E1278"/>
    <mergeCell ref="B1279:C1279"/>
    <mergeCell ref="D1279:E1279"/>
    <mergeCell ref="B1280:C1280"/>
    <mergeCell ref="D1280:E1280"/>
    <mergeCell ref="B1281:C1281"/>
    <mergeCell ref="D1281:E1281"/>
    <mergeCell ref="B1282:C1282"/>
    <mergeCell ref="D1282:E1282"/>
    <mergeCell ref="B1283:C1283"/>
    <mergeCell ref="D1283:E1283"/>
    <mergeCell ref="B1284:C1284"/>
    <mergeCell ref="D1284:E1284"/>
    <mergeCell ref="B1285:C1285"/>
    <mergeCell ref="D1285:E1285"/>
    <mergeCell ref="B1286:C1286"/>
    <mergeCell ref="D1286:E1286"/>
    <mergeCell ref="B1287:C1287"/>
    <mergeCell ref="D1287:E1287"/>
    <mergeCell ref="B1288:C1288"/>
    <mergeCell ref="D1288:E1288"/>
    <mergeCell ref="B1289:C1289"/>
    <mergeCell ref="D1289:E1289"/>
    <mergeCell ref="B1290:C1290"/>
    <mergeCell ref="D1290:E1290"/>
    <mergeCell ref="B1291:C1291"/>
    <mergeCell ref="D1291:E1291"/>
    <mergeCell ref="B1292:C1292"/>
    <mergeCell ref="D1292:E1292"/>
    <mergeCell ref="B1293:C1293"/>
    <mergeCell ref="D1293:E1293"/>
    <mergeCell ref="B1294:C1294"/>
    <mergeCell ref="D1294:E1294"/>
    <mergeCell ref="B1295:C1295"/>
    <mergeCell ref="D1295:E1295"/>
    <mergeCell ref="B1296:C1296"/>
    <mergeCell ref="D1296:E1296"/>
    <mergeCell ref="B1297:C1297"/>
    <mergeCell ref="D1297:E1297"/>
    <mergeCell ref="B1298:C1298"/>
    <mergeCell ref="D1298:E1298"/>
    <mergeCell ref="A1299:C1299"/>
    <mergeCell ref="D1299:E1299"/>
    <mergeCell ref="B1300:C1300"/>
    <mergeCell ref="D1300:E1300"/>
    <mergeCell ref="B1301:C1301"/>
    <mergeCell ref="D1301:E1301"/>
    <mergeCell ref="B1302:C1302"/>
    <mergeCell ref="D1302:E1302"/>
    <mergeCell ref="B1303:C1303"/>
    <mergeCell ref="D1303:E1303"/>
    <mergeCell ref="B1304:C1304"/>
    <mergeCell ref="D1304:E1304"/>
    <mergeCell ref="B1305:C1305"/>
    <mergeCell ref="D1305:E1305"/>
    <mergeCell ref="B1306:C1306"/>
    <mergeCell ref="D1306:E1306"/>
    <mergeCell ref="B1307:C1307"/>
    <mergeCell ref="D1307:E1307"/>
    <mergeCell ref="B1308:C1308"/>
    <mergeCell ref="D1308:E1308"/>
    <mergeCell ref="B1309:C1309"/>
    <mergeCell ref="D1309:E1309"/>
    <mergeCell ref="B1310:C1310"/>
    <mergeCell ref="D1310:E1310"/>
    <mergeCell ref="B1311:C1311"/>
    <mergeCell ref="D1311:E1311"/>
    <mergeCell ref="B1312:C1312"/>
    <mergeCell ref="D1312:E1312"/>
    <mergeCell ref="B1313:C1313"/>
    <mergeCell ref="D1313:E1313"/>
    <mergeCell ref="B1314:C1314"/>
    <mergeCell ref="D1314:E1314"/>
    <mergeCell ref="B1315:C1315"/>
    <mergeCell ref="D1315:E1315"/>
    <mergeCell ref="B1316:C1316"/>
    <mergeCell ref="D1316:E1316"/>
    <mergeCell ref="B1317:C1317"/>
    <mergeCell ref="D1317:E1317"/>
    <mergeCell ref="A1318:C1318"/>
    <mergeCell ref="D1318:E1318"/>
    <mergeCell ref="B1319:C1319"/>
    <mergeCell ref="D1319:E1319"/>
    <mergeCell ref="B1320:C1320"/>
    <mergeCell ref="D1320:E1320"/>
    <mergeCell ref="B1321:C1321"/>
    <mergeCell ref="D1321:E1321"/>
    <mergeCell ref="B1322:C1322"/>
    <mergeCell ref="D1322:E1322"/>
    <mergeCell ref="B1323:C1323"/>
    <mergeCell ref="D1323:E1323"/>
    <mergeCell ref="B1324:C1324"/>
    <mergeCell ref="D1324:E1324"/>
    <mergeCell ref="B1325:C1325"/>
    <mergeCell ref="D1325:E1325"/>
    <mergeCell ref="A1326:E1326"/>
    <mergeCell ref="A1327:C1327"/>
    <mergeCell ref="A1328:C1328"/>
    <mergeCell ref="A1329:B1329"/>
    <mergeCell ref="A1330:D1330"/>
    <mergeCell ref="A1331:B1331"/>
    <mergeCell ref="C1331:D1331"/>
    <mergeCell ref="A1332:B1332"/>
    <mergeCell ref="C1332:D1332"/>
    <mergeCell ref="A1333:B133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A1339:B1339"/>
    <mergeCell ref="C1339:D1339"/>
    <mergeCell ref="A1340:B1340"/>
    <mergeCell ref="C1340:D1340"/>
    <mergeCell ref="A1341:B1341"/>
    <mergeCell ref="C1341:D1341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B1348"/>
    <mergeCell ref="C1348:D1348"/>
    <mergeCell ref="A1349:B1349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A1354:B1354"/>
    <mergeCell ref="C1354:D1354"/>
    <mergeCell ref="A1355:B1355"/>
    <mergeCell ref="C1355:D1355"/>
    <mergeCell ref="A1356:B1356"/>
    <mergeCell ref="C1356:D1356"/>
    <mergeCell ref="A1357:B1357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A1363:B1363"/>
    <mergeCell ref="C1363:D1363"/>
    <mergeCell ref="A1364:B1364"/>
    <mergeCell ref="A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A1373:C1373"/>
    <mergeCell ref="A1374:C1374"/>
    <mergeCell ref="A1375:B1375"/>
    <mergeCell ref="A1376:D1376"/>
    <mergeCell ref="A1377:B1377"/>
    <mergeCell ref="C1377:D1377"/>
    <mergeCell ref="A1378:B1378"/>
    <mergeCell ref="C1378:D1378"/>
    <mergeCell ref="A1379:B1379"/>
    <mergeCell ref="C1379:D1379"/>
    <mergeCell ref="A1380:B1380"/>
    <mergeCell ref="C1380:D1380"/>
    <mergeCell ref="A1381:B1381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A1386:B1386"/>
    <mergeCell ref="C1386:D1386"/>
    <mergeCell ref="A1387:B1387"/>
    <mergeCell ref="C1387:D1387"/>
    <mergeCell ref="A1388:B1388"/>
    <mergeCell ref="C1388:D1388"/>
    <mergeCell ref="A1389:B1389"/>
    <mergeCell ref="C1389:D1389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A1395:B1395"/>
    <mergeCell ref="C1395:D1395"/>
    <mergeCell ref="A1396:B1396"/>
    <mergeCell ref="C1396:D1396"/>
    <mergeCell ref="A1397:B139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A1403:B1403"/>
    <mergeCell ref="C1403:D1403"/>
    <mergeCell ref="A1404:B1404"/>
    <mergeCell ref="C1404:D1404"/>
    <mergeCell ref="A1405:B1405"/>
    <mergeCell ref="C1405:D1405"/>
    <mergeCell ref="A1406:B1406"/>
    <mergeCell ref="C1406:D1406"/>
    <mergeCell ref="A1407:B1407"/>
    <mergeCell ref="C1407:D1407"/>
    <mergeCell ref="A1408:B1408"/>
    <mergeCell ref="C1408:D1408"/>
    <mergeCell ref="A1409:B1409"/>
    <mergeCell ref="C1409:D1409"/>
    <mergeCell ref="A1410:B1410"/>
    <mergeCell ref="A1411:D1411"/>
    <mergeCell ref="A1412:B1412"/>
    <mergeCell ref="C1412:D1412"/>
    <mergeCell ref="A1413:B1413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A1418:B1418"/>
    <mergeCell ref="C1418:D1418"/>
    <mergeCell ref="A1419:C1419"/>
    <mergeCell ref="A1420:C1420"/>
    <mergeCell ref="A1421:B1421"/>
    <mergeCell ref="A1422:D1422"/>
    <mergeCell ref="A1423:B1423"/>
    <mergeCell ref="C1423:D1423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C1428:D1428"/>
    <mergeCell ref="A1429:B142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C1437:D1437"/>
    <mergeCell ref="A1438:B1438"/>
    <mergeCell ref="C1438:D1438"/>
    <mergeCell ref="A1439:B1439"/>
    <mergeCell ref="C1439:D1439"/>
    <mergeCell ref="A1440:B1440"/>
    <mergeCell ref="C1440:D1440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A1445:B1445"/>
    <mergeCell ref="C1445:D1445"/>
    <mergeCell ref="A1446:B1446"/>
    <mergeCell ref="C1446:D1446"/>
    <mergeCell ref="A1447:B1447"/>
    <mergeCell ref="C1447:D1447"/>
    <mergeCell ref="A1448:B1448"/>
    <mergeCell ref="C1448:D1448"/>
    <mergeCell ref="A1449:B1449"/>
    <mergeCell ref="C1449:D1449"/>
    <mergeCell ref="A1450:B1450"/>
    <mergeCell ref="C1450:D1450"/>
    <mergeCell ref="A1451:B1451"/>
    <mergeCell ref="C1451:D1451"/>
    <mergeCell ref="A1452:B1452"/>
    <mergeCell ref="C1452:D1452"/>
    <mergeCell ref="A1453:B1453"/>
    <mergeCell ref="C1453:D1453"/>
    <mergeCell ref="A1454:B1454"/>
    <mergeCell ref="C1454:D1454"/>
    <mergeCell ref="A1455:B1455"/>
    <mergeCell ref="C1455:D1455"/>
    <mergeCell ref="A1456:B1456"/>
    <mergeCell ref="A1457:D1457"/>
    <mergeCell ref="A1458:B1458"/>
    <mergeCell ref="C1458:D1458"/>
    <mergeCell ref="A1459:B1459"/>
    <mergeCell ref="C1459:D1459"/>
    <mergeCell ref="A1460:B1460"/>
    <mergeCell ref="C1460:D1460"/>
    <mergeCell ref="A1461:B1461"/>
    <mergeCell ref="C1461:D1461"/>
    <mergeCell ref="A1462:B1462"/>
    <mergeCell ref="C1462:D1462"/>
    <mergeCell ref="A1463:B1463"/>
    <mergeCell ref="C1463:D1463"/>
    <mergeCell ref="A1464:B1464"/>
    <mergeCell ref="C1464:D1464"/>
    <mergeCell ref="A1465:C1465"/>
    <mergeCell ref="A1466:C1466"/>
    <mergeCell ref="A1467:B1467"/>
    <mergeCell ref="A1468:D1468"/>
    <mergeCell ref="A1469:B1469"/>
    <mergeCell ref="C1469:D1469"/>
    <mergeCell ref="A1470:B1470"/>
    <mergeCell ref="C1470:D1470"/>
    <mergeCell ref="A1471:B1471"/>
    <mergeCell ref="C1471:D1471"/>
    <mergeCell ref="A1472:B1472"/>
    <mergeCell ref="C1472:D1472"/>
    <mergeCell ref="A1473:B1473"/>
    <mergeCell ref="C1473:D1473"/>
    <mergeCell ref="A1474:B1474"/>
    <mergeCell ref="C1474:D1474"/>
    <mergeCell ref="A1475:B1475"/>
    <mergeCell ref="C1475:D1475"/>
    <mergeCell ref="A1476:B1476"/>
    <mergeCell ref="C1476:D1476"/>
    <mergeCell ref="A1477:B1477"/>
    <mergeCell ref="C1477:D1477"/>
    <mergeCell ref="A1478:B1478"/>
    <mergeCell ref="C1478:D1478"/>
    <mergeCell ref="A1479:B1479"/>
    <mergeCell ref="C1479:D1479"/>
    <mergeCell ref="A1480:B1480"/>
    <mergeCell ref="C1480:D1480"/>
    <mergeCell ref="A1481:B1481"/>
    <mergeCell ref="C1481:D1481"/>
    <mergeCell ref="A1482:B1482"/>
    <mergeCell ref="C1482:D1482"/>
    <mergeCell ref="A1483:B1483"/>
    <mergeCell ref="C1483:D1483"/>
    <mergeCell ref="A1484:B1484"/>
    <mergeCell ref="C1484:D1484"/>
    <mergeCell ref="A1485:B1485"/>
    <mergeCell ref="C1485:D1485"/>
    <mergeCell ref="A1486:B1486"/>
    <mergeCell ref="C1486:D1486"/>
    <mergeCell ref="A1487:B1487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A1492:B1492"/>
    <mergeCell ref="C1492:D1492"/>
    <mergeCell ref="A1493:B1493"/>
    <mergeCell ref="C1493:D1493"/>
    <mergeCell ref="A1494:B1494"/>
    <mergeCell ref="C1494:D1494"/>
    <mergeCell ref="A1495:B1495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A1501:B1501"/>
    <mergeCell ref="C1501:D1501"/>
    <mergeCell ref="A1502:B1502"/>
    <mergeCell ref="A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A1509:B1509"/>
    <mergeCell ref="C1509:D1509"/>
    <mergeCell ref="A1510:B1510"/>
    <mergeCell ref="C1510:D1510"/>
    <mergeCell ref="A1511:C1511"/>
    <mergeCell ref="A1512:C1512"/>
    <mergeCell ref="A1513:B1513"/>
    <mergeCell ref="A1514:D1514"/>
    <mergeCell ref="A1515:B1515"/>
    <mergeCell ref="C1515:D1515"/>
    <mergeCell ref="A1516:B1516"/>
    <mergeCell ref="C1516:D1516"/>
    <mergeCell ref="A1517:B1517"/>
    <mergeCell ref="C1517:D1517"/>
    <mergeCell ref="A1518:B1518"/>
    <mergeCell ref="C1518:D1518"/>
    <mergeCell ref="A1519:B1519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A1524:B1524"/>
    <mergeCell ref="C1524:D1524"/>
    <mergeCell ref="A1525:B1525"/>
    <mergeCell ref="C1525:D1525"/>
    <mergeCell ref="A1526:B1526"/>
    <mergeCell ref="C1526:D1526"/>
    <mergeCell ref="A1527:B1527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A1541:B1541"/>
    <mergeCell ref="C1541:D1541"/>
    <mergeCell ref="A1542:B1542"/>
    <mergeCell ref="C1542:D1542"/>
    <mergeCell ref="A1543:B1543"/>
    <mergeCell ref="C1543:D1543"/>
    <mergeCell ref="A1544:B1544"/>
    <mergeCell ref="C1544:D1544"/>
    <mergeCell ref="A1545:B1545"/>
    <mergeCell ref="C1545:D1545"/>
    <mergeCell ref="A1546:B1546"/>
    <mergeCell ref="C1546:D1546"/>
    <mergeCell ref="A1547:B1547"/>
    <mergeCell ref="C1547:D1547"/>
    <mergeCell ref="A1548:B1548"/>
    <mergeCell ref="A1549:D1549"/>
    <mergeCell ref="A1550:B1550"/>
    <mergeCell ref="C1550:D1550"/>
    <mergeCell ref="A1551:B1551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A1556:B1556"/>
    <mergeCell ref="C1556:D1556"/>
    <mergeCell ref="A1557:C1557"/>
    <mergeCell ref="A1558:C1558"/>
    <mergeCell ref="A1559:B1559"/>
    <mergeCell ref="A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A1565:B1565"/>
    <mergeCell ref="C1565:D1565"/>
    <mergeCell ref="A1566:B1566"/>
    <mergeCell ref="C1566:D1566"/>
    <mergeCell ref="A1567:B156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A1573:B1573"/>
    <mergeCell ref="C1573:D1573"/>
    <mergeCell ref="A1574:B1574"/>
    <mergeCell ref="C1574:D1574"/>
    <mergeCell ref="A1575:B1575"/>
    <mergeCell ref="C1575:D1575"/>
    <mergeCell ref="A1576:B1576"/>
    <mergeCell ref="C1576:D1576"/>
    <mergeCell ref="A1577:B1577"/>
    <mergeCell ref="C1577:D1577"/>
    <mergeCell ref="A1578:B1578"/>
    <mergeCell ref="C1578:D1578"/>
    <mergeCell ref="A1579:B1579"/>
    <mergeCell ref="C1579:D1579"/>
    <mergeCell ref="A1580:B1580"/>
    <mergeCell ref="C1580:D1580"/>
    <mergeCell ref="A1581:B1581"/>
    <mergeCell ref="C1581:D1581"/>
    <mergeCell ref="A1582:B1582"/>
    <mergeCell ref="C1582:D1582"/>
    <mergeCell ref="A1583:B1583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A1588:B1588"/>
    <mergeCell ref="C1588:D1588"/>
    <mergeCell ref="A1589:B1589"/>
    <mergeCell ref="C1589:D1589"/>
    <mergeCell ref="A1590:B1590"/>
    <mergeCell ref="C1590:D1590"/>
    <mergeCell ref="A1591:B1591"/>
    <mergeCell ref="C1591:D1591"/>
    <mergeCell ref="A1592:B1592"/>
    <mergeCell ref="C1592:D1592"/>
    <mergeCell ref="A1593:B1593"/>
    <mergeCell ref="C1593:D1593"/>
    <mergeCell ref="A1594:B1594"/>
    <mergeCell ref="A1595:D1595"/>
    <mergeCell ref="A1596:B1596"/>
    <mergeCell ref="C1596:D1596"/>
    <mergeCell ref="A1597:B1597"/>
    <mergeCell ref="C1597:D1597"/>
    <mergeCell ref="A1598:B1598"/>
    <mergeCell ref="C1598:D1598"/>
    <mergeCell ref="A1599:B1599"/>
    <mergeCell ref="C1599:D1599"/>
    <mergeCell ref="A1600:B1600"/>
    <mergeCell ref="C1600:D1600"/>
    <mergeCell ref="A1601:B1601"/>
    <mergeCell ref="C1601:D1601"/>
    <mergeCell ref="A1602:B1602"/>
    <mergeCell ref="C1602:D160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EBEA-C1A3-4157-BFDF-67CAB260BBE0}">
  <dimension ref="A1:C31"/>
  <sheetViews>
    <sheetView tabSelected="1" topLeftCell="A11" workbookViewId="0">
      <selection activeCell="C16" sqref="C16"/>
    </sheetView>
  </sheetViews>
  <sheetFormatPr defaultRowHeight="13" x14ac:dyDescent="0.3"/>
  <cols>
    <col min="2" max="2" width="55.5" customWidth="1"/>
    <col min="3" max="3" width="83.796875" customWidth="1"/>
  </cols>
  <sheetData>
    <row r="1" spans="1:3" ht="39" x14ac:dyDescent="0.3">
      <c r="A1" t="str">
        <f>'Table 1'!AO2</f>
        <v>JS3010</v>
      </c>
      <c r="B1" s="34" t="str">
        <f>IF('Table 1'!AS2="","比重10:"&amp;'Table 1'!AQ2&amp;CHAR(10)&amp;"比重7:其他","比重10:"&amp;'Table 1'!AQ2&amp;CHAR(10)&amp;"比重7:"&amp;'Table 1'!AR2&amp;CHAR(10)&amp;"比重5:"&amp;"其他")</f>
        <v>比重10:BIO, CHEM, ENG, MATH
比重7:中文, 通, M2, PHY
比重5:其他</v>
      </c>
      <c r="C1" s="34" t="s">
        <v>229</v>
      </c>
    </row>
    <row r="2" spans="1:3" ht="39" x14ac:dyDescent="0.3">
      <c r="A2" t="str">
        <f>'Table 1'!AO3</f>
        <v>JS3020</v>
      </c>
      <c r="B2" s="34" t="str">
        <f>IF('Table 1'!AS3="","比重10:"&amp;'Table 1'!AQ3&amp;CHAR(10)&amp;"比重7:其他","比重10:"&amp;'Table 1'!AQ3&amp;CHAR(10)&amp;"比重7:"&amp;'Table 1'!AR3&amp;CHAR(10)&amp;"比重5:"&amp;"其他")</f>
        <v>比重10:ENG, MATH
比重7:BIO, BAFS, CHEM, 中文, ECON, ICT, 通, M2, PHY
比重5:其他</v>
      </c>
      <c r="C2" s="34" t="s">
        <v>230</v>
      </c>
    </row>
    <row r="3" spans="1:3" ht="39" x14ac:dyDescent="0.3">
      <c r="A3" t="str">
        <f>'Table 1'!AO4</f>
        <v>JS3050</v>
      </c>
      <c r="B3" s="34" t="str">
        <f>IF('Table 1'!AS4="","比重10:"&amp;'Table 1'!AQ4&amp;CHAR(10)&amp;"比重7:其他","比重10:"&amp;'Table 1'!AQ4&amp;CHAR(10)&amp;"比重7:"&amp;'Table 1'!AR4&amp;CHAR(10)&amp;"比重5:"&amp;"其他")</f>
        <v>比重10:ECON, VA
比重7:中文, ENG, 通, MATH, M2
比重5:其他</v>
      </c>
      <c r="C3" s="34" t="s">
        <v>231</v>
      </c>
    </row>
    <row r="4" spans="1:3" ht="52" x14ac:dyDescent="0.3">
      <c r="A4" t="str">
        <f>'Table 1'!AO5</f>
        <v>JS3060</v>
      </c>
      <c r="B4" s="34" t="str">
        <f>IF('Table 1'!AS5="","比重10:"&amp;'Table 1'!AQ5&amp;CHAR(10)&amp;"比重7:其他","比重10:"&amp;'Table 1'!AQ5&amp;CHAR(10)&amp;"比重7:"&amp;'Table 1'!AR5&amp;CHAR(10)&amp;"比重5:"&amp;"其他")</f>
        <v>比重10:ENG, MATH
比重7:BIO, BAFS, CHEM, 中史, 中文, ECON, GEOG, HIST, 通, M2, PHY
比重5:其他</v>
      </c>
      <c r="C4" s="34" t="s">
        <v>232</v>
      </c>
    </row>
    <row r="5" spans="1:3" ht="52" x14ac:dyDescent="0.3">
      <c r="A5" t="str">
        <f>'Table 1'!AO6</f>
        <v>JS3070</v>
      </c>
      <c r="B5" s="34" t="str">
        <f>IF('Table 1'!AS6="","比重10:"&amp;'Table 1'!AQ6&amp;CHAR(10)&amp;"比重7:其他","比重10:"&amp;'Table 1'!AQ6&amp;CHAR(10)&amp;"比重7:"&amp;'Table 1'!AR6&amp;CHAR(10)&amp;"比重5:"&amp;"其他")</f>
        <v>比重10:ENG, MATH
比重7:BIO, BAFS, CHEM, 中史, 中文, ECON, GEOG, HIST, 通, M2, PHY
比重5:其他</v>
      </c>
      <c r="C5" s="34" t="s">
        <v>232</v>
      </c>
    </row>
    <row r="6" spans="1:3" ht="52" x14ac:dyDescent="0.3">
      <c r="A6" t="str">
        <f>'Table 1'!AO7</f>
        <v>JS3080</v>
      </c>
      <c r="B6" s="34" t="str">
        <f>IF('Table 1'!AS7="","比重10:"&amp;'Table 1'!AQ7&amp;CHAR(10)&amp;"比重7:其他","比重10:"&amp;'Table 1'!AQ7&amp;CHAR(10)&amp;"比重7:"&amp;'Table 1'!AR7&amp;CHAR(10)&amp;"比重5:"&amp;"其他")</f>
        <v>比重10:ENG, MATH
比重7:BIO, BAFS, CHEM, 中史, 中文, ECON, GEOG, HIST, 通, M2, PHY
比重5:其他</v>
      </c>
      <c r="C6" s="34" t="s">
        <v>232</v>
      </c>
    </row>
    <row r="7" spans="1:3" ht="52" x14ac:dyDescent="0.3">
      <c r="A7" t="str">
        <f>'Table 1'!AO8</f>
        <v>JS3100</v>
      </c>
      <c r="B7" s="34" t="str">
        <f>IF('Table 1'!AS8="","比重10:"&amp;'Table 1'!AQ8&amp;CHAR(10)&amp;"比重7:其他","比重10:"&amp;'Table 1'!AQ8&amp;CHAR(10)&amp;"比重7:"&amp;'Table 1'!AR8&amp;CHAR(10)&amp;"比重5:"&amp;"其他")</f>
        <v>比重10:ENG
比重7:BIO, BAFS, CHEM, 中史, 中文, ECON, GEOG, HMSC, HIST, ICT, 通, MATH, M2, PHY
比重5:其他</v>
      </c>
      <c r="C7" s="34" t="s">
        <v>233</v>
      </c>
    </row>
    <row r="8" spans="1:3" ht="52" x14ac:dyDescent="0.3">
      <c r="A8" t="str">
        <f>'Table 1'!AO9</f>
        <v>JS3110</v>
      </c>
      <c r="B8" s="34" t="str">
        <f>IF('Table 1'!AS9="","比重10:"&amp;'Table 1'!AQ9&amp;CHAR(10)&amp;"比重7:其他","比重10:"&amp;'Table 1'!AQ9&amp;CHAR(10)&amp;"比重7:"&amp;'Table 1'!AR9&amp;CHAR(10)&amp;"比重5:"&amp;"其他")</f>
        <v>比重10:ENG, MATH, PHY
比重7:BIO, BAFS, CHEM, 中文, ECON, GEOG, HMSC, ICT, 通, M2
比重5:其他</v>
      </c>
      <c r="C8" s="34" t="s">
        <v>234</v>
      </c>
    </row>
    <row r="9" spans="1:3" ht="52" x14ac:dyDescent="0.3">
      <c r="A9" t="str">
        <f>'Table 1'!AO10</f>
        <v>JS3120</v>
      </c>
      <c r="B9" s="34" t="str">
        <f>IF('Table 1'!AS10="","比重10:"&amp;'Table 1'!AQ10&amp;CHAR(10)&amp;"比重7:其他","比重10:"&amp;'Table 1'!AQ10&amp;CHAR(10)&amp;"比重7:"&amp;'Table 1'!AR10&amp;CHAR(10)&amp;"比重5:"&amp;"其他")</f>
        <v>比重10:BIO, CHEM, 中文, ECON, ENG, GEOG, MATH, M2, PHY
比重7:ICT, 通
比重5:其他</v>
      </c>
      <c r="C9" s="34" t="s">
        <v>235</v>
      </c>
    </row>
    <row r="10" spans="1:3" ht="26" x14ac:dyDescent="0.3">
      <c r="A10" t="str">
        <f>'Table 1'!AO11</f>
        <v>JS3130</v>
      </c>
      <c r="B10" s="34" t="str">
        <f>IF('Table 1'!AS11="","比重10:"&amp;'Table 1'!AQ11&amp;CHAR(10)&amp;"比重7:其他","比重10:"&amp;'Table 1'!AQ11&amp;CHAR(10)&amp;"比重7:"&amp;'Table 1'!AR11&amp;CHAR(10)&amp;"比重5:"&amp;"其他")</f>
        <v>比重10:ENG, GEOG, ICT, MATH, M2, PHY
比重7:其他</v>
      </c>
      <c r="C10" s="34" t="s">
        <v>236</v>
      </c>
    </row>
    <row r="11" spans="1:3" ht="39" x14ac:dyDescent="0.3">
      <c r="A11" t="str">
        <f>'Table 1'!AO12</f>
        <v>JS3140</v>
      </c>
      <c r="B11" s="34" t="str">
        <f>IF('Table 1'!AS12="","比重10:"&amp;'Table 1'!AQ12&amp;CHAR(10)&amp;"比重7:其他","比重10:"&amp;'Table 1'!AQ12&amp;CHAR(10)&amp;"比重7:"&amp;'Table 1'!AR12&amp;CHAR(10)&amp;"比重5:"&amp;"其他")</f>
        <v>比重10:CHEM, ENG, ICT, MATH, M2, PHY
比重7:BIO, 中文, 通
比重5:其他</v>
      </c>
      <c r="C11" s="34" t="s">
        <v>237</v>
      </c>
    </row>
    <row r="12" spans="1:3" ht="39" x14ac:dyDescent="0.3">
      <c r="A12" t="str">
        <f>'Table 1'!AO13</f>
        <v>JS3150</v>
      </c>
      <c r="B12" s="34" t="str">
        <f>IF('Table 1'!AS13="","比重10:"&amp;'Table 1'!AQ13&amp;CHAR(10)&amp;"比重7:其他","比重10:"&amp;'Table 1'!AQ13&amp;CHAR(10)&amp;"比重7:"&amp;'Table 1'!AR13&amp;CHAR(10)&amp;"比重5:"&amp;"其他")</f>
        <v>比重10:BIO, CHEM, MATH, M2, PHY
比重7:中文, ENG, 通
比重5:其他</v>
      </c>
      <c r="C12" s="34" t="s">
        <v>238</v>
      </c>
    </row>
    <row r="13" spans="1:3" ht="39" x14ac:dyDescent="0.3">
      <c r="A13" t="str">
        <f>'Table 1'!AO14</f>
        <v>JS3170</v>
      </c>
      <c r="B13" s="34" t="str">
        <f>IF('Table 1'!AS14="","比重10:"&amp;'Table 1'!AQ14&amp;CHAR(10)&amp;"比重7:其他","比重10:"&amp;'Table 1'!AQ14&amp;CHAR(10)&amp;"比重7:"&amp;'Table 1'!AR14&amp;CHAR(10)&amp;"比重5:"&amp;"其他")</f>
        <v>比重10:BIO, CHEM, ENG, ICT, MATH, M2, PHY
比重7:BAFS, 中文, ECON, 通
比重5:其他</v>
      </c>
      <c r="C13" s="34" t="s">
        <v>239</v>
      </c>
    </row>
    <row r="14" spans="1:3" ht="39" x14ac:dyDescent="0.3">
      <c r="A14" t="str">
        <f>'Table 1'!AO15</f>
        <v>JS3180</v>
      </c>
      <c r="B14" s="34" t="str">
        <f>IF('Table 1'!AS15="","比重10:"&amp;'Table 1'!AQ15&amp;CHAR(10)&amp;"比重7:其他","比重10:"&amp;'Table 1'!AQ15&amp;CHAR(10)&amp;"比重7:"&amp;'Table 1'!AR15&amp;CHAR(10)&amp;"比重5:"&amp;"其他")</f>
        <v>比重10:BIO, CHEM, ENG, ICT, MATH, M2, PHY
比重7:中文, 通
比重5:其他</v>
      </c>
      <c r="C14" s="34" t="s">
        <v>240</v>
      </c>
    </row>
    <row r="15" spans="1:3" ht="39" x14ac:dyDescent="0.3">
      <c r="A15" t="str">
        <f>'Table 1'!AO16</f>
        <v>JS3240</v>
      </c>
      <c r="B15" s="34" t="str">
        <f>IF('Table 1'!AS16="","比重10:"&amp;'Table 1'!AQ16&amp;CHAR(10)&amp;"比重7:其他","比重10:"&amp;'Table 1'!AQ16&amp;CHAR(10)&amp;"比重7:"&amp;'Table 1'!AR16&amp;CHAR(10)&amp;"比重5:"&amp;"其他")</f>
        <v>比重10:中文, ENG
比重7:BAFS, 中史, GEOG, HMSC, HIST, ICT, 通, MATH, VA
比重5:其他</v>
      </c>
      <c r="C15" s="34" t="s">
        <v>241</v>
      </c>
    </row>
    <row r="16" spans="1:3" ht="26" x14ac:dyDescent="0.3">
      <c r="A16" t="str">
        <f>'Table 1'!AO17</f>
        <v>JS3250</v>
      </c>
      <c r="B16" s="34" t="str">
        <f>IF('Table 1'!AS17="","比重10:"&amp;'Table 1'!AQ17&amp;CHAR(10)&amp;"比重7:其他","比重10:"&amp;'Table 1'!AQ17&amp;CHAR(10)&amp;"比重7:"&amp;'Table 1'!AR17&amp;CHAR(10)&amp;"比重5:"&amp;"其他")</f>
        <v>比重10:
比重7:其他</v>
      </c>
      <c r="C16" s="35" t="s">
        <v>254</v>
      </c>
    </row>
    <row r="17" spans="1:3" ht="39" x14ac:dyDescent="0.3">
      <c r="A17" t="str">
        <f>'Table 1'!AO18</f>
        <v>JS3290</v>
      </c>
      <c r="B17" s="34" t="str">
        <f>IF('Table 1'!AS18="","比重10:"&amp;'Table 1'!AQ18&amp;CHAR(10)&amp;"比重7:其他","比重10:"&amp;'Table 1'!AQ18&amp;CHAR(10)&amp;"比重7:"&amp;'Table 1'!AR18&amp;CHAR(10)&amp;"比重5:"&amp;"其他")</f>
        <v>比重10:BIO, CHEM, ENG, MATH, M2, PHY
比重7:中文, 通
比重5:其他</v>
      </c>
      <c r="C17" s="34" t="s">
        <v>242</v>
      </c>
    </row>
    <row r="18" spans="1:3" ht="26" x14ac:dyDescent="0.3">
      <c r="A18" t="str">
        <f>'Table 1'!AO19</f>
        <v>JS3310</v>
      </c>
      <c r="B18" s="34" t="str">
        <f>IF('Table 1'!AS19="","比重10:"&amp;'Table 1'!AQ19&amp;CHAR(10)&amp;"比重7:其他","比重10:"&amp;'Table 1'!AQ19&amp;CHAR(10)&amp;"比重7:"&amp;'Table 1'!AR19&amp;CHAR(10)&amp;"比重5:"&amp;"其他")</f>
        <v>比重10:ENG
比重7:其他</v>
      </c>
      <c r="C18" s="34" t="s">
        <v>243</v>
      </c>
    </row>
    <row r="19" spans="1:3" ht="39" x14ac:dyDescent="0.3">
      <c r="A19" t="str">
        <f>'Table 1'!AO20</f>
        <v>JS3320</v>
      </c>
      <c r="B19" s="34" t="str">
        <f>IF('Table 1'!AS20="","比重10:"&amp;'Table 1'!AQ20&amp;CHAR(10)&amp;"比重7:其他","比重10:"&amp;'Table 1'!AQ20&amp;CHAR(10)&amp;"比重7:"&amp;'Table 1'!AR20&amp;CHAR(10)&amp;"比重5:"&amp;"其他")</f>
        <v>比重10:中史, 中文, ENG, HIST
比重7:通, MATH
比重5:其他</v>
      </c>
      <c r="C19" s="34" t="s">
        <v>244</v>
      </c>
    </row>
    <row r="20" spans="1:3" ht="52" x14ac:dyDescent="0.3">
      <c r="A20" t="str">
        <f>'Table 1'!AO21</f>
        <v>JS3330</v>
      </c>
      <c r="B20" s="34" t="str">
        <f>IF('Table 1'!AS21="","比重10:"&amp;'Table 1'!AQ21&amp;CHAR(10)&amp;"比重7:其他","比重10:"&amp;'Table 1'!AQ21&amp;CHAR(10)&amp;"比重7:"&amp;'Table 1'!AR21&amp;CHAR(10)&amp;"比重5:"&amp;"其他")</f>
        <v>比重10:中文, ENG, MATH
比重7:BIO, BAFS, CHEM, 中史, ECON, GEOG, HMSC, HIST, ICT, 通, M2, PHY
比重5:其他</v>
      </c>
      <c r="C20" s="34" t="s">
        <v>245</v>
      </c>
    </row>
    <row r="21" spans="1:3" ht="26" x14ac:dyDescent="0.3">
      <c r="A21" t="str">
        <f>'Table 1'!AO22</f>
        <v>JS3337</v>
      </c>
      <c r="B21" s="34" t="str">
        <f>IF('Table 1'!AS22="","比重10:"&amp;'Table 1'!AQ22&amp;CHAR(10)&amp;"比重7:其他","比重10:"&amp;'Table 1'!AQ22&amp;CHAR(10)&amp;"比重7:"&amp;'Table 1'!AR22&amp;CHAR(10)&amp;"比重5:"&amp;"其他")</f>
        <v>比重10:BIO, 中文, ENG, 通, MATH
比重7:其他</v>
      </c>
      <c r="C21" s="34" t="s">
        <v>246</v>
      </c>
    </row>
    <row r="22" spans="1:3" ht="39" x14ac:dyDescent="0.3">
      <c r="A22" t="str">
        <f>'Table 1'!AO23</f>
        <v>JS3478</v>
      </c>
      <c r="B22" s="34" t="str">
        <f>IF('Table 1'!AS23="","比重10:"&amp;'Table 1'!AQ23&amp;CHAR(10)&amp;"比重7:其他","比重10:"&amp;'Table 1'!AQ23&amp;CHAR(10)&amp;"比重7:"&amp;'Table 1'!AR23&amp;CHAR(10)&amp;"比重5:"&amp;"其他")</f>
        <v>比重10:BIO, CHEM, 中文, ENG, MATH, M2
比重7:通, PHY
比重5:其他</v>
      </c>
      <c r="C22" s="34" t="s">
        <v>247</v>
      </c>
    </row>
    <row r="23" spans="1:3" ht="39" x14ac:dyDescent="0.3">
      <c r="A23" t="str">
        <f>'Table 1'!AO24</f>
        <v>JS3557</v>
      </c>
      <c r="B23" s="34" t="str">
        <f>IF('Table 1'!AS24="","比重10:"&amp;'Table 1'!AQ24&amp;CHAR(10)&amp;"比重7:其他","比重10:"&amp;'Table 1'!AQ24&amp;CHAR(10)&amp;"比重7:"&amp;'Table 1'!AR24&amp;CHAR(10)&amp;"比重5:"&amp;"其他")</f>
        <v>比重10:ENG, MATH
比重7:中文, 通
比重5:其他</v>
      </c>
      <c r="C23" s="34" t="s">
        <v>248</v>
      </c>
    </row>
    <row r="24" spans="1:3" ht="39" x14ac:dyDescent="0.3">
      <c r="A24" t="str">
        <f>'Table 1'!AO25</f>
        <v>JS3569</v>
      </c>
      <c r="B24" s="34" t="str">
        <f>IF('Table 1'!AS25="","比重10:"&amp;'Table 1'!AQ25&amp;CHAR(10)&amp;"比重7:其他","比重10:"&amp;'Table 1'!AQ25&amp;CHAR(10)&amp;"比重7:"&amp;'Table 1'!AR25&amp;CHAR(10)&amp;"比重5:"&amp;"其他")</f>
        <v>比重10:中文, ENG, ICT, 通, MATH, VA
比重7:BAFS, ECON, HIST
比重5:其他</v>
      </c>
      <c r="C24" s="34" t="s">
        <v>249</v>
      </c>
    </row>
    <row r="25" spans="1:3" ht="39" x14ac:dyDescent="0.3">
      <c r="A25" t="str">
        <f>'Table 1'!AO26</f>
        <v>JS3571</v>
      </c>
      <c r="B25" s="34" t="str">
        <f>IF('Table 1'!AS26="","比重10:"&amp;'Table 1'!AQ26&amp;CHAR(10)&amp;"比重7:其他","比重10:"&amp;'Table 1'!AQ26&amp;CHAR(10)&amp;"比重7:"&amp;'Table 1'!AR26&amp;CHAR(10)&amp;"比重5:"&amp;"其他")</f>
        <v>比重10:ENG, MATH
比重7:中文, 通
比重5:其他</v>
      </c>
      <c r="C25" s="34" t="s">
        <v>248</v>
      </c>
    </row>
    <row r="26" spans="1:3" ht="39" x14ac:dyDescent="0.3">
      <c r="A26" t="str">
        <f>'Table 1'!AO27</f>
        <v>JS3612</v>
      </c>
      <c r="B26" s="34" t="str">
        <f>IF('Table 1'!AS27="","比重10:"&amp;'Table 1'!AQ27&amp;CHAR(10)&amp;"比重7:其他","比重10:"&amp;'Table 1'!AQ27&amp;CHAR(10)&amp;"比重7:"&amp;'Table 1'!AR27&amp;CHAR(10)&amp;"比重5:"&amp;"其他")</f>
        <v>比重10:BIO, CHEM, 中文, ENG, MATH, PHY
比重7:通, M2
比重5:其他</v>
      </c>
      <c r="C26" s="34" t="s">
        <v>250</v>
      </c>
    </row>
    <row r="27" spans="1:3" ht="52" x14ac:dyDescent="0.3">
      <c r="A27" t="str">
        <f>'Table 1'!AO28</f>
        <v>JS3624</v>
      </c>
      <c r="B27" s="34" t="str">
        <f>IF('Table 1'!AS28="","比重10:"&amp;'Table 1'!AQ28&amp;CHAR(10)&amp;"比重7:其他","比重10:"&amp;'Table 1'!AQ28&amp;CHAR(10)&amp;"比重7:"&amp;'Table 1'!AR28&amp;CHAR(10)&amp;"比重5:"&amp;"其他")</f>
        <v>比重10:BIO, 中文, ENG, PHY
比重7:CHEM, 中史, ECON, GEOG, HMSC, HIST, ICT, 通, MATH, M2
比重5:其他</v>
      </c>
      <c r="C27" s="34" t="s">
        <v>251</v>
      </c>
    </row>
    <row r="28" spans="1:3" ht="39" x14ac:dyDescent="0.3">
      <c r="A28" t="str">
        <f>'Table 1'!AO29</f>
        <v>JS3636</v>
      </c>
      <c r="B28" s="34" t="str">
        <f>IF('Table 1'!AS29="","比重10:"&amp;'Table 1'!AQ29&amp;CHAR(10)&amp;"比重7:其他","比重10:"&amp;'Table 1'!AQ29&amp;CHAR(10)&amp;"比重7:"&amp;'Table 1'!AR29&amp;CHAR(10)&amp;"比重5:"&amp;"其他")</f>
        <v>比重10:BIO, 中文, ENG, PHY
比重7:CHEM, HMSC, 通, MATH
比重5:其他</v>
      </c>
      <c r="C28" s="34" t="s">
        <v>252</v>
      </c>
    </row>
    <row r="29" spans="1:3" ht="26" x14ac:dyDescent="0.3">
      <c r="A29" t="str">
        <f>'Table 1'!AO30</f>
        <v>JS3648</v>
      </c>
      <c r="B29" s="34" t="str">
        <f>IF('Table 1'!AS30="","比重10:"&amp;'Table 1'!AQ30&amp;CHAR(10)&amp;"比重7:其他","比重10:"&amp;'Table 1'!AQ30&amp;CHAR(10)&amp;"比重7:"&amp;'Table 1'!AR30&amp;CHAR(10)&amp;"比重5:"&amp;"其他")</f>
        <v>比重10:BIO, 中文, ENG, 通, MATH
比重7:其他</v>
      </c>
      <c r="C29" s="34" t="s">
        <v>246</v>
      </c>
    </row>
    <row r="30" spans="1:3" ht="39" x14ac:dyDescent="0.3">
      <c r="A30" t="str">
        <f>'Table 1'!AO31</f>
        <v>JS3741</v>
      </c>
      <c r="B30" s="34" t="str">
        <f>IF('Table 1'!AS31="","比重10:"&amp;'Table 1'!AQ31&amp;CHAR(10)&amp;"比重7:其他","比重10:"&amp;'Table 1'!AQ31&amp;CHAR(10)&amp;"比重7:"&amp;'Table 1'!AR31&amp;CHAR(10)&amp;"比重5:"&amp;"其他")</f>
        <v>比重10:BIO, CHEM, ENG, ICT, MATH, M2, PHY
比重7:中文, 通
比重5:其他</v>
      </c>
      <c r="C30" s="34" t="s">
        <v>240</v>
      </c>
    </row>
    <row r="31" spans="1:3" ht="39" x14ac:dyDescent="0.3">
      <c r="A31" t="str">
        <f>'Table 1'!AO32</f>
        <v>JS3868</v>
      </c>
      <c r="B31" s="34" t="str">
        <f>IF('Table 1'!AS32="","比重10:"&amp;'Table 1'!AQ32&amp;CHAR(10)&amp;"比重7:其他","比重10:"&amp;'Table 1'!AQ32&amp;CHAR(10)&amp;"比重7:"&amp;'Table 1'!AR32&amp;CHAR(10)&amp;"比重5:"&amp;"其他")</f>
        <v>比重10:BIO, BAFS, CHEM, ECON, ENG, ICT, MATH, M2, PHY
比重7:其他</v>
      </c>
      <c r="C31" s="34" t="s">
        <v>253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608953B292F9F4EAF7362D9AB3B3A2D" ma:contentTypeVersion="21" ma:contentTypeDescription="建立新的文件。" ma:contentTypeScope="" ma:versionID="9c71ba464fe62f92d4cc9e4a602bedd3">
  <xsd:schema xmlns:xsd="http://www.w3.org/2001/XMLSchema" xmlns:xs="http://www.w3.org/2001/XMLSchema" xmlns:p="http://schemas.microsoft.com/office/2006/metadata/properties" xmlns:ns2="85956803-f0aa-4b9a-bfd5-e96fce39ee70" xmlns:ns3="5e1bbf1d-95f2-4197-87fa-f4c2741eba02" targetNamespace="http://schemas.microsoft.com/office/2006/metadata/properties" ma:root="true" ma:fieldsID="65237dcab87c4f8f411b3268241f102c" ns2:_="" ns3:_="">
    <xsd:import namespace="85956803-f0aa-4b9a-bfd5-e96fce39ee70"/>
    <xsd:import namespace="5e1bbf1d-95f2-4197-87fa-f4c2741eb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56803-f0aa-4b9a-bfd5-e96fce39ee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bbf1d-95f2-4197-87fa-f4c2741eba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4313b9-6f12-4955-a8c9-2c74ce9fd698}" ma:internalName="TaxCatchAll" ma:showField="CatchAllData" ma:web="5e1bbf1d-95f2-4197-87fa-f4c2741eb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56803-f0aa-4b9a-bfd5-e96fce39ee70">
      <Terms xmlns="http://schemas.microsoft.com/office/infopath/2007/PartnerControls"/>
    </lcf76f155ced4ddcb4097134ff3c332f>
    <TaxCatchAll xmlns="5e1bbf1d-95f2-4197-87fa-f4c2741eba02" xsi:nil="true"/>
  </documentManagement>
</p:properties>
</file>

<file path=customXml/itemProps1.xml><?xml version="1.0" encoding="utf-8"?>
<ds:datastoreItem xmlns:ds="http://schemas.openxmlformats.org/officeDocument/2006/customXml" ds:itemID="{7C4D1119-04AD-4298-A6C0-1E96C41BC225}"/>
</file>

<file path=customXml/itemProps2.xml><?xml version="1.0" encoding="utf-8"?>
<ds:datastoreItem xmlns:ds="http://schemas.openxmlformats.org/officeDocument/2006/customXml" ds:itemID="{840BDCB3-5C04-4FCA-A4CF-C9AF02726A6B}"/>
</file>

<file path=customXml/itemProps3.xml><?xml version="1.0" encoding="utf-8"?>
<ds:datastoreItem xmlns:ds="http://schemas.openxmlformats.org/officeDocument/2006/customXml" ds:itemID="{172D1DBC-FA5C-495C-8562-AB1AA96A5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Mo-chee [AR]</dc:creator>
  <cp:lastModifiedBy>LAW KAI KWONG (Vice Principal)</cp:lastModifiedBy>
  <dcterms:created xsi:type="dcterms:W3CDTF">2024-06-23T10:13:31Z</dcterms:created>
  <dcterms:modified xsi:type="dcterms:W3CDTF">2024-06-24T05:21:13Z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Acrobat PDFMaker 23 for Excel</vt:lpwstr>
  </property>
  <property fmtid="{D5CDD505-2E9C-101B-9397-08002B2CF9AE}" pid="3" name="Producer">
    <vt:lpwstr>Adobe PDF Library 23.6.96</vt:lpwstr>
  </property>
  <property fmtid="{D5CDD505-2E9C-101B-9397-08002B2CF9AE}" pid="4" name="ContentTypeId">
    <vt:lpwstr>0x0101006608953B292F9F4EAF7362D9AB3B3A2D</vt:lpwstr>
  </property>
</Properties>
</file>