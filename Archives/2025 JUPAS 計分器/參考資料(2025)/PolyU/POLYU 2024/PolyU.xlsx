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KLAW\Dropbox\Careers\JUPAS information\2023-2024\"/>
    </mc:Choice>
  </mc:AlternateContent>
  <xr:revisionPtr revIDLastSave="0" documentId="13_ncr:1_{FD3024A4-9269-4CE4-888D-40FF497B68E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able 1" sheetId="1" r:id="rId1"/>
    <sheet name="工作表1" sheetId="2" r:id="rId2"/>
  </sheets>
  <definedNames>
    <definedName name="_xlnm._FilterDatabase" localSheetId="1" hidden="1">工作表1!$A$2:$G$34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" i="1" l="1" a="1"/>
  <c r="AT2" i="1" s="1"/>
  <c r="AT3" i="1" a="1"/>
  <c r="AT3" i="1" s="1"/>
  <c r="AT4" i="1" a="1"/>
  <c r="AT4" i="1" s="1"/>
  <c r="AT5" i="1" a="1"/>
  <c r="AT5" i="1" s="1"/>
  <c r="AT6" i="1" a="1"/>
  <c r="AT6" i="1" s="1"/>
  <c r="AT7" i="1" a="1"/>
  <c r="AT7" i="1" s="1"/>
  <c r="AT8" i="1" a="1"/>
  <c r="AT8" i="1" s="1"/>
  <c r="AT9" i="1" a="1"/>
  <c r="AT9" i="1" s="1"/>
  <c r="AT10" i="1" a="1"/>
  <c r="AT10" i="1" s="1"/>
  <c r="AT11" i="1" a="1"/>
  <c r="AT11" i="1" s="1"/>
  <c r="AT12" i="1" a="1"/>
  <c r="AT12" i="1" s="1"/>
  <c r="AT13" i="1" a="1"/>
  <c r="AT13" i="1" s="1"/>
  <c r="AT14" i="1" a="1"/>
  <c r="AT14" i="1" s="1"/>
  <c r="AT15" i="1" a="1"/>
  <c r="AT15" i="1" s="1"/>
  <c r="AT16" i="1" a="1"/>
  <c r="AT16" i="1" s="1"/>
  <c r="AT17" i="1" a="1"/>
  <c r="AT17" i="1" s="1"/>
  <c r="AT18" i="1" a="1"/>
  <c r="AT18" i="1" s="1"/>
  <c r="AT19" i="1" a="1"/>
  <c r="AT19" i="1" s="1"/>
  <c r="AT20" i="1" a="1"/>
  <c r="AT20" i="1" s="1"/>
  <c r="AT21" i="1" a="1"/>
  <c r="AT21" i="1" s="1"/>
  <c r="AT22" i="1" a="1"/>
  <c r="AT22" i="1" s="1"/>
  <c r="AT23" i="1" a="1"/>
  <c r="AT23" i="1" s="1"/>
  <c r="AT24" i="1" a="1"/>
  <c r="AT24" i="1" s="1"/>
  <c r="AT25" i="1" a="1"/>
  <c r="AT25" i="1" s="1"/>
  <c r="AT26" i="1" a="1"/>
  <c r="AT26" i="1" s="1"/>
  <c r="AT27" i="1" a="1"/>
  <c r="AT27" i="1" s="1"/>
  <c r="AT28" i="1" a="1"/>
  <c r="AT28" i="1" s="1"/>
  <c r="AT29" i="1" a="1"/>
  <c r="AT29" i="1" s="1"/>
  <c r="AT30" i="1" a="1"/>
  <c r="AT30" i="1" s="1"/>
  <c r="AT31" i="1" a="1"/>
  <c r="AT31" i="1" s="1"/>
  <c r="AT32" i="1" a="1"/>
  <c r="AT32" i="1" s="1"/>
  <c r="AT33" i="1" a="1"/>
  <c r="AT33" i="1" s="1"/>
  <c r="AT34" i="1" a="1"/>
  <c r="AT34" i="1" s="1"/>
  <c r="AT35" i="1" a="1"/>
  <c r="AT35" i="1" s="1"/>
  <c r="AT36" i="1" a="1"/>
  <c r="AT36" i="1" s="1"/>
  <c r="AT37" i="1" a="1"/>
  <c r="AT37" i="1" s="1"/>
  <c r="AT38" i="1" a="1"/>
  <c r="AT38" i="1" s="1"/>
  <c r="AT39" i="1" a="1"/>
  <c r="AT39" i="1" s="1"/>
  <c r="AT40" i="1" a="1"/>
  <c r="AT40" i="1" s="1"/>
  <c r="AT41" i="1" a="1"/>
  <c r="AT41" i="1" s="1"/>
  <c r="AT42" i="1" a="1"/>
  <c r="AT42" i="1" s="1"/>
  <c r="AT43" i="1" a="1"/>
  <c r="AT43" i="1" s="1"/>
  <c r="AT44" i="1" a="1"/>
  <c r="AT44" i="1" s="1"/>
  <c r="AT45" i="1" a="1"/>
  <c r="AT45" i="1" s="1"/>
  <c r="AT46" i="1" a="1"/>
  <c r="AT46" i="1" s="1"/>
  <c r="AT47" i="1" a="1"/>
  <c r="AT47" i="1" s="1"/>
  <c r="AT48" i="1" a="1"/>
  <c r="AT48" i="1" s="1"/>
  <c r="AT49" i="1" a="1"/>
  <c r="AT49" i="1" s="1"/>
  <c r="AT50" i="1" a="1"/>
  <c r="AT50" i="1" s="1"/>
  <c r="AT51" i="1" a="1"/>
  <c r="AT51" i="1" s="1"/>
  <c r="AT52" i="1" a="1"/>
  <c r="AT52" i="1" s="1"/>
  <c r="AT53" i="1" a="1"/>
  <c r="AT53" i="1" s="1"/>
  <c r="AT54" i="1" a="1"/>
  <c r="AT54" i="1" s="1"/>
  <c r="AT55" i="1" a="1"/>
  <c r="AT55" i="1" s="1"/>
  <c r="AT56" i="1" a="1"/>
  <c r="AT56" i="1" s="1"/>
  <c r="AT57" i="1" a="1"/>
  <c r="AT57" i="1" s="1"/>
  <c r="AT58" i="1" a="1"/>
  <c r="AT58" i="1" s="1"/>
  <c r="AT59" i="1" a="1"/>
  <c r="AT59" i="1" s="1"/>
  <c r="AT60" i="1" a="1"/>
  <c r="AT60" i="1" s="1"/>
  <c r="AT61" i="1" a="1"/>
  <c r="AT61" i="1" s="1"/>
  <c r="AT62" i="1" a="1"/>
  <c r="AT62" i="1" s="1"/>
  <c r="AT63" i="1" a="1"/>
  <c r="AT63" i="1" s="1"/>
  <c r="AT64" i="1" a="1"/>
  <c r="AT64" i="1" s="1"/>
  <c r="AT65" i="1" a="1"/>
  <c r="AT65" i="1" s="1"/>
  <c r="AT66" i="1" a="1"/>
  <c r="AT66" i="1" s="1"/>
  <c r="AT67" i="1" a="1"/>
  <c r="AT67" i="1" s="1"/>
  <c r="AT68" i="1" a="1"/>
  <c r="AT68" i="1" s="1"/>
  <c r="AT1" i="1" a="1"/>
  <c r="AT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<sst xmlns="http://schemas.openxmlformats.org/spreadsheetml/2006/main" count="384" uniqueCount="214">
  <si>
    <r>
      <rPr>
        <b/>
        <sz val="9"/>
        <rFont val="Calibri"/>
        <family val="2"/>
      </rPr>
      <t>Scheme / Programme</t>
    </r>
  </si>
  <si>
    <r>
      <rPr>
        <b/>
        <sz val="9"/>
        <rFont val="Calibri"/>
        <family val="2"/>
      </rPr>
      <t>JUPAS Code</t>
    </r>
  </si>
  <si>
    <r>
      <rPr>
        <b/>
        <sz val="9"/>
        <rFont val="Calibri"/>
        <family val="2"/>
      </rPr>
      <t xml:space="preserve">Average HKDSE Score </t>
    </r>
    <r>
      <rPr>
        <b/>
        <sz val="9"/>
        <color rgb="FFC00000"/>
        <rFont val="Calibri"/>
        <family val="2"/>
      </rPr>
      <t xml:space="preserve">With </t>
    </r>
    <r>
      <rPr>
        <b/>
        <sz val="9"/>
        <rFont val="Calibri"/>
        <family val="2"/>
      </rPr>
      <t>Subject Weighting (23/24)</t>
    </r>
  </si>
  <si>
    <r>
      <rPr>
        <b/>
        <sz val="9"/>
        <rFont val="Calibri"/>
        <family val="2"/>
      </rPr>
      <t>Admission Score Calculation Mechanism</t>
    </r>
  </si>
  <si>
    <r>
      <rPr>
        <b/>
        <sz val="9"/>
        <rFont val="Calibri"/>
        <family val="2"/>
      </rPr>
      <t>Percentile</t>
    </r>
  </si>
  <si>
    <r>
      <rPr>
        <b/>
        <sz val="9"/>
        <rFont val="Calibri"/>
        <family val="2"/>
      </rPr>
      <t>HKDSE Score with Subject Weighting</t>
    </r>
  </si>
  <si>
    <r>
      <rPr>
        <b/>
        <sz val="9"/>
        <rFont val="Calibri"/>
        <family val="2"/>
      </rPr>
      <t>Accounting and Finance - BBA (Hons) Scheme</t>
    </r>
  </si>
  <si>
    <r>
      <rPr>
        <b/>
        <sz val="9"/>
        <rFont val="Calibri"/>
        <family val="2"/>
      </rPr>
      <t>JS3060</t>
    </r>
  </si>
  <si>
    <r>
      <rPr>
        <b/>
        <sz val="9"/>
        <rFont val="Calibri"/>
        <family val="2"/>
      </rPr>
      <t xml:space="preserve">184.3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</si>
  <si>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Any Best 5 Subjects</t>
    </r>
  </si>
  <si>
    <r>
      <rPr>
        <b/>
        <sz val="9"/>
        <rFont val="Calibri"/>
        <family val="2"/>
      </rPr>
      <t>Median</t>
    </r>
  </si>
  <si>
    <r>
      <rPr>
        <b/>
        <sz val="9"/>
        <rFont val="Calibri"/>
        <family val="2"/>
      </rPr>
      <t>Lower Quartile</t>
    </r>
  </si>
  <si>
    <r>
      <rPr>
        <b/>
        <sz val="9"/>
        <rFont val="Calibri"/>
        <family val="2"/>
      </rPr>
      <t>Applied Social Sciences - BA (Hons) Scheme</t>
    </r>
  </si>
  <si>
    <r>
      <rPr>
        <b/>
        <sz val="9"/>
        <rFont val="Calibri"/>
        <family val="2"/>
      </rPr>
      <t>JS3250</t>
    </r>
  </si>
  <si>
    <r>
      <rPr>
        <b/>
        <sz val="9"/>
        <rFont val="Calibri"/>
        <family val="2"/>
      </rPr>
      <t xml:space="preserve">195.3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</si>
  <si>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4 Core + Best 2 Elective Subjects</t>
    </r>
  </si>
  <si>
    <r>
      <rPr>
        <b/>
        <sz val="9"/>
        <rFont val="Calibri"/>
        <family val="2"/>
      </rPr>
      <t>Aviation Engineering - BEng (Hons) Scheme</t>
    </r>
  </si>
  <si>
    <r>
      <rPr>
        <b/>
        <sz val="9"/>
        <rFont val="Calibri"/>
        <family val="2"/>
      </rPr>
      <t>JS3140</t>
    </r>
  </si>
  <si>
    <r>
      <rPr>
        <b/>
        <sz val="9"/>
        <rFont val="Calibri"/>
        <family val="2"/>
      </rPr>
      <t xml:space="preserve">197.4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</si>
  <si>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Aviation, Maritime and Supply Chain Management - BBA (Hons) Scheme</t>
    </r>
  </si>
  <si>
    <r>
      <rPr>
        <b/>
        <sz val="9"/>
        <rFont val="Calibri"/>
        <family val="2"/>
      </rPr>
      <t>JS3070</t>
    </r>
  </si>
  <si>
    <r>
      <rPr>
        <b/>
        <sz val="9"/>
        <rFont val="Calibri"/>
        <family val="2"/>
      </rPr>
      <t xml:space="preserve">165.5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</si>
  <si>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Biomedical Engineering - BSc (Hons) Scheme</t>
    </r>
  </si>
  <si>
    <r>
      <rPr>
        <b/>
        <sz val="9"/>
        <rFont val="Calibri"/>
        <family val="2"/>
      </rPr>
      <t>JS3150</t>
    </r>
  </si>
  <si>
    <r>
      <rPr>
        <b/>
        <sz val="9"/>
        <rFont val="Calibri"/>
        <family val="2"/>
      </rPr>
      <t xml:space="preserve">227.2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</si>
  <si>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Biotechnology, Food Safety and Chemical Technology - BSc (Hons) Scheme</t>
    </r>
  </si>
  <si>
    <r>
      <rPr>
        <b/>
        <sz val="9"/>
        <rFont val="Calibri"/>
        <family val="2"/>
      </rPr>
      <t>JS3010</t>
    </r>
    <r>
      <rPr>
        <b/>
        <vertAlign val="superscript"/>
        <sz val="6"/>
        <rFont val="Calibri"/>
        <family val="2"/>
      </rPr>
      <t>#</t>
    </r>
  </si>
  <si>
    <r>
      <rPr>
        <b/>
        <sz val="9"/>
        <rFont val="Calibri"/>
        <family val="2"/>
      </rPr>
      <t xml:space="preserve">191.4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</si>
  <si>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Building and Real Estate - BSc (Hons) Scheme</t>
    </r>
  </si>
  <si>
    <r>
      <rPr>
        <b/>
        <sz val="9"/>
        <rFont val="Calibri"/>
        <family val="2"/>
      </rPr>
      <t>JS3100</t>
    </r>
  </si>
  <si>
    <r>
      <rPr>
        <b/>
        <sz val="9"/>
        <rFont val="Calibri"/>
        <family val="2"/>
      </rPr>
      <t xml:space="preserve">168.3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</si>
  <si>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Building Sciences and Engineering - BEng (Hons) Scheme</t>
    </r>
  </si>
  <si>
    <r>
      <rPr>
        <b/>
        <sz val="9"/>
        <rFont val="Calibri"/>
        <family val="2"/>
      </rPr>
      <t>JS3110</t>
    </r>
  </si>
  <si>
    <r>
      <rPr>
        <b/>
        <sz val="9"/>
        <rFont val="Calibri"/>
        <family val="2"/>
      </rPr>
      <t xml:space="preserve">178.5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</si>
  <si>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Chinese History and Culture - BA (Hons) Scheme</t>
    </r>
  </si>
  <si>
    <r>
      <rPr>
        <b/>
        <sz val="9"/>
        <rFont val="Calibri"/>
        <family val="2"/>
      </rPr>
      <t>JS3320</t>
    </r>
  </si>
  <si>
    <r>
      <rPr>
        <b/>
        <sz val="9"/>
        <rFont val="Calibri"/>
        <family val="2"/>
      </rPr>
      <t xml:space="preserve">196.9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</si>
  <si>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Chinese &amp; English Languages + Any Best 3 Subjects</t>
    </r>
  </si>
  <si>
    <r>
      <rPr>
        <b/>
        <sz val="9"/>
        <rFont val="Calibri"/>
        <family val="2"/>
      </rPr>
      <t>Civil Engineering and Sustainable Development - BEng (Hons) Scheme</t>
    </r>
  </si>
  <si>
    <r>
      <rPr>
        <b/>
        <sz val="9"/>
        <rFont val="Calibri"/>
        <family val="2"/>
      </rPr>
      <t>JS3120</t>
    </r>
  </si>
  <si>
    <r>
      <rPr>
        <b/>
        <sz val="9"/>
        <rFont val="Calibri"/>
        <family val="2"/>
      </rPr>
      <t xml:space="preserve">213.5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</si>
  <si>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Computing and AI - BSc (Hons) Scheme</t>
    </r>
  </si>
  <si>
    <r>
      <rPr>
        <b/>
        <sz val="9"/>
        <rFont val="Calibri"/>
        <family val="2"/>
      </rPr>
      <t>JS3868</t>
    </r>
  </si>
  <si>
    <r>
      <rPr>
        <b/>
        <sz val="9"/>
        <rFont val="Calibri"/>
        <family val="2"/>
      </rPr>
      <t xml:space="preserve">214.2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</si>
  <si>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Data Science - BSc (Hons) Scheme</t>
    </r>
  </si>
  <si>
    <r>
      <rPr>
        <b/>
        <sz val="9"/>
        <rFont val="Calibri"/>
        <family val="2"/>
      </rPr>
      <t>JS3020</t>
    </r>
  </si>
  <si>
    <r>
      <rPr>
        <b/>
        <sz val="9"/>
        <rFont val="Calibri"/>
        <family val="2"/>
      </rPr>
      <t xml:space="preserve">184.4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</si>
  <si>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Design - BA (Hons) Scheme</t>
    </r>
  </si>
  <si>
    <r>
      <rPr>
        <b/>
        <sz val="9"/>
        <rFont val="Calibri"/>
        <family val="2"/>
      </rPr>
      <t>JS3569</t>
    </r>
  </si>
  <si>
    <r>
      <rPr>
        <b/>
        <sz val="9"/>
        <rFont val="Calibri"/>
        <family val="2"/>
      </rPr>
      <t xml:space="preserve">212.6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</si>
  <si>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Electrical Engineering - BEng (Hons) Scheme</t>
    </r>
  </si>
  <si>
    <r>
      <rPr>
        <b/>
        <sz val="9"/>
        <rFont val="Calibri"/>
        <family val="2"/>
      </rPr>
      <t>JS3170</t>
    </r>
  </si>
  <si>
    <r>
      <rPr>
        <b/>
        <sz val="9"/>
        <rFont val="Calibri"/>
        <family val="2"/>
      </rPr>
      <t xml:space="preserve">182.7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</si>
  <si>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English and Applied Linguistics - BA (Hons) Scheme</t>
    </r>
  </si>
  <si>
    <r>
      <rPr>
        <b/>
        <sz val="9"/>
        <rFont val="Calibri"/>
        <family val="2"/>
      </rPr>
      <t>JS3240</t>
    </r>
  </si>
  <si>
    <r>
      <rPr>
        <b/>
        <sz val="9"/>
        <rFont val="Calibri"/>
        <family val="2"/>
      </rPr>
      <t xml:space="preserve">180.1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</si>
  <si>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Fashion - BA (Hons) Scheme</t>
    </r>
  </si>
  <si>
    <r>
      <rPr>
        <b/>
        <sz val="9"/>
        <rFont val="Calibri"/>
        <family val="2"/>
      </rPr>
      <t>JS3050</t>
    </r>
  </si>
  <si>
    <r>
      <rPr>
        <b/>
        <sz val="9"/>
        <rFont val="Calibri"/>
        <family val="2"/>
      </rPr>
      <t xml:space="preserve">153.1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</si>
  <si>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Hotel and Tourism Management - BSc (Hons) Scheme</t>
    </r>
  </si>
  <si>
    <r>
      <rPr>
        <b/>
        <sz val="9"/>
        <rFont val="Calibri"/>
        <family val="2"/>
      </rPr>
      <t>JS3310</t>
    </r>
  </si>
  <si>
    <r>
      <rPr>
        <b/>
        <sz val="9"/>
        <rFont val="Calibri"/>
        <family val="2"/>
      </rPr>
      <t xml:space="preserve">163.2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</si>
  <si>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Information and Artificial Intelligence Engineering - BEng (Hons) / BSc (Hons) Scheme</t>
    </r>
  </si>
  <si>
    <r>
      <rPr>
        <b/>
        <sz val="9"/>
        <rFont val="Calibri"/>
        <family val="2"/>
      </rPr>
      <t>JS3180</t>
    </r>
  </si>
  <si>
    <r>
      <rPr>
        <b/>
        <sz val="9"/>
        <rFont val="Calibri"/>
        <family val="2"/>
      </rPr>
      <t>Language Sciences, Translation, and Speech Therapy - BA (Hons) / BSc (Hons) Scheme</t>
    </r>
  </si>
  <si>
    <r>
      <rPr>
        <b/>
        <sz val="9"/>
        <rFont val="Calibri"/>
        <family val="2"/>
      </rPr>
      <t>JS3330</t>
    </r>
  </si>
  <si>
    <r>
      <rPr>
        <b/>
        <sz val="9"/>
        <rFont val="Calibri"/>
        <family val="2"/>
      </rPr>
      <t xml:space="preserve">224.1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</si>
  <si>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Logistics and Enterprise Engineering - BSc (Hons) Scheme</t>
    </r>
  </si>
  <si>
    <r>
      <rPr>
        <b/>
        <sz val="9"/>
        <rFont val="Calibri"/>
        <family val="2"/>
      </rPr>
      <t>JS3571</t>
    </r>
  </si>
  <si>
    <r>
      <rPr>
        <b/>
        <sz val="9"/>
        <rFont val="Calibri"/>
        <family val="2"/>
      </rPr>
      <t xml:space="preserve">147.6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</si>
  <si>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Management and Marketing - BBA (Hons) Scheme</t>
    </r>
  </si>
  <si>
    <r>
      <rPr>
        <b/>
        <sz val="9"/>
        <rFont val="Calibri"/>
        <family val="2"/>
      </rPr>
      <t>JS3080</t>
    </r>
  </si>
  <si>
    <r>
      <rPr>
        <b/>
        <sz val="9"/>
        <rFont val="Calibri"/>
        <family val="2"/>
      </rPr>
      <t xml:space="preserve">176.9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</si>
  <si>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Mechanical Engineering - BEng (Hons) Scheme</t>
    </r>
  </si>
  <si>
    <r>
      <rPr>
        <b/>
        <sz val="9"/>
        <rFont val="Calibri"/>
        <family val="2"/>
      </rPr>
      <t>JS3741</t>
    </r>
  </si>
  <si>
    <r>
      <rPr>
        <b/>
        <sz val="9"/>
        <rFont val="Calibri"/>
        <family val="2"/>
      </rPr>
      <t xml:space="preserve">190.9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</si>
  <si>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Medical Laboratory Science - BSc (Hons) Scheme in Medical Laboratory Science and Radiography</t>
    </r>
  </si>
  <si>
    <r>
      <rPr>
        <b/>
        <sz val="9"/>
        <rFont val="Calibri"/>
        <family val="2"/>
      </rPr>
      <t>JS3478</t>
    </r>
  </si>
  <si>
    <r>
      <rPr>
        <b/>
        <sz val="9"/>
        <rFont val="Calibri"/>
        <family val="2"/>
      </rPr>
      <t xml:space="preserve">335.9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</si>
  <si>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Any Best 6 Subjects</t>
    </r>
  </si>
  <si>
    <r>
      <rPr>
        <b/>
        <sz val="9"/>
        <rFont val="Calibri"/>
        <family val="2"/>
      </rPr>
      <t>Mental Health Nursing - BSc (Hons) Scheme in Nursing</t>
    </r>
  </si>
  <si>
    <r>
      <rPr>
        <b/>
        <sz val="9"/>
        <rFont val="Calibri"/>
        <family val="2"/>
      </rPr>
      <t>JS3337</t>
    </r>
  </si>
  <si>
    <r>
      <rPr>
        <b/>
        <sz val="9"/>
        <rFont val="Calibri"/>
        <family val="2"/>
      </rPr>
      <t xml:space="preserve">246.7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</si>
  <si>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Nursing - BSc (Hons) Scheme in Nursing</t>
    </r>
  </si>
  <si>
    <r>
      <rPr>
        <b/>
        <sz val="9"/>
        <rFont val="Calibri"/>
        <family val="2"/>
      </rPr>
      <t>JS3648</t>
    </r>
  </si>
  <si>
    <r>
      <rPr>
        <b/>
        <sz val="9"/>
        <rFont val="Calibri"/>
        <family val="2"/>
      </rPr>
      <t xml:space="preserve">261.6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</si>
  <si>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Occupational Therapy -  BSc (Hons) Scheme in Rehabilitation Sciences</t>
    </r>
  </si>
  <si>
    <r>
      <rPr>
        <b/>
        <sz val="9"/>
        <rFont val="Calibri"/>
        <family val="2"/>
      </rPr>
      <t>JS3624</t>
    </r>
  </si>
  <si>
    <r>
      <rPr>
        <b/>
        <sz val="9"/>
        <rFont val="Calibri"/>
        <family val="2"/>
      </rPr>
      <t xml:space="preserve">315.6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</si>
  <si>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Optometry - BSc (Hons) Scheme</t>
    </r>
  </si>
  <si>
    <r>
      <rPr>
        <b/>
        <sz val="9"/>
        <rFont val="Calibri"/>
        <family val="2"/>
      </rPr>
      <t>JS3290</t>
    </r>
  </si>
  <si>
    <r>
      <rPr>
        <b/>
        <sz val="9"/>
        <rFont val="Calibri"/>
        <family val="2"/>
      </rPr>
      <t xml:space="preserve">312.1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</si>
  <si>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Physics with a Secondary Major in Artificial Intelligence &amp; Data Analytics (AIDA) / Innovation and Entrepreneurship (IE) - BSc (Hons)</t>
    </r>
  </si>
  <si>
    <r>
      <rPr>
        <b/>
        <sz val="9"/>
        <rFont val="Calibri"/>
        <family val="2"/>
      </rPr>
      <t>JS3030</t>
    </r>
  </si>
  <si>
    <r>
      <rPr>
        <b/>
        <sz val="9"/>
        <rFont val="Calibri"/>
        <family val="2"/>
      </rPr>
      <t xml:space="preserve">193.9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</si>
  <si>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Physiotherapy - BSc (Hons) Scheme in Rehabilitation Sciences</t>
    </r>
  </si>
  <si>
    <r>
      <rPr>
        <b/>
        <sz val="9"/>
        <rFont val="Calibri"/>
        <family val="2"/>
      </rPr>
      <t>JS3636</t>
    </r>
  </si>
  <si>
    <r>
      <rPr>
        <b/>
        <sz val="9"/>
        <rFont val="Calibri"/>
        <family val="2"/>
      </rPr>
      <t xml:space="preserve">339.5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</si>
  <si>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Product and Industrial Engineering - BEng (Hons) Scheme</t>
    </r>
  </si>
  <si>
    <r>
      <rPr>
        <b/>
        <sz val="9"/>
        <rFont val="Calibri"/>
        <family val="2"/>
      </rPr>
      <t>JS3557</t>
    </r>
  </si>
  <si>
    <r>
      <rPr>
        <b/>
        <sz val="9"/>
        <rFont val="Calibri"/>
        <family val="2"/>
      </rPr>
      <t xml:space="preserve">147.4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</si>
  <si>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Radiography - BSc (Hons) Scheme in Medical Laboratory Science and Radiography</t>
    </r>
  </si>
  <si>
    <r>
      <rPr>
        <b/>
        <sz val="9"/>
        <rFont val="Calibri"/>
        <family val="2"/>
      </rPr>
      <t>JS3612</t>
    </r>
  </si>
  <si>
    <r>
      <rPr>
        <b/>
        <sz val="9"/>
        <rFont val="Calibri"/>
        <family val="2"/>
      </rPr>
      <t xml:space="preserve">361.6
</t>
    </r>
    <r>
      <rPr>
        <u/>
        <sz val="9"/>
        <color rgb="FF0562C1"/>
        <rFont val="Calibri"/>
        <family val="2"/>
      </rPr>
      <t>(subject weighting in details)</t>
    </r>
  </si>
  <si>
    <r>
      <rPr>
        <b/>
        <sz val="9"/>
        <rFont val="Calibri"/>
        <family val="2"/>
      </rPr>
      <t>Spatial Data Science and Smart Cities - BSc (Hons) Scheme</t>
    </r>
  </si>
  <si>
    <r>
      <rPr>
        <b/>
        <sz val="9"/>
        <rFont val="Calibri"/>
        <family val="2"/>
      </rPr>
      <t>JS3130</t>
    </r>
  </si>
  <si>
    <r>
      <rPr>
        <b/>
        <sz val="9"/>
        <rFont val="Calibri"/>
        <family val="2"/>
      </rPr>
      <t xml:space="preserve">203.5
</t>
    </r>
    <r>
      <rPr>
        <u/>
        <sz val="9"/>
        <color rgb="FF0562C1"/>
        <rFont val="Calibri"/>
        <family val="2"/>
      </rPr>
      <t>(subject weighting in details)</t>
    </r>
  </si>
  <si>
    <t>Scheme / Programme</t>
  </si>
  <si>
    <t>JUPAS Code</t>
  </si>
  <si>
    <t>Admission Score Calculation Mechanism</t>
  </si>
  <si>
    <t>Percentile</t>
  </si>
  <si>
    <t>HKDSE Score with Subject Weighting</t>
  </si>
  <si>
    <t>Accounting and Finance - BBA (Hons) Scheme</t>
  </si>
  <si>
    <t>JS3060</t>
  </si>
  <si>
    <t>Any Best 5 Subjects</t>
  </si>
  <si>
    <t>Median</t>
  </si>
  <si>
    <t>Lower Quartile</t>
  </si>
  <si>
    <t>Applied Social Sciences - BA (Hons) Scheme</t>
  </si>
  <si>
    <t>JS3250</t>
  </si>
  <si>
    <t>4 Core + Best 2 Elective Subjects</t>
  </si>
  <si>
    <t>Aviation Engineering - BEng (Hons) Scheme</t>
  </si>
  <si>
    <t>JS3140</t>
  </si>
  <si>
    <t>Aviation, Maritime and Supply Chain Management - BBA (Hons) Scheme</t>
  </si>
  <si>
    <t>JS3070</t>
  </si>
  <si>
    <t>Biomedical Engineering - BSc (Hons) Scheme</t>
  </si>
  <si>
    <t>JS3150</t>
  </si>
  <si>
    <t>Biotechnology, Food Safety and Chemical Technology - BSc (Hons) Scheme</t>
  </si>
  <si>
    <t>Building and Real Estate - BSc (Hons) Scheme</t>
  </si>
  <si>
    <t>JS3100</t>
  </si>
  <si>
    <t>Building Sciences and Engineering - BEng (Hons) Scheme</t>
  </si>
  <si>
    <t>JS3110</t>
  </si>
  <si>
    <t>Chinese History and Culture - BA (Hons) Scheme</t>
  </si>
  <si>
    <t>JS3320</t>
  </si>
  <si>
    <t>Chinese &amp; English Languages + Any Best 3 Subjects</t>
  </si>
  <si>
    <t>Civil Engineering and Sustainable Development - BEng (Hons) Scheme</t>
  </si>
  <si>
    <t>JS3120</t>
  </si>
  <si>
    <t>Computing and AI - BSc (Hons) Scheme</t>
  </si>
  <si>
    <t>JS3868</t>
  </si>
  <si>
    <t>Data Science - BSc (Hons) Scheme</t>
  </si>
  <si>
    <t>JS3020</t>
  </si>
  <si>
    <t>Design - BA (Hons) Scheme</t>
  </si>
  <si>
    <t>JS3569</t>
  </si>
  <si>
    <t>Electrical Engineering - BEng (Hons) Scheme</t>
  </si>
  <si>
    <t>JS3170</t>
  </si>
  <si>
    <t>English and Applied Linguistics - BA (Hons) Scheme</t>
  </si>
  <si>
    <t>JS3240</t>
  </si>
  <si>
    <t>Fashion - BA (Hons) Scheme</t>
  </si>
  <si>
    <t>JS3050</t>
  </si>
  <si>
    <t>Hotel and Tourism Management - BSc (Hons) Scheme</t>
  </si>
  <si>
    <t>JS3310</t>
  </si>
  <si>
    <t>Information and Artificial Intelligence Engineering - BEng (Hons) / BSc (Hons) Scheme</t>
  </si>
  <si>
    <t>JS3180</t>
  </si>
  <si>
    <t>Language Sciences, Translation, and Speech Therapy - BA (Hons) / BSc (Hons) Scheme</t>
  </si>
  <si>
    <t>JS3330</t>
  </si>
  <si>
    <t>Logistics and Enterprise Engineering - BSc (Hons) Scheme</t>
  </si>
  <si>
    <t>JS3571</t>
  </si>
  <si>
    <t>Management and Marketing - BBA (Hons) Scheme</t>
  </si>
  <si>
    <t>JS3080</t>
  </si>
  <si>
    <t>Mechanical Engineering - BEng (Hons) Scheme</t>
  </si>
  <si>
    <t>JS3741</t>
  </si>
  <si>
    <t>Medical Laboratory Science - BSc (Hons) Scheme in Medical Laboratory Science and Radiography</t>
  </si>
  <si>
    <t>JS3478</t>
  </si>
  <si>
    <t>Any Best 6 Subjects</t>
  </si>
  <si>
    <t>Mental Health Nursing - BSc (Hons) Scheme in Nursing</t>
  </si>
  <si>
    <t>JS3337</t>
  </si>
  <si>
    <t>Nursing - BSc (Hons) Scheme in Nursing</t>
  </si>
  <si>
    <t>JS3648</t>
  </si>
  <si>
    <t>Occupational Therapy -  BSc (Hons) Scheme in Rehabilitation Sciences</t>
  </si>
  <si>
    <t>JS3624</t>
  </si>
  <si>
    <t>Optometry - BSc (Hons) Scheme</t>
  </si>
  <si>
    <t>JS3290</t>
  </si>
  <si>
    <t>Physics with a Secondary Major in Artificial Intelligence &amp; Data Analytics (AIDA) / Innovation and Entrepreneurship (IE) - BSc (Hons)</t>
  </si>
  <si>
    <t>JS3030</t>
  </si>
  <si>
    <t>Physiotherapy - BSc (Hons) Scheme in Rehabilitation Sciences</t>
  </si>
  <si>
    <t>JS3636</t>
  </si>
  <si>
    <t>Product and Industrial Engineering - BEng (Hons) Scheme</t>
  </si>
  <si>
    <t>JS3557</t>
  </si>
  <si>
    <t>Radiography - BSc (Hons) Scheme in Medical Laboratory Science and Radiography</t>
  </si>
  <si>
    <t>JS3612</t>
  </si>
  <si>
    <t>Spatial Data Science and Smart Cities - BSc (Hons) Scheme</t>
  </si>
  <si>
    <t>JS3130</t>
  </si>
  <si>
    <t>JS3010</t>
    <phoneticPr fontId="6" type="noConversion"/>
  </si>
  <si>
    <t xml:space="preserve">184.3
</t>
  </si>
  <si>
    <t xml:space="preserve">195.3
</t>
  </si>
  <si>
    <t xml:space="preserve">197.4
</t>
  </si>
  <si>
    <t xml:space="preserve">165.5
</t>
  </si>
  <si>
    <t xml:space="preserve">227.2
</t>
  </si>
  <si>
    <t xml:space="preserve">191.4
</t>
  </si>
  <si>
    <t xml:space="preserve">168.3
</t>
  </si>
  <si>
    <t xml:space="preserve">178.5
</t>
  </si>
  <si>
    <t xml:space="preserve">196.9
</t>
  </si>
  <si>
    <t xml:space="preserve">213.5
</t>
  </si>
  <si>
    <t xml:space="preserve">214.2
</t>
  </si>
  <si>
    <t xml:space="preserve">184.4
</t>
  </si>
  <si>
    <t xml:space="preserve">212.6
</t>
  </si>
  <si>
    <t xml:space="preserve">182.7
</t>
  </si>
  <si>
    <t xml:space="preserve">180.1
</t>
  </si>
  <si>
    <t xml:space="preserve">153.1
</t>
  </si>
  <si>
    <t xml:space="preserve">163.2
</t>
  </si>
  <si>
    <t xml:space="preserve">224.1
</t>
  </si>
  <si>
    <t xml:space="preserve">147.6
</t>
  </si>
  <si>
    <t xml:space="preserve">176.9
</t>
  </si>
  <si>
    <t xml:space="preserve">190.9
</t>
  </si>
  <si>
    <t xml:space="preserve">335.9
</t>
  </si>
  <si>
    <t xml:space="preserve">246.7
</t>
  </si>
  <si>
    <t xml:space="preserve">261.6
</t>
  </si>
  <si>
    <t xml:space="preserve">315.6
</t>
  </si>
  <si>
    <t xml:space="preserve">312.1
</t>
  </si>
  <si>
    <t xml:space="preserve">193.9
</t>
  </si>
  <si>
    <t xml:space="preserve">339.5
</t>
  </si>
  <si>
    <t xml:space="preserve">147.4
</t>
  </si>
  <si>
    <t xml:space="preserve">361.6
</t>
  </si>
  <si>
    <t xml:space="preserve">203.5
</t>
  </si>
  <si>
    <t>Average HKDSE Score With Subject Weighting (23/24)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</si>
</sst>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8" x14ac:knownFonts="1">
    <font>
      <sz val="10"/>
      <color rgb="FF000000"/>
      <name val="Times New Roman"/>
      <charset val="204"/>
    </font>
    <font>
      <b/>
      <sz val="9"/>
      <name val="Calibri"/>
      <family val="2"/>
    </font>
    <font>
      <b/>
      <sz val="9"/>
      <color rgb="FF000000"/>
      <name val="Calibri"/>
      <family val="2"/>
    </font>
    <font>
      <b/>
      <sz val="9"/>
      <color rgb="FFC00000"/>
      <name val="Calibri"/>
      <family val="2"/>
    </font>
    <font>
      <u/>
      <sz val="9"/>
      <color rgb="FF0562C1"/>
      <name val="Calibri"/>
      <family val="2"/>
    </font>
    <font>
      <b/>
      <vertAlign val="superscript"/>
      <sz val="6"/>
      <name val="Calibri"/>
      <family val="2"/>
    </font>
    <font>
      <sz val="9"/>
      <name val="細明體"/>
      <family val="3"/>
      <charset val="136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7C9AC"/>
      </patternFill>
    </fill>
    <fill>
      <patternFill patternType="solid">
        <fgColor rgb="FFFAE3D4"/>
      </patternFill>
    </fill>
    <fill>
      <patternFill patternType="solid">
        <fgColor rgb="FFFCE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top"/>
    </xf>
    <xf numFmtId="0" fontId="1" fillId="3" borderId="4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 indent="2"/>
    </xf>
    <xf numFmtId="0" fontId="1" fillId="3" borderId="5" xfId="0" applyFont="1" applyFill="1" applyBorder="1" applyAlignment="1">
      <alignment horizontal="left" vertical="top" wrapText="1" indent="2"/>
    </xf>
    <xf numFmtId="0" fontId="1" fillId="3" borderId="6" xfId="0" applyFont="1" applyFill="1" applyBorder="1" applyAlignment="1">
      <alignment horizontal="left" vertical="top" wrapText="1" indent="2"/>
    </xf>
    <xf numFmtId="0" fontId="1" fillId="3" borderId="7" xfId="0" applyFont="1" applyFill="1" applyBorder="1" applyAlignment="1">
      <alignment horizontal="left" vertical="top" wrapText="1" indent="2"/>
    </xf>
    <xf numFmtId="0" fontId="1" fillId="3" borderId="8" xfId="0" applyFont="1" applyFill="1" applyBorder="1" applyAlignment="1">
      <alignment horizontal="left" vertical="top" wrapText="1" indent="2"/>
    </xf>
    <xf numFmtId="0" fontId="1" fillId="3" borderId="9" xfId="0" applyFont="1" applyFill="1" applyBorder="1" applyAlignment="1">
      <alignment horizontal="left" vertical="top" wrapText="1" indent="2"/>
    </xf>
    <xf numFmtId="0" fontId="0" fillId="3" borderId="4" xfId="0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  <xf numFmtId="0" fontId="0" fillId="3" borderId="7" xfId="0" applyFill="1" applyBorder="1" applyAlignment="1">
      <alignment horizontal="center" vertical="top" wrapText="1"/>
    </xf>
    <xf numFmtId="0" fontId="0" fillId="3" borderId="8" xfId="0" applyFill="1" applyBorder="1" applyAlignment="1">
      <alignment horizontal="center" vertical="top" wrapText="1"/>
    </xf>
    <xf numFmtId="0" fontId="0" fillId="3" borderId="9" xfId="0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1" fontId="2" fillId="4" borderId="1" xfId="0" applyNumberFormat="1" applyFont="1" applyFill="1" applyBorder="1" applyAlignment="1">
      <alignment horizontal="center" vertical="top" shrinkToFit="1"/>
    </xf>
    <xf numFmtId="1" fontId="2" fillId="4" borderId="2" xfId="0" applyNumberFormat="1" applyFont="1" applyFill="1" applyBorder="1" applyAlignment="1">
      <alignment horizontal="center" vertical="top" shrinkToFit="1"/>
    </xf>
    <xf numFmtId="1" fontId="2" fillId="4" borderId="3" xfId="0" applyNumberFormat="1" applyFont="1" applyFill="1" applyBorder="1" applyAlignment="1">
      <alignment horizontal="center" vertical="top" shrinkToFit="1"/>
    </xf>
    <xf numFmtId="0" fontId="0" fillId="0" borderId="0" xfId="0" applyAlignment="1">
      <alignment horizontal="left" vertical="center" wrapText="1"/>
    </xf>
    <xf numFmtId="176" fontId="2" fillId="4" borderId="1" xfId="0" applyNumberFormat="1" applyFont="1" applyFill="1" applyBorder="1" applyAlignment="1">
      <alignment horizontal="center" vertical="top" shrinkToFit="1"/>
    </xf>
    <xf numFmtId="176" fontId="2" fillId="4" borderId="2" xfId="0" applyNumberFormat="1" applyFont="1" applyFill="1" applyBorder="1" applyAlignment="1">
      <alignment horizontal="center" vertical="top" shrinkToFit="1"/>
    </xf>
    <xf numFmtId="176" fontId="2" fillId="4" borderId="3" xfId="0" applyNumberFormat="1" applyFont="1" applyFill="1" applyBorder="1" applyAlignment="1">
      <alignment horizontal="center" vertical="top" shrinkToFit="1"/>
    </xf>
    <xf numFmtId="0" fontId="1" fillId="2" borderId="1" xfId="0" applyFont="1" applyFill="1" applyBorder="1" applyAlignment="1">
      <alignment horizontal="left" vertical="top" wrapText="1" indent="10"/>
    </xf>
    <xf numFmtId="0" fontId="1" fillId="2" borderId="2" xfId="0" applyFont="1" applyFill="1" applyBorder="1" applyAlignment="1">
      <alignment horizontal="left" vertical="top" wrapText="1" indent="10"/>
    </xf>
    <xf numFmtId="0" fontId="1" fillId="2" borderId="3" xfId="0" applyFont="1" applyFill="1" applyBorder="1" applyAlignment="1">
      <alignment horizontal="left" vertical="top" wrapText="1" indent="10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9" xfId="0" applyFont="1" applyFill="1" applyBorder="1" applyAlignment="1">
      <alignment horizontal="center" vertical="top" wrapText="1"/>
    </xf>
    <xf numFmtId="0" fontId="0" fillId="3" borderId="4" xfId="0" applyFill="1" applyBorder="1" applyAlignment="1">
      <alignment horizontal="left" vertical="top" wrapText="1" indent="2"/>
    </xf>
    <xf numFmtId="0" fontId="0" fillId="3" borderId="5" xfId="0" applyFill="1" applyBorder="1" applyAlignment="1">
      <alignment horizontal="left" vertical="top" wrapText="1" indent="2"/>
    </xf>
    <xf numFmtId="0" fontId="0" fillId="3" borderId="6" xfId="0" applyFill="1" applyBorder="1" applyAlignment="1">
      <alignment horizontal="left" vertical="top" wrapText="1" indent="2"/>
    </xf>
    <xf numFmtId="0" fontId="0" fillId="3" borderId="7" xfId="0" applyFill="1" applyBorder="1" applyAlignment="1">
      <alignment horizontal="left" vertical="top" wrapText="1" indent="2"/>
    </xf>
    <xf numFmtId="0" fontId="0" fillId="3" borderId="8" xfId="0" applyFill="1" applyBorder="1" applyAlignment="1">
      <alignment horizontal="left" vertical="top" wrapText="1" indent="2"/>
    </xf>
    <xf numFmtId="0" fontId="0" fillId="3" borderId="9" xfId="0" applyFill="1" applyBorder="1" applyAlignment="1">
      <alignment horizontal="left" vertical="top" wrapText="1" indent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olyu.edu.hk/aradm/jupas/JS3110_2023_SW.pdf" TargetMode="External"/><Relationship Id="rId13" Type="http://schemas.openxmlformats.org/officeDocument/2006/relationships/hyperlink" Target="https://www.polyu.edu.hk/aradm/jupas/JS3569_2023_SW.pdf" TargetMode="External"/><Relationship Id="rId18" Type="http://schemas.openxmlformats.org/officeDocument/2006/relationships/hyperlink" Target="https://www.polyu.edu.hk/aradm/jupas/JS3180_2023_SW.pdf" TargetMode="External"/><Relationship Id="rId26" Type="http://schemas.openxmlformats.org/officeDocument/2006/relationships/hyperlink" Target="https://www.polyu.edu.hk/aradm/jupas/JS3624_2023_SW.pdf" TargetMode="External"/><Relationship Id="rId3" Type="http://schemas.openxmlformats.org/officeDocument/2006/relationships/hyperlink" Target="https://www.polyu.edu.hk/aradm/jupas/JS3140_2023_SW.pdf" TargetMode="External"/><Relationship Id="rId21" Type="http://schemas.openxmlformats.org/officeDocument/2006/relationships/hyperlink" Target="https://www.polyu.edu.hk/aradm/jupas/JS3080_2023_SW.pdf" TargetMode="External"/><Relationship Id="rId7" Type="http://schemas.openxmlformats.org/officeDocument/2006/relationships/hyperlink" Target="https://www.polyu.edu.hk/aradm/jupas/JS3100_2023_SW.pdf" TargetMode="External"/><Relationship Id="rId12" Type="http://schemas.openxmlformats.org/officeDocument/2006/relationships/hyperlink" Target="https://www.polyu.edu.hk/aradm/jupas/JS3020_2023_SW.pdf" TargetMode="External"/><Relationship Id="rId17" Type="http://schemas.openxmlformats.org/officeDocument/2006/relationships/hyperlink" Target="https://www.polyu.edu.hk/aradm/jupas/JS3310_2023_SW.pdf" TargetMode="External"/><Relationship Id="rId25" Type="http://schemas.openxmlformats.org/officeDocument/2006/relationships/hyperlink" Target="https://www.polyu.edu.hk/aradm/jupas/JS3648_2023_SW.pdf" TargetMode="External"/><Relationship Id="rId2" Type="http://schemas.openxmlformats.org/officeDocument/2006/relationships/hyperlink" Target="https://www.polyu.edu.hk/aradm/jupas/JS3250_2023_SW.pdf" TargetMode="External"/><Relationship Id="rId16" Type="http://schemas.openxmlformats.org/officeDocument/2006/relationships/hyperlink" Target="https://www.polyu.edu.hk/aradm/jupas/JS3050_2023_SW.pdf" TargetMode="External"/><Relationship Id="rId20" Type="http://schemas.openxmlformats.org/officeDocument/2006/relationships/hyperlink" Target="https://www.polyu.edu.hk/aradm/jupas/JS3571_2023_SW.pdf" TargetMode="External"/><Relationship Id="rId29" Type="http://schemas.openxmlformats.org/officeDocument/2006/relationships/hyperlink" Target="https://www.polyu.edu.hk/aradm/jupas/JS3636_2023_SW.pdf" TargetMode="External"/><Relationship Id="rId1" Type="http://schemas.openxmlformats.org/officeDocument/2006/relationships/hyperlink" Target="https://www.polyu.edu.hk/aradm/jupas/JS3060_2023_SW.pdf" TargetMode="External"/><Relationship Id="rId6" Type="http://schemas.openxmlformats.org/officeDocument/2006/relationships/hyperlink" Target="https://www.polyu.edu.hk/aradm/jupas/JS3010_2023_SW.pdf" TargetMode="External"/><Relationship Id="rId11" Type="http://schemas.openxmlformats.org/officeDocument/2006/relationships/hyperlink" Target="https://www.polyu.edu.hk/aradm/jupas/JS3868_2023_SW.pdf" TargetMode="External"/><Relationship Id="rId24" Type="http://schemas.openxmlformats.org/officeDocument/2006/relationships/hyperlink" Target="https://www.polyu.edu.hk/aradm/jupas/JS3337_2023_SW.pdf" TargetMode="External"/><Relationship Id="rId32" Type="http://schemas.openxmlformats.org/officeDocument/2006/relationships/hyperlink" Target="https://www.polyu.edu.hk/aradm/jupas/JS3130_2023_SW.pdf" TargetMode="External"/><Relationship Id="rId5" Type="http://schemas.openxmlformats.org/officeDocument/2006/relationships/hyperlink" Target="https://www.polyu.edu.hk/aradm/jupas/JS3150_2023_SW.pdf" TargetMode="External"/><Relationship Id="rId15" Type="http://schemas.openxmlformats.org/officeDocument/2006/relationships/hyperlink" Target="https://www.polyu.edu.hk/aradm/jupas/JS3240_2023_SW.pdf" TargetMode="External"/><Relationship Id="rId23" Type="http://schemas.openxmlformats.org/officeDocument/2006/relationships/hyperlink" Target="https://www.polyu.edu.hk/aradm/jupas/JS3478_2023_SW.pdf" TargetMode="External"/><Relationship Id="rId28" Type="http://schemas.openxmlformats.org/officeDocument/2006/relationships/hyperlink" Target="https://www.polyu.edu.hk/aradm/jupas/JS3030_2023_SW.pdf" TargetMode="External"/><Relationship Id="rId10" Type="http://schemas.openxmlformats.org/officeDocument/2006/relationships/hyperlink" Target="https://www.polyu.edu.hk/aradm/jupas/JS3120_2023_SW.pdf" TargetMode="External"/><Relationship Id="rId19" Type="http://schemas.openxmlformats.org/officeDocument/2006/relationships/hyperlink" Target="https://www.polyu.edu.hk/aradm/jupas/JS3330_2023_SW.pdf" TargetMode="External"/><Relationship Id="rId31" Type="http://schemas.openxmlformats.org/officeDocument/2006/relationships/hyperlink" Target="https://www.polyu.edu.hk/aradm/jupas/JS3612_2023_SW.pdf" TargetMode="External"/><Relationship Id="rId4" Type="http://schemas.openxmlformats.org/officeDocument/2006/relationships/hyperlink" Target="https://www.polyu.edu.hk/aradm/jupas/JS3070_2023_SW.pdf" TargetMode="External"/><Relationship Id="rId9" Type="http://schemas.openxmlformats.org/officeDocument/2006/relationships/hyperlink" Target="https://www.polyu.edu.hk/aradm/jupas/JS3320_2023_SW.pdf" TargetMode="External"/><Relationship Id="rId14" Type="http://schemas.openxmlformats.org/officeDocument/2006/relationships/hyperlink" Target="https://www.polyu.edu.hk/aradm/jupas/JS3170_2023_SW.pdf" TargetMode="External"/><Relationship Id="rId22" Type="http://schemas.openxmlformats.org/officeDocument/2006/relationships/hyperlink" Target="https://www.polyu.edu.hk/aradm/jupas/JS3741_2023_SW.pdf" TargetMode="External"/><Relationship Id="rId27" Type="http://schemas.openxmlformats.org/officeDocument/2006/relationships/hyperlink" Target="https://www.polyu.edu.hk/aradm/jupas/JS3290_2023_SW.pdf" TargetMode="External"/><Relationship Id="rId30" Type="http://schemas.openxmlformats.org/officeDocument/2006/relationships/hyperlink" Target="https://www.polyu.edu.hk/aradm/jupas/JS3557_2023_SW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8"/>
  <sheetViews>
    <sheetView workbookViewId="0">
      <selection activeCell="AX1" sqref="AX1"/>
    </sheetView>
  </sheetViews>
  <sheetFormatPr defaultRowHeight="12.75" x14ac:dyDescent="0.2"/>
  <cols>
    <col min="1" max="1" width="5.83203125" customWidth="1"/>
    <col min="2" max="2" width="2.1640625" customWidth="1"/>
    <col min="3" max="3" width="18.6640625" customWidth="1"/>
    <col min="4" max="4" width="8" customWidth="1"/>
    <col min="5" max="5" width="3.33203125" customWidth="1"/>
    <col min="6" max="6" width="8" customWidth="1"/>
    <col min="7" max="7" width="1.1640625" customWidth="1"/>
    <col min="8" max="8" width="6.83203125" customWidth="1"/>
    <col min="9" max="9" width="1.1640625" customWidth="1"/>
    <col min="10" max="10" width="4.6640625" customWidth="1"/>
    <col min="11" max="11" width="2.1640625" customWidth="1"/>
    <col min="12" max="12" width="3.33203125" customWidth="1"/>
    <col min="13" max="13" width="1.1640625" customWidth="1"/>
    <col min="14" max="14" width="3.33203125" customWidth="1"/>
    <col min="15" max="15" width="2.1640625" customWidth="1"/>
    <col min="16" max="16" width="1.1640625" customWidth="1"/>
    <col min="17" max="17" width="4.6640625" customWidth="1"/>
    <col min="18" max="18" width="3.33203125" customWidth="1"/>
    <col min="19" max="19" width="4.6640625" customWidth="1"/>
    <col min="20" max="20" width="3.33203125" customWidth="1"/>
    <col min="21" max="21" width="4.6640625" customWidth="1"/>
    <col min="22" max="22" width="3.33203125" customWidth="1"/>
    <col min="23" max="23" width="2.1640625" customWidth="1"/>
    <col min="24" max="24" width="5.83203125" customWidth="1"/>
    <col min="25" max="25" width="1.1640625" customWidth="1"/>
    <col min="26" max="26" width="2.1640625" customWidth="1"/>
    <col min="27" max="27" width="6.83203125" customWidth="1"/>
    <col min="28" max="28" width="1.1640625" customWidth="1"/>
    <col min="29" max="30" width="3.33203125" customWidth="1"/>
    <col min="31" max="31" width="1.1640625" customWidth="1"/>
    <col min="32" max="32" width="6.83203125" customWidth="1"/>
    <col min="33" max="33" width="1.1640625" customWidth="1"/>
    <col min="34" max="34" width="4.6640625" customWidth="1"/>
    <col min="35" max="35" width="2.1640625" customWidth="1"/>
    <col min="36" max="36" width="3.33203125" customWidth="1"/>
    <col min="37" max="37" width="4.6640625" customWidth="1"/>
    <col min="38" max="38" width="8" customWidth="1"/>
    <col min="39" max="39" width="1.1640625" customWidth="1"/>
    <col min="40" max="40" width="5.83203125" customWidth="1"/>
    <col min="41" max="42" width="1.1640625" customWidth="1"/>
    <col min="43" max="43" width="2.1640625" customWidth="1"/>
    <col min="44" max="44" width="5.83203125" customWidth="1"/>
    <col min="45" max="45" width="10.5" customWidth="1"/>
    <col min="46" max="46" width="19.6640625" customWidth="1"/>
    <col min="48" max="48" width="34.33203125" customWidth="1"/>
    <col min="49" max="49" width="16.6640625" customWidth="1"/>
  </cols>
  <sheetData>
    <row r="1" spans="1:51" ht="42" customHeight="1" x14ac:dyDescent="0.2">
      <c r="A1" s="30" t="s">
        <v>0</v>
      </c>
      <c r="B1" s="31"/>
      <c r="C1" s="31"/>
      <c r="D1" s="31"/>
      <c r="E1" s="31"/>
      <c r="F1" s="31"/>
      <c r="G1" s="31"/>
      <c r="H1" s="31"/>
      <c r="I1" s="32"/>
      <c r="J1" s="33" t="s">
        <v>1</v>
      </c>
      <c r="K1" s="34"/>
      <c r="L1" s="34"/>
      <c r="M1" s="34"/>
      <c r="N1" s="35"/>
      <c r="O1" s="36" t="s">
        <v>2</v>
      </c>
      <c r="P1" s="37"/>
      <c r="Q1" s="37"/>
      <c r="R1" s="37"/>
      <c r="S1" s="37"/>
      <c r="T1" s="37"/>
      <c r="U1" s="37"/>
      <c r="V1" s="38"/>
      <c r="W1" s="39" t="s">
        <v>3</v>
      </c>
      <c r="X1" s="40"/>
      <c r="Y1" s="40"/>
      <c r="Z1" s="40"/>
      <c r="AA1" s="40"/>
      <c r="AB1" s="40"/>
      <c r="AC1" s="40"/>
      <c r="AD1" s="41"/>
      <c r="AE1" s="42" t="s">
        <v>4</v>
      </c>
      <c r="AF1" s="43"/>
      <c r="AG1" s="43"/>
      <c r="AH1" s="43"/>
      <c r="AI1" s="44"/>
      <c r="AJ1" s="39" t="s">
        <v>5</v>
      </c>
      <c r="AK1" s="40"/>
      <c r="AL1" s="40"/>
      <c r="AM1" s="40"/>
      <c r="AN1" s="40"/>
      <c r="AO1" s="40"/>
      <c r="AP1" s="41"/>
      <c r="AQ1" s="45"/>
      <c r="AR1" s="45"/>
      <c r="AT1" t="str" cm="1">
        <f t="array" ref="AT1:AY1">_xlfn._xlws.FILTER(A1:AP1,A1:AP1&lt;&gt;"",-1)</f>
        <v>Scheme / Programme</v>
      </c>
      <c r="AU1" t="str">
        <v>JUPAS Code</v>
      </c>
      <c r="AV1" t="str">
        <v>Average HKDSE Score With Subject Weighting (23/24)</v>
      </c>
      <c r="AW1" t="str">
        <v>Admission Score Calculation Mechanism</v>
      </c>
      <c r="AX1" t="str">
        <v>Percentile</v>
      </c>
      <c r="AY1" t="str">
        <v>HKDSE Score with Subject Weighting</v>
      </c>
    </row>
    <row r="2" spans="1:51" ht="20.100000000000001" customHeight="1" x14ac:dyDescent="0.2">
      <c r="A2" s="2" t="s">
        <v>6</v>
      </c>
      <c r="B2" s="3"/>
      <c r="C2" s="3"/>
      <c r="D2" s="3"/>
      <c r="E2" s="3"/>
      <c r="F2" s="3"/>
      <c r="G2" s="3"/>
      <c r="H2" s="3"/>
      <c r="I2" s="4"/>
      <c r="J2" s="8" t="s">
        <v>7</v>
      </c>
      <c r="K2" s="9"/>
      <c r="L2" s="9"/>
      <c r="M2" s="9"/>
      <c r="N2" s="10"/>
      <c r="O2" s="14" t="s">
        <v>8</v>
      </c>
      <c r="P2" s="15"/>
      <c r="Q2" s="15"/>
      <c r="R2" s="15"/>
      <c r="S2" s="15"/>
      <c r="T2" s="15"/>
      <c r="U2" s="15"/>
      <c r="V2" s="16"/>
      <c r="W2" s="8" t="s">
        <v>9</v>
      </c>
      <c r="X2" s="9"/>
      <c r="Y2" s="9"/>
      <c r="Z2" s="9"/>
      <c r="AA2" s="9"/>
      <c r="AB2" s="9"/>
      <c r="AC2" s="9"/>
      <c r="AD2" s="10"/>
      <c r="AE2" s="20" t="s">
        <v>10</v>
      </c>
      <c r="AF2" s="21"/>
      <c r="AG2" s="21"/>
      <c r="AH2" s="21"/>
      <c r="AI2" s="22"/>
      <c r="AJ2" s="27">
        <v>179.5</v>
      </c>
      <c r="AK2" s="28"/>
      <c r="AL2" s="28"/>
      <c r="AM2" s="28"/>
      <c r="AN2" s="28"/>
      <c r="AO2" s="28"/>
      <c r="AP2" s="29"/>
      <c r="AQ2" s="26"/>
      <c r="AR2" s="26"/>
      <c r="AT2" t="str" cm="1">
        <f t="array" ref="AT2:AY2">_xlfn._xlws.FILTER(A2:AP2,A2:AP2&lt;&gt;"",-1)</f>
        <v>Accounting and Finance - BBA (Hons) Scheme</v>
      </c>
      <c r="AU2" t="str">
        <v>JS3060</v>
      </c>
      <c r="AV2" t="str">
        <v>184.3
(subject weighting in details)</v>
      </c>
      <c r="AW2" t="str">
        <v>Any Best 5 Subjects</v>
      </c>
      <c r="AX2" t="str">
        <v>Median</v>
      </c>
      <c r="AY2">
        <v>179.5</v>
      </c>
    </row>
    <row r="3" spans="1:51" ht="21" customHeight="1" x14ac:dyDescent="0.2">
      <c r="A3" s="5"/>
      <c r="B3" s="6"/>
      <c r="C3" s="6"/>
      <c r="D3" s="6"/>
      <c r="E3" s="6"/>
      <c r="F3" s="6"/>
      <c r="G3" s="6"/>
      <c r="H3" s="6"/>
      <c r="I3" s="7"/>
      <c r="J3" s="11"/>
      <c r="K3" s="12"/>
      <c r="L3" s="12"/>
      <c r="M3" s="12"/>
      <c r="N3" s="13"/>
      <c r="O3" s="17"/>
      <c r="P3" s="18"/>
      <c r="Q3" s="18"/>
      <c r="R3" s="18"/>
      <c r="S3" s="18"/>
      <c r="T3" s="18"/>
      <c r="U3" s="18"/>
      <c r="V3" s="19"/>
      <c r="W3" s="11"/>
      <c r="X3" s="12"/>
      <c r="Y3" s="12"/>
      <c r="Z3" s="12"/>
      <c r="AA3" s="12"/>
      <c r="AB3" s="12"/>
      <c r="AC3" s="12"/>
      <c r="AD3" s="13"/>
      <c r="AE3" s="20" t="s">
        <v>11</v>
      </c>
      <c r="AF3" s="21"/>
      <c r="AG3" s="21"/>
      <c r="AH3" s="21"/>
      <c r="AI3" s="22"/>
      <c r="AJ3" s="23">
        <v>179</v>
      </c>
      <c r="AK3" s="24"/>
      <c r="AL3" s="24"/>
      <c r="AM3" s="24"/>
      <c r="AN3" s="24"/>
      <c r="AO3" s="24"/>
      <c r="AP3" s="25"/>
      <c r="AQ3" s="26"/>
      <c r="AR3" s="26"/>
      <c r="AT3" t="str" cm="1">
        <f t="array" ref="AT3:AU3">_xlfn._xlws.FILTER(A3:AP3,A3:AP3&lt;&gt;"",-1)</f>
        <v>Lower Quartile</v>
      </c>
      <c r="AU3">
        <v>179</v>
      </c>
    </row>
    <row r="4" spans="1:51" ht="20.100000000000001" customHeight="1" x14ac:dyDescent="0.2">
      <c r="A4" s="2" t="s">
        <v>12</v>
      </c>
      <c r="B4" s="3"/>
      <c r="C4" s="3"/>
      <c r="D4" s="3"/>
      <c r="E4" s="3"/>
      <c r="F4" s="3"/>
      <c r="G4" s="3"/>
      <c r="H4" s="3"/>
      <c r="I4" s="4"/>
      <c r="J4" s="8" t="s">
        <v>13</v>
      </c>
      <c r="K4" s="9"/>
      <c r="L4" s="9"/>
      <c r="M4" s="9"/>
      <c r="N4" s="10"/>
      <c r="O4" s="14" t="s">
        <v>14</v>
      </c>
      <c r="P4" s="15"/>
      <c r="Q4" s="15"/>
      <c r="R4" s="15"/>
      <c r="S4" s="15"/>
      <c r="T4" s="15"/>
      <c r="U4" s="15"/>
      <c r="V4" s="16"/>
      <c r="W4" s="8" t="s">
        <v>15</v>
      </c>
      <c r="X4" s="9"/>
      <c r="Y4" s="9"/>
      <c r="Z4" s="9"/>
      <c r="AA4" s="9"/>
      <c r="AB4" s="9"/>
      <c r="AC4" s="9"/>
      <c r="AD4" s="10"/>
      <c r="AE4" s="20" t="s">
        <v>10</v>
      </c>
      <c r="AF4" s="21"/>
      <c r="AG4" s="21"/>
      <c r="AH4" s="21"/>
      <c r="AI4" s="22"/>
      <c r="AJ4" s="23">
        <v>196</v>
      </c>
      <c r="AK4" s="24"/>
      <c r="AL4" s="24"/>
      <c r="AM4" s="24"/>
      <c r="AN4" s="24"/>
      <c r="AO4" s="24"/>
      <c r="AP4" s="25"/>
      <c r="AQ4" s="26"/>
      <c r="AR4" s="26"/>
      <c r="AT4" t="str" cm="1">
        <f t="array" ref="AT4:AY4">_xlfn._xlws.FILTER(A4:AP4,A4:AP4&lt;&gt;"",-1)</f>
        <v>Applied Social Sciences - BA (Hons) Scheme</v>
      </c>
      <c r="AU4" t="str">
        <v>JS3250</v>
      </c>
      <c r="AV4" t="str">
        <v>195.3
(subject weighting in details)</v>
      </c>
      <c r="AW4" t="str">
        <v>4 Core + Best 2 Elective Subjects</v>
      </c>
      <c r="AX4" t="str">
        <v>Median</v>
      </c>
      <c r="AY4">
        <v>196</v>
      </c>
    </row>
    <row r="5" spans="1:51" ht="20.100000000000001" customHeight="1" x14ac:dyDescent="0.2">
      <c r="A5" s="5"/>
      <c r="B5" s="6"/>
      <c r="C5" s="6"/>
      <c r="D5" s="6"/>
      <c r="E5" s="6"/>
      <c r="F5" s="6"/>
      <c r="G5" s="6"/>
      <c r="H5" s="6"/>
      <c r="I5" s="7"/>
      <c r="J5" s="11"/>
      <c r="K5" s="12"/>
      <c r="L5" s="12"/>
      <c r="M5" s="12"/>
      <c r="N5" s="13"/>
      <c r="O5" s="17"/>
      <c r="P5" s="18"/>
      <c r="Q5" s="18"/>
      <c r="R5" s="18"/>
      <c r="S5" s="18"/>
      <c r="T5" s="18"/>
      <c r="U5" s="18"/>
      <c r="V5" s="19"/>
      <c r="W5" s="11"/>
      <c r="X5" s="12"/>
      <c r="Y5" s="12"/>
      <c r="Z5" s="12"/>
      <c r="AA5" s="12"/>
      <c r="AB5" s="12"/>
      <c r="AC5" s="12"/>
      <c r="AD5" s="13"/>
      <c r="AE5" s="20" t="s">
        <v>11</v>
      </c>
      <c r="AF5" s="21"/>
      <c r="AG5" s="21"/>
      <c r="AH5" s="21"/>
      <c r="AI5" s="22"/>
      <c r="AJ5" s="23">
        <v>189</v>
      </c>
      <c r="AK5" s="24"/>
      <c r="AL5" s="24"/>
      <c r="AM5" s="24"/>
      <c r="AN5" s="24"/>
      <c r="AO5" s="24"/>
      <c r="AP5" s="25"/>
      <c r="AQ5" s="26"/>
      <c r="AR5" s="26"/>
      <c r="AT5" t="str" cm="1">
        <f t="array" ref="AT5:AU5">_xlfn._xlws.FILTER(A5:AP5,A5:AP5&lt;&gt;"",-1)</f>
        <v>Lower Quartile</v>
      </c>
      <c r="AU5">
        <v>189</v>
      </c>
    </row>
    <row r="6" spans="1:51" ht="21" customHeight="1" x14ac:dyDescent="0.2">
      <c r="A6" s="2" t="s">
        <v>16</v>
      </c>
      <c r="B6" s="3"/>
      <c r="C6" s="3"/>
      <c r="D6" s="3"/>
      <c r="E6" s="3"/>
      <c r="F6" s="3"/>
      <c r="G6" s="3"/>
      <c r="H6" s="3"/>
      <c r="I6" s="4"/>
      <c r="J6" s="8" t="s">
        <v>17</v>
      </c>
      <c r="K6" s="9"/>
      <c r="L6" s="9"/>
      <c r="M6" s="9"/>
      <c r="N6" s="10"/>
      <c r="O6" s="14" t="s">
        <v>18</v>
      </c>
      <c r="P6" s="15"/>
      <c r="Q6" s="15"/>
      <c r="R6" s="15"/>
      <c r="S6" s="15"/>
      <c r="T6" s="15"/>
      <c r="U6" s="15"/>
      <c r="V6" s="16"/>
      <c r="W6" s="8" t="s">
        <v>9</v>
      </c>
      <c r="X6" s="9"/>
      <c r="Y6" s="9"/>
      <c r="Z6" s="9"/>
      <c r="AA6" s="9"/>
      <c r="AB6" s="9"/>
      <c r="AC6" s="9"/>
      <c r="AD6" s="10"/>
      <c r="AE6" s="20" t="s">
        <v>10</v>
      </c>
      <c r="AF6" s="21"/>
      <c r="AG6" s="21"/>
      <c r="AH6" s="21"/>
      <c r="AI6" s="22"/>
      <c r="AJ6" s="23">
        <v>184</v>
      </c>
      <c r="AK6" s="24"/>
      <c r="AL6" s="24"/>
      <c r="AM6" s="24"/>
      <c r="AN6" s="24"/>
      <c r="AO6" s="24"/>
      <c r="AP6" s="25"/>
      <c r="AQ6" s="26"/>
      <c r="AR6" s="26"/>
      <c r="AT6" t="str" cm="1">
        <f t="array" ref="AT6:AY6">_xlfn._xlws.FILTER(A6:AP6,A6:AP6&lt;&gt;"",-1)</f>
        <v>Aviation Engineering - BEng (Hons) Scheme</v>
      </c>
      <c r="AU6" t="str">
        <v>JS3140</v>
      </c>
      <c r="AV6" t="str">
        <v>197.4
(subject weighting in details)</v>
      </c>
      <c r="AW6" t="str">
        <v>Any Best 5 Subjects</v>
      </c>
      <c r="AX6" t="str">
        <v>Median</v>
      </c>
      <c r="AY6">
        <v>184</v>
      </c>
    </row>
    <row r="7" spans="1:51" ht="20.100000000000001" customHeight="1" x14ac:dyDescent="0.2">
      <c r="A7" s="5"/>
      <c r="B7" s="6"/>
      <c r="C7" s="6"/>
      <c r="D7" s="6"/>
      <c r="E7" s="6"/>
      <c r="F7" s="6"/>
      <c r="G7" s="6"/>
      <c r="H7" s="6"/>
      <c r="I7" s="7"/>
      <c r="J7" s="11"/>
      <c r="K7" s="12"/>
      <c r="L7" s="12"/>
      <c r="M7" s="12"/>
      <c r="N7" s="13"/>
      <c r="O7" s="17"/>
      <c r="P7" s="18"/>
      <c r="Q7" s="18"/>
      <c r="R7" s="18"/>
      <c r="S7" s="18"/>
      <c r="T7" s="18"/>
      <c r="U7" s="18"/>
      <c r="V7" s="19"/>
      <c r="W7" s="11"/>
      <c r="X7" s="12"/>
      <c r="Y7" s="12"/>
      <c r="Z7" s="12"/>
      <c r="AA7" s="12"/>
      <c r="AB7" s="12"/>
      <c r="AC7" s="12"/>
      <c r="AD7" s="13"/>
      <c r="AE7" s="20" t="s">
        <v>11</v>
      </c>
      <c r="AF7" s="21"/>
      <c r="AG7" s="21"/>
      <c r="AH7" s="21"/>
      <c r="AI7" s="22"/>
      <c r="AJ7" s="27">
        <v>176.5</v>
      </c>
      <c r="AK7" s="28"/>
      <c r="AL7" s="28"/>
      <c r="AM7" s="28"/>
      <c r="AN7" s="28"/>
      <c r="AO7" s="28"/>
      <c r="AP7" s="29"/>
      <c r="AQ7" s="26"/>
      <c r="AR7" s="26"/>
      <c r="AT7" t="str" cm="1">
        <f t="array" ref="AT7:AU7">_xlfn._xlws.FILTER(A7:AP7,A7:AP7&lt;&gt;"",-1)</f>
        <v>Lower Quartile</v>
      </c>
      <c r="AU7">
        <v>176.5</v>
      </c>
    </row>
    <row r="8" spans="1:51" ht="21" customHeight="1" x14ac:dyDescent="0.2">
      <c r="A8" s="2" t="s">
        <v>19</v>
      </c>
      <c r="B8" s="3"/>
      <c r="C8" s="3"/>
      <c r="D8" s="3"/>
      <c r="E8" s="3"/>
      <c r="F8" s="3"/>
      <c r="G8" s="3"/>
      <c r="H8" s="3"/>
      <c r="I8" s="4"/>
      <c r="J8" s="8" t="s">
        <v>20</v>
      </c>
      <c r="K8" s="9"/>
      <c r="L8" s="9"/>
      <c r="M8" s="9"/>
      <c r="N8" s="10"/>
      <c r="O8" s="14" t="s">
        <v>21</v>
      </c>
      <c r="P8" s="15"/>
      <c r="Q8" s="15"/>
      <c r="R8" s="15"/>
      <c r="S8" s="15"/>
      <c r="T8" s="15"/>
      <c r="U8" s="15"/>
      <c r="V8" s="16"/>
      <c r="W8" s="8" t="s">
        <v>9</v>
      </c>
      <c r="X8" s="9"/>
      <c r="Y8" s="9"/>
      <c r="Z8" s="9"/>
      <c r="AA8" s="9"/>
      <c r="AB8" s="9"/>
      <c r="AC8" s="9"/>
      <c r="AD8" s="10"/>
      <c r="AE8" s="20" t="s">
        <v>10</v>
      </c>
      <c r="AF8" s="21"/>
      <c r="AG8" s="21"/>
      <c r="AH8" s="21"/>
      <c r="AI8" s="22"/>
      <c r="AJ8" s="23">
        <v>164</v>
      </c>
      <c r="AK8" s="24"/>
      <c r="AL8" s="24"/>
      <c r="AM8" s="24"/>
      <c r="AN8" s="24"/>
      <c r="AO8" s="24"/>
      <c r="AP8" s="25"/>
      <c r="AQ8" s="26"/>
      <c r="AR8" s="26"/>
      <c r="AT8" t="str" cm="1">
        <f t="array" ref="AT8:AY8">_xlfn._xlws.FILTER(A8:AP8,A8:AP8&lt;&gt;"",-1)</f>
        <v>Aviation, Maritime and Supply Chain Management - BBA (Hons) Scheme</v>
      </c>
      <c r="AU8" t="str">
        <v>JS3070</v>
      </c>
      <c r="AV8" t="str">
        <v>165.5
(subject weighting in details)</v>
      </c>
      <c r="AW8" t="str">
        <v>Any Best 5 Subjects</v>
      </c>
      <c r="AX8" t="str">
        <v>Median</v>
      </c>
      <c r="AY8">
        <v>164</v>
      </c>
    </row>
    <row r="9" spans="1:51" ht="20.100000000000001" customHeight="1" x14ac:dyDescent="0.2">
      <c r="A9" s="5"/>
      <c r="B9" s="6"/>
      <c r="C9" s="6"/>
      <c r="D9" s="6"/>
      <c r="E9" s="6"/>
      <c r="F9" s="6"/>
      <c r="G9" s="6"/>
      <c r="H9" s="6"/>
      <c r="I9" s="7"/>
      <c r="J9" s="11"/>
      <c r="K9" s="12"/>
      <c r="L9" s="12"/>
      <c r="M9" s="12"/>
      <c r="N9" s="13"/>
      <c r="O9" s="17"/>
      <c r="P9" s="18"/>
      <c r="Q9" s="18"/>
      <c r="R9" s="18"/>
      <c r="S9" s="18"/>
      <c r="T9" s="18"/>
      <c r="U9" s="18"/>
      <c r="V9" s="19"/>
      <c r="W9" s="11"/>
      <c r="X9" s="12"/>
      <c r="Y9" s="12"/>
      <c r="Z9" s="12"/>
      <c r="AA9" s="12"/>
      <c r="AB9" s="12"/>
      <c r="AC9" s="12"/>
      <c r="AD9" s="13"/>
      <c r="AE9" s="20" t="s">
        <v>11</v>
      </c>
      <c r="AF9" s="21"/>
      <c r="AG9" s="21"/>
      <c r="AH9" s="21"/>
      <c r="AI9" s="22"/>
      <c r="AJ9" s="27">
        <v>161.5</v>
      </c>
      <c r="AK9" s="28"/>
      <c r="AL9" s="28"/>
      <c r="AM9" s="28"/>
      <c r="AN9" s="28"/>
      <c r="AO9" s="28"/>
      <c r="AP9" s="29"/>
      <c r="AQ9" s="26"/>
      <c r="AR9" s="26"/>
      <c r="AT9" t="str" cm="1">
        <f t="array" ref="AT9:AU9">_xlfn._xlws.FILTER(A9:AP9,A9:AP9&lt;&gt;"",-1)</f>
        <v>Lower Quartile</v>
      </c>
      <c r="AU9">
        <v>161.5</v>
      </c>
    </row>
    <row r="10" spans="1:51" ht="20.100000000000001" customHeight="1" x14ac:dyDescent="0.2">
      <c r="A10" s="2" t="s">
        <v>22</v>
      </c>
      <c r="B10" s="3"/>
      <c r="C10" s="3"/>
      <c r="D10" s="3"/>
      <c r="E10" s="3"/>
      <c r="F10" s="3"/>
      <c r="G10" s="3"/>
      <c r="H10" s="3"/>
      <c r="I10" s="4"/>
      <c r="J10" s="8" t="s">
        <v>23</v>
      </c>
      <c r="K10" s="9"/>
      <c r="L10" s="9"/>
      <c r="M10" s="9"/>
      <c r="N10" s="10"/>
      <c r="O10" s="14" t="s">
        <v>24</v>
      </c>
      <c r="P10" s="15"/>
      <c r="Q10" s="15"/>
      <c r="R10" s="15"/>
      <c r="S10" s="15"/>
      <c r="T10" s="15"/>
      <c r="U10" s="15"/>
      <c r="V10" s="16"/>
      <c r="W10" s="8" t="s">
        <v>9</v>
      </c>
      <c r="X10" s="9"/>
      <c r="Y10" s="9"/>
      <c r="Z10" s="9"/>
      <c r="AA10" s="9"/>
      <c r="AB10" s="9"/>
      <c r="AC10" s="9"/>
      <c r="AD10" s="10"/>
      <c r="AE10" s="20" t="s">
        <v>10</v>
      </c>
      <c r="AF10" s="21"/>
      <c r="AG10" s="21"/>
      <c r="AH10" s="21"/>
      <c r="AI10" s="22"/>
      <c r="AJ10" s="23">
        <v>227</v>
      </c>
      <c r="AK10" s="24"/>
      <c r="AL10" s="24"/>
      <c r="AM10" s="24"/>
      <c r="AN10" s="24"/>
      <c r="AO10" s="24"/>
      <c r="AP10" s="25"/>
      <c r="AQ10" s="26"/>
      <c r="AR10" s="26"/>
      <c r="AT10" t="str" cm="1">
        <f t="array" ref="AT10:AY10">_xlfn._xlws.FILTER(A10:AP10,A10:AP10&lt;&gt;"",-1)</f>
        <v>Biomedical Engineering - BSc (Hons) Scheme</v>
      </c>
      <c r="AU10" t="str">
        <v>JS3150</v>
      </c>
      <c r="AV10" t="str">
        <v>227.2
(subject weighting in details)</v>
      </c>
      <c r="AW10" t="str">
        <v>Any Best 5 Subjects</v>
      </c>
      <c r="AX10" t="str">
        <v>Median</v>
      </c>
      <c r="AY10">
        <v>227</v>
      </c>
    </row>
    <row r="11" spans="1:51" ht="21" customHeight="1" x14ac:dyDescent="0.2">
      <c r="A11" s="5"/>
      <c r="B11" s="6"/>
      <c r="C11" s="6"/>
      <c r="D11" s="6"/>
      <c r="E11" s="6"/>
      <c r="F11" s="6"/>
      <c r="G11" s="6"/>
      <c r="H11" s="6"/>
      <c r="I11" s="7"/>
      <c r="J11" s="11"/>
      <c r="K11" s="12"/>
      <c r="L11" s="12"/>
      <c r="M11" s="12"/>
      <c r="N11" s="13"/>
      <c r="O11" s="17"/>
      <c r="P11" s="18"/>
      <c r="Q11" s="18"/>
      <c r="R11" s="18"/>
      <c r="S11" s="18"/>
      <c r="T11" s="18"/>
      <c r="U11" s="18"/>
      <c r="V11" s="19"/>
      <c r="W11" s="11"/>
      <c r="X11" s="12"/>
      <c r="Y11" s="12"/>
      <c r="Z11" s="12"/>
      <c r="AA11" s="12"/>
      <c r="AB11" s="12"/>
      <c r="AC11" s="12"/>
      <c r="AD11" s="13"/>
      <c r="AE11" s="20" t="s">
        <v>11</v>
      </c>
      <c r="AF11" s="21"/>
      <c r="AG11" s="21"/>
      <c r="AH11" s="21"/>
      <c r="AI11" s="22"/>
      <c r="AJ11" s="23">
        <v>218</v>
      </c>
      <c r="AK11" s="24"/>
      <c r="AL11" s="24"/>
      <c r="AM11" s="24"/>
      <c r="AN11" s="24"/>
      <c r="AO11" s="24"/>
      <c r="AP11" s="25"/>
      <c r="AQ11" s="26"/>
      <c r="AR11" s="26"/>
      <c r="AT11" t="str" cm="1">
        <f t="array" ref="AT11:AU11">_xlfn._xlws.FILTER(A11:AP11,A11:AP11&lt;&gt;"",-1)</f>
        <v>Lower Quartile</v>
      </c>
      <c r="AU11">
        <v>218</v>
      </c>
    </row>
    <row r="12" spans="1:51" ht="20.100000000000001" customHeight="1" x14ac:dyDescent="0.2">
      <c r="A12" s="2" t="s">
        <v>25</v>
      </c>
      <c r="B12" s="3"/>
      <c r="C12" s="3"/>
      <c r="D12" s="3"/>
      <c r="E12" s="3"/>
      <c r="F12" s="3"/>
      <c r="G12" s="3"/>
      <c r="H12" s="3"/>
      <c r="I12" s="4"/>
      <c r="J12" s="52" t="s">
        <v>26</v>
      </c>
      <c r="K12" s="53"/>
      <c r="L12" s="53"/>
      <c r="M12" s="53"/>
      <c r="N12" s="54"/>
      <c r="O12" s="14" t="s">
        <v>27</v>
      </c>
      <c r="P12" s="15"/>
      <c r="Q12" s="15"/>
      <c r="R12" s="15"/>
      <c r="S12" s="15"/>
      <c r="T12" s="15"/>
      <c r="U12" s="15"/>
      <c r="V12" s="16"/>
      <c r="W12" s="8" t="s">
        <v>9</v>
      </c>
      <c r="X12" s="9"/>
      <c r="Y12" s="9"/>
      <c r="Z12" s="9"/>
      <c r="AA12" s="9"/>
      <c r="AB12" s="9"/>
      <c r="AC12" s="9"/>
      <c r="AD12" s="10"/>
      <c r="AE12" s="20" t="s">
        <v>10</v>
      </c>
      <c r="AF12" s="21"/>
      <c r="AG12" s="21"/>
      <c r="AH12" s="21"/>
      <c r="AI12" s="22"/>
      <c r="AJ12" s="23">
        <v>188</v>
      </c>
      <c r="AK12" s="24"/>
      <c r="AL12" s="24"/>
      <c r="AM12" s="24"/>
      <c r="AN12" s="24"/>
      <c r="AO12" s="24"/>
      <c r="AP12" s="25"/>
      <c r="AQ12" s="26"/>
      <c r="AR12" s="26"/>
      <c r="AT12" t="str" cm="1">
        <f t="array" ref="AT12:AY12">_xlfn._xlws.FILTER(A12:AP12,A12:AP12&lt;&gt;"",-1)</f>
        <v>Biotechnology, Food Safety and Chemical Technology - BSc (Hons) Scheme</v>
      </c>
      <c r="AU12" t="str">
        <v>JS3010#</v>
      </c>
      <c r="AV12" t="str">
        <v>191.4
(subject weighting in details)</v>
      </c>
      <c r="AW12" t="str">
        <v>Any Best 5 Subjects</v>
      </c>
      <c r="AX12" t="str">
        <v>Median</v>
      </c>
      <c r="AY12">
        <v>188</v>
      </c>
    </row>
    <row r="13" spans="1:51" ht="20.100000000000001" customHeight="1" x14ac:dyDescent="0.2">
      <c r="A13" s="5"/>
      <c r="B13" s="6"/>
      <c r="C13" s="6"/>
      <c r="D13" s="6"/>
      <c r="E13" s="6"/>
      <c r="F13" s="6"/>
      <c r="G13" s="6"/>
      <c r="H13" s="6"/>
      <c r="I13" s="7"/>
      <c r="J13" s="55"/>
      <c r="K13" s="56"/>
      <c r="L13" s="56"/>
      <c r="M13" s="56"/>
      <c r="N13" s="57"/>
      <c r="O13" s="17"/>
      <c r="P13" s="18"/>
      <c r="Q13" s="18"/>
      <c r="R13" s="18"/>
      <c r="S13" s="18"/>
      <c r="T13" s="18"/>
      <c r="U13" s="18"/>
      <c r="V13" s="19"/>
      <c r="W13" s="11"/>
      <c r="X13" s="12"/>
      <c r="Y13" s="12"/>
      <c r="Z13" s="12"/>
      <c r="AA13" s="12"/>
      <c r="AB13" s="12"/>
      <c r="AC13" s="12"/>
      <c r="AD13" s="13"/>
      <c r="AE13" s="20" t="s">
        <v>11</v>
      </c>
      <c r="AF13" s="21"/>
      <c r="AG13" s="21"/>
      <c r="AH13" s="21"/>
      <c r="AI13" s="22"/>
      <c r="AJ13" s="23">
        <v>179</v>
      </c>
      <c r="AK13" s="24"/>
      <c r="AL13" s="24"/>
      <c r="AM13" s="24"/>
      <c r="AN13" s="24"/>
      <c r="AO13" s="24"/>
      <c r="AP13" s="25"/>
      <c r="AQ13" s="26"/>
      <c r="AR13" s="26"/>
      <c r="AT13" t="str" cm="1">
        <f t="array" ref="AT13:AU13">_xlfn._xlws.FILTER(A13:AP13,A13:AP13&lt;&gt;"",-1)</f>
        <v>Lower Quartile</v>
      </c>
      <c r="AU13">
        <v>179</v>
      </c>
    </row>
    <row r="14" spans="1:51" ht="21" customHeight="1" x14ac:dyDescent="0.2">
      <c r="A14" s="2" t="s">
        <v>28</v>
      </c>
      <c r="B14" s="3"/>
      <c r="C14" s="3"/>
      <c r="D14" s="3"/>
      <c r="E14" s="3"/>
      <c r="F14" s="3"/>
      <c r="G14" s="3"/>
      <c r="H14" s="3"/>
      <c r="I14" s="4"/>
      <c r="J14" s="8" t="s">
        <v>29</v>
      </c>
      <c r="K14" s="9"/>
      <c r="L14" s="9"/>
      <c r="M14" s="9"/>
      <c r="N14" s="10"/>
      <c r="O14" s="14" t="s">
        <v>30</v>
      </c>
      <c r="P14" s="15"/>
      <c r="Q14" s="15"/>
      <c r="R14" s="15"/>
      <c r="S14" s="15"/>
      <c r="T14" s="15"/>
      <c r="U14" s="15"/>
      <c r="V14" s="16"/>
      <c r="W14" s="8" t="s">
        <v>9</v>
      </c>
      <c r="X14" s="9"/>
      <c r="Y14" s="9"/>
      <c r="Z14" s="9"/>
      <c r="AA14" s="9"/>
      <c r="AB14" s="9"/>
      <c r="AC14" s="9"/>
      <c r="AD14" s="10"/>
      <c r="AE14" s="20" t="s">
        <v>10</v>
      </c>
      <c r="AF14" s="21"/>
      <c r="AG14" s="21"/>
      <c r="AH14" s="21"/>
      <c r="AI14" s="22"/>
      <c r="AJ14" s="23">
        <v>163</v>
      </c>
      <c r="AK14" s="24"/>
      <c r="AL14" s="24"/>
      <c r="AM14" s="24"/>
      <c r="AN14" s="24"/>
      <c r="AO14" s="24"/>
      <c r="AP14" s="25"/>
      <c r="AQ14" s="26"/>
      <c r="AR14" s="26"/>
      <c r="AT14" t="str" cm="1">
        <f t="array" ref="AT14:AY14">_xlfn._xlws.FILTER(A14:AP14,A14:AP14&lt;&gt;"",-1)</f>
        <v>Building and Real Estate - BSc (Hons) Scheme</v>
      </c>
      <c r="AU14" t="str">
        <v>JS3100</v>
      </c>
      <c r="AV14" t="str">
        <v>168.3
(subject weighting in details)</v>
      </c>
      <c r="AW14" t="str">
        <v>Any Best 5 Subjects</v>
      </c>
      <c r="AX14" t="str">
        <v>Median</v>
      </c>
      <c r="AY14">
        <v>163</v>
      </c>
    </row>
    <row r="15" spans="1:51" ht="20.45" customHeight="1" x14ac:dyDescent="0.2">
      <c r="A15" s="5"/>
      <c r="B15" s="6"/>
      <c r="C15" s="6"/>
      <c r="D15" s="6"/>
      <c r="E15" s="6"/>
      <c r="F15" s="6"/>
      <c r="G15" s="6"/>
      <c r="H15" s="6"/>
      <c r="I15" s="7"/>
      <c r="J15" s="11"/>
      <c r="K15" s="12"/>
      <c r="L15" s="12"/>
      <c r="M15" s="12"/>
      <c r="N15" s="13"/>
      <c r="O15" s="17"/>
      <c r="P15" s="18"/>
      <c r="Q15" s="18"/>
      <c r="R15" s="18"/>
      <c r="S15" s="18"/>
      <c r="T15" s="18"/>
      <c r="U15" s="18"/>
      <c r="V15" s="19"/>
      <c r="W15" s="11"/>
      <c r="X15" s="12"/>
      <c r="Y15" s="12"/>
      <c r="Z15" s="12"/>
      <c r="AA15" s="12"/>
      <c r="AB15" s="12"/>
      <c r="AC15" s="12"/>
      <c r="AD15" s="13"/>
      <c r="AE15" s="20" t="s">
        <v>11</v>
      </c>
      <c r="AF15" s="21"/>
      <c r="AG15" s="21"/>
      <c r="AH15" s="21"/>
      <c r="AI15" s="22"/>
      <c r="AJ15" s="23">
        <v>152</v>
      </c>
      <c r="AK15" s="24"/>
      <c r="AL15" s="24"/>
      <c r="AM15" s="24"/>
      <c r="AN15" s="24"/>
      <c r="AO15" s="24"/>
      <c r="AP15" s="25"/>
      <c r="AQ15" s="26"/>
      <c r="AR15" s="26"/>
      <c r="AT15" t="str" cm="1">
        <f t="array" ref="AT15:AU15">_xlfn._xlws.FILTER(A15:AP15,A15:AP15&lt;&gt;"",-1)</f>
        <v>Lower Quartile</v>
      </c>
      <c r="AU15">
        <v>152</v>
      </c>
    </row>
    <row r="16" spans="1:51" ht="41.1" customHeight="1" x14ac:dyDescent="0.2">
      <c r="A16" s="30" t="s">
        <v>0</v>
      </c>
      <c r="B16" s="31"/>
      <c r="C16" s="31"/>
      <c r="D16" s="31"/>
      <c r="E16" s="31"/>
      <c r="F16" s="31"/>
      <c r="G16" s="31"/>
      <c r="H16" s="32"/>
      <c r="I16" s="33" t="s">
        <v>1</v>
      </c>
      <c r="J16" s="34"/>
      <c r="K16" s="34"/>
      <c r="L16" s="34"/>
      <c r="M16" s="35"/>
      <c r="N16" s="36" t="s">
        <v>2</v>
      </c>
      <c r="O16" s="37"/>
      <c r="P16" s="37"/>
      <c r="Q16" s="37"/>
      <c r="R16" s="37"/>
      <c r="S16" s="37"/>
      <c r="T16" s="37"/>
      <c r="U16" s="38"/>
      <c r="V16" s="39" t="s">
        <v>3</v>
      </c>
      <c r="W16" s="40"/>
      <c r="X16" s="40"/>
      <c r="Y16" s="40"/>
      <c r="Z16" s="40"/>
      <c r="AA16" s="40"/>
      <c r="AB16" s="40"/>
      <c r="AC16" s="41"/>
      <c r="AD16" s="42" t="s">
        <v>4</v>
      </c>
      <c r="AE16" s="43"/>
      <c r="AF16" s="43"/>
      <c r="AG16" s="43"/>
      <c r="AH16" s="44"/>
      <c r="AI16" s="39" t="s">
        <v>5</v>
      </c>
      <c r="AJ16" s="40"/>
      <c r="AK16" s="40"/>
      <c r="AL16" s="40"/>
      <c r="AM16" s="40"/>
      <c r="AN16" s="41"/>
      <c r="AT16" t="str" cm="1">
        <f t="array" ref="AT16:AY16">_xlfn._xlws.FILTER(A16:AP16,A16:AP16&lt;&gt;"",-1)</f>
        <v>Scheme / Programme</v>
      </c>
      <c r="AU16" t="str">
        <v>JUPAS Code</v>
      </c>
      <c r="AV16" t="str">
        <v>Average HKDSE Score With Subject Weighting (23/24)</v>
      </c>
      <c r="AW16" t="str">
        <v>Admission Score Calculation Mechanism</v>
      </c>
      <c r="AX16" t="str">
        <v>Percentile</v>
      </c>
      <c r="AY16" t="str">
        <v>HKDSE Score with Subject Weighting</v>
      </c>
    </row>
    <row r="17" spans="1:51" ht="21" customHeight="1" x14ac:dyDescent="0.2">
      <c r="A17" s="2" t="s">
        <v>31</v>
      </c>
      <c r="B17" s="3"/>
      <c r="C17" s="3"/>
      <c r="D17" s="3"/>
      <c r="E17" s="3"/>
      <c r="F17" s="3"/>
      <c r="G17" s="3"/>
      <c r="H17" s="4"/>
      <c r="I17" s="8" t="s">
        <v>32</v>
      </c>
      <c r="J17" s="9"/>
      <c r="K17" s="9"/>
      <c r="L17" s="9"/>
      <c r="M17" s="10"/>
      <c r="N17" s="14" t="s">
        <v>33</v>
      </c>
      <c r="O17" s="15"/>
      <c r="P17" s="15"/>
      <c r="Q17" s="15"/>
      <c r="R17" s="15"/>
      <c r="S17" s="15"/>
      <c r="T17" s="15"/>
      <c r="U17" s="16"/>
      <c r="V17" s="8" t="s">
        <v>9</v>
      </c>
      <c r="W17" s="9"/>
      <c r="X17" s="9"/>
      <c r="Y17" s="9"/>
      <c r="Z17" s="9"/>
      <c r="AA17" s="9"/>
      <c r="AB17" s="9"/>
      <c r="AC17" s="10"/>
      <c r="AD17" s="20" t="s">
        <v>10</v>
      </c>
      <c r="AE17" s="21"/>
      <c r="AF17" s="21"/>
      <c r="AG17" s="21"/>
      <c r="AH17" s="22"/>
      <c r="AI17" s="23">
        <v>176</v>
      </c>
      <c r="AJ17" s="24"/>
      <c r="AK17" s="24"/>
      <c r="AL17" s="24"/>
      <c r="AM17" s="24"/>
      <c r="AN17" s="25"/>
      <c r="AT17" t="str" cm="1">
        <f t="array" ref="AT17:AY17">_xlfn._xlws.FILTER(A17:AP17,A17:AP17&lt;&gt;"",-1)</f>
        <v>Building Sciences and Engineering - BEng (Hons) Scheme</v>
      </c>
      <c r="AU17" t="str">
        <v>JS3110</v>
      </c>
      <c r="AV17" t="str">
        <v>178.5
(subject weighting in details)</v>
      </c>
      <c r="AW17" t="str">
        <v>Any Best 5 Subjects</v>
      </c>
      <c r="AX17" t="str">
        <v>Median</v>
      </c>
      <c r="AY17">
        <v>176</v>
      </c>
    </row>
    <row r="18" spans="1:51" ht="20.100000000000001" customHeight="1" x14ac:dyDescent="0.2">
      <c r="A18" s="5"/>
      <c r="B18" s="6"/>
      <c r="C18" s="6"/>
      <c r="D18" s="6"/>
      <c r="E18" s="6"/>
      <c r="F18" s="6"/>
      <c r="G18" s="6"/>
      <c r="H18" s="7"/>
      <c r="I18" s="11"/>
      <c r="J18" s="12"/>
      <c r="K18" s="12"/>
      <c r="L18" s="12"/>
      <c r="M18" s="13"/>
      <c r="N18" s="17"/>
      <c r="O18" s="18"/>
      <c r="P18" s="18"/>
      <c r="Q18" s="18"/>
      <c r="R18" s="18"/>
      <c r="S18" s="18"/>
      <c r="T18" s="18"/>
      <c r="U18" s="19"/>
      <c r="V18" s="11"/>
      <c r="W18" s="12"/>
      <c r="X18" s="12"/>
      <c r="Y18" s="12"/>
      <c r="Z18" s="12"/>
      <c r="AA18" s="12"/>
      <c r="AB18" s="12"/>
      <c r="AC18" s="13"/>
      <c r="AD18" s="20" t="s">
        <v>11</v>
      </c>
      <c r="AE18" s="21"/>
      <c r="AF18" s="21"/>
      <c r="AG18" s="21"/>
      <c r="AH18" s="22"/>
      <c r="AI18" s="23">
        <v>171</v>
      </c>
      <c r="AJ18" s="24"/>
      <c r="AK18" s="24"/>
      <c r="AL18" s="24"/>
      <c r="AM18" s="24"/>
      <c r="AN18" s="25"/>
      <c r="AT18" t="str" cm="1">
        <f t="array" ref="AT18:AU18">_xlfn._xlws.FILTER(A18:AP18,A18:AP18&lt;&gt;"",-1)</f>
        <v>Lower Quartile</v>
      </c>
      <c r="AU18">
        <v>171</v>
      </c>
    </row>
    <row r="19" spans="1:51" ht="20.100000000000001" customHeight="1" x14ac:dyDescent="0.2">
      <c r="A19" s="2" t="s">
        <v>34</v>
      </c>
      <c r="B19" s="3"/>
      <c r="C19" s="3"/>
      <c r="D19" s="3"/>
      <c r="E19" s="3"/>
      <c r="F19" s="3"/>
      <c r="G19" s="3"/>
      <c r="H19" s="4"/>
      <c r="I19" s="8" t="s">
        <v>35</v>
      </c>
      <c r="J19" s="9"/>
      <c r="K19" s="9"/>
      <c r="L19" s="9"/>
      <c r="M19" s="10"/>
      <c r="N19" s="14" t="s">
        <v>36</v>
      </c>
      <c r="O19" s="15"/>
      <c r="P19" s="15"/>
      <c r="Q19" s="15"/>
      <c r="R19" s="15"/>
      <c r="S19" s="15"/>
      <c r="T19" s="15"/>
      <c r="U19" s="16"/>
      <c r="V19" s="46" t="s">
        <v>37</v>
      </c>
      <c r="W19" s="47"/>
      <c r="X19" s="47"/>
      <c r="Y19" s="47"/>
      <c r="Z19" s="47"/>
      <c r="AA19" s="47"/>
      <c r="AB19" s="47"/>
      <c r="AC19" s="48"/>
      <c r="AD19" s="20" t="s">
        <v>10</v>
      </c>
      <c r="AE19" s="21"/>
      <c r="AF19" s="21"/>
      <c r="AG19" s="21"/>
      <c r="AH19" s="22"/>
      <c r="AI19" s="23">
        <v>201</v>
      </c>
      <c r="AJ19" s="24"/>
      <c r="AK19" s="24"/>
      <c r="AL19" s="24"/>
      <c r="AM19" s="24"/>
      <c r="AN19" s="25"/>
      <c r="AT19" t="str" cm="1">
        <f t="array" ref="AT19:AY19">_xlfn._xlws.FILTER(A19:AP19,A19:AP19&lt;&gt;"",-1)</f>
        <v>Chinese History and Culture - BA (Hons) Scheme</v>
      </c>
      <c r="AU19" t="str">
        <v>JS3320</v>
      </c>
      <c r="AV19" t="str">
        <v>196.9
(subject weighting in details)</v>
      </c>
      <c r="AW19" t="str">
        <v>Chinese &amp; English Languages + Any Best 3 Subjects</v>
      </c>
      <c r="AX19" t="str">
        <v>Median</v>
      </c>
      <c r="AY19">
        <v>201</v>
      </c>
    </row>
    <row r="20" spans="1:51" ht="21" customHeight="1" x14ac:dyDescent="0.2">
      <c r="A20" s="5"/>
      <c r="B20" s="6"/>
      <c r="C20" s="6"/>
      <c r="D20" s="6"/>
      <c r="E20" s="6"/>
      <c r="F20" s="6"/>
      <c r="G20" s="6"/>
      <c r="H20" s="7"/>
      <c r="I20" s="11"/>
      <c r="J20" s="12"/>
      <c r="K20" s="12"/>
      <c r="L20" s="12"/>
      <c r="M20" s="13"/>
      <c r="N20" s="17"/>
      <c r="O20" s="18"/>
      <c r="P20" s="18"/>
      <c r="Q20" s="18"/>
      <c r="R20" s="18"/>
      <c r="S20" s="18"/>
      <c r="T20" s="18"/>
      <c r="U20" s="19"/>
      <c r="V20" s="49"/>
      <c r="W20" s="50"/>
      <c r="X20" s="50"/>
      <c r="Y20" s="50"/>
      <c r="Z20" s="50"/>
      <c r="AA20" s="50"/>
      <c r="AB20" s="50"/>
      <c r="AC20" s="51"/>
      <c r="AD20" s="20" t="s">
        <v>11</v>
      </c>
      <c r="AE20" s="21"/>
      <c r="AF20" s="21"/>
      <c r="AG20" s="21"/>
      <c r="AH20" s="22"/>
      <c r="AI20" s="23">
        <v>180</v>
      </c>
      <c r="AJ20" s="24"/>
      <c r="AK20" s="24"/>
      <c r="AL20" s="24"/>
      <c r="AM20" s="24"/>
      <c r="AN20" s="25"/>
      <c r="AT20" t="str" cm="1">
        <f t="array" ref="AT20:AU20">_xlfn._xlws.FILTER(A20:AP20,A20:AP20&lt;&gt;"",-1)</f>
        <v>Lower Quartile</v>
      </c>
      <c r="AU20">
        <v>180</v>
      </c>
    </row>
    <row r="21" spans="1:51" ht="20.100000000000001" customHeight="1" x14ac:dyDescent="0.2">
      <c r="A21" s="2" t="s">
        <v>38</v>
      </c>
      <c r="B21" s="3"/>
      <c r="C21" s="3"/>
      <c r="D21" s="3"/>
      <c r="E21" s="3"/>
      <c r="F21" s="3"/>
      <c r="G21" s="3"/>
      <c r="H21" s="4"/>
      <c r="I21" s="8" t="s">
        <v>39</v>
      </c>
      <c r="J21" s="9"/>
      <c r="K21" s="9"/>
      <c r="L21" s="9"/>
      <c r="M21" s="10"/>
      <c r="N21" s="14" t="s">
        <v>40</v>
      </c>
      <c r="O21" s="15"/>
      <c r="P21" s="15"/>
      <c r="Q21" s="15"/>
      <c r="R21" s="15"/>
      <c r="S21" s="15"/>
      <c r="T21" s="15"/>
      <c r="U21" s="16"/>
      <c r="V21" s="8" t="s">
        <v>9</v>
      </c>
      <c r="W21" s="9"/>
      <c r="X21" s="9"/>
      <c r="Y21" s="9"/>
      <c r="Z21" s="9"/>
      <c r="AA21" s="9"/>
      <c r="AB21" s="9"/>
      <c r="AC21" s="10"/>
      <c r="AD21" s="20" t="s">
        <v>10</v>
      </c>
      <c r="AE21" s="21"/>
      <c r="AF21" s="21"/>
      <c r="AG21" s="21"/>
      <c r="AH21" s="22"/>
      <c r="AI21" s="23">
        <v>205</v>
      </c>
      <c r="AJ21" s="24"/>
      <c r="AK21" s="24"/>
      <c r="AL21" s="24"/>
      <c r="AM21" s="24"/>
      <c r="AN21" s="25"/>
      <c r="AT21" t="str" cm="1">
        <f t="array" ref="AT21:AY21">_xlfn._xlws.FILTER(A21:AP21,A21:AP21&lt;&gt;"",-1)</f>
        <v>Civil Engineering and Sustainable Development - BEng (Hons) Scheme</v>
      </c>
      <c r="AU21" t="str">
        <v>JS3120</v>
      </c>
      <c r="AV21" t="str">
        <v>213.5
(subject weighting in details)</v>
      </c>
      <c r="AW21" t="str">
        <v>Any Best 5 Subjects</v>
      </c>
      <c r="AX21" t="str">
        <v>Median</v>
      </c>
      <c r="AY21">
        <v>205</v>
      </c>
    </row>
    <row r="22" spans="1:51" ht="20.100000000000001" customHeight="1" x14ac:dyDescent="0.2">
      <c r="A22" s="5"/>
      <c r="B22" s="6"/>
      <c r="C22" s="6"/>
      <c r="D22" s="6"/>
      <c r="E22" s="6"/>
      <c r="F22" s="6"/>
      <c r="G22" s="6"/>
      <c r="H22" s="7"/>
      <c r="I22" s="11"/>
      <c r="J22" s="12"/>
      <c r="K22" s="12"/>
      <c r="L22" s="12"/>
      <c r="M22" s="13"/>
      <c r="N22" s="17"/>
      <c r="O22" s="18"/>
      <c r="P22" s="18"/>
      <c r="Q22" s="18"/>
      <c r="R22" s="18"/>
      <c r="S22" s="18"/>
      <c r="T22" s="18"/>
      <c r="U22" s="19"/>
      <c r="V22" s="11"/>
      <c r="W22" s="12"/>
      <c r="X22" s="12"/>
      <c r="Y22" s="12"/>
      <c r="Z22" s="12"/>
      <c r="AA22" s="12"/>
      <c r="AB22" s="12"/>
      <c r="AC22" s="13"/>
      <c r="AD22" s="20" t="s">
        <v>11</v>
      </c>
      <c r="AE22" s="21"/>
      <c r="AF22" s="21"/>
      <c r="AG22" s="21"/>
      <c r="AH22" s="22"/>
      <c r="AI22" s="23">
        <v>200</v>
      </c>
      <c r="AJ22" s="24"/>
      <c r="AK22" s="24"/>
      <c r="AL22" s="24"/>
      <c r="AM22" s="24"/>
      <c r="AN22" s="25"/>
      <c r="AT22" t="str" cm="1">
        <f t="array" ref="AT22:AU22">_xlfn._xlws.FILTER(A22:AP22,A22:AP22&lt;&gt;"",-1)</f>
        <v>Lower Quartile</v>
      </c>
      <c r="AU22">
        <v>200</v>
      </c>
    </row>
    <row r="23" spans="1:51" ht="21" customHeight="1" x14ac:dyDescent="0.2">
      <c r="A23" s="2" t="s">
        <v>41</v>
      </c>
      <c r="B23" s="3"/>
      <c r="C23" s="3"/>
      <c r="D23" s="3"/>
      <c r="E23" s="3"/>
      <c r="F23" s="3"/>
      <c r="G23" s="3"/>
      <c r="H23" s="4"/>
      <c r="I23" s="8" t="s">
        <v>42</v>
      </c>
      <c r="J23" s="9"/>
      <c r="K23" s="9"/>
      <c r="L23" s="9"/>
      <c r="M23" s="10"/>
      <c r="N23" s="14" t="s">
        <v>43</v>
      </c>
      <c r="O23" s="15"/>
      <c r="P23" s="15"/>
      <c r="Q23" s="15"/>
      <c r="R23" s="15"/>
      <c r="S23" s="15"/>
      <c r="T23" s="15"/>
      <c r="U23" s="16"/>
      <c r="V23" s="8" t="s">
        <v>9</v>
      </c>
      <c r="W23" s="9"/>
      <c r="X23" s="9"/>
      <c r="Y23" s="9"/>
      <c r="Z23" s="9"/>
      <c r="AA23" s="9"/>
      <c r="AB23" s="9"/>
      <c r="AC23" s="10"/>
      <c r="AD23" s="20" t="s">
        <v>10</v>
      </c>
      <c r="AE23" s="21"/>
      <c r="AF23" s="21"/>
      <c r="AG23" s="21"/>
      <c r="AH23" s="22"/>
      <c r="AI23" s="23">
        <v>208</v>
      </c>
      <c r="AJ23" s="24"/>
      <c r="AK23" s="24"/>
      <c r="AL23" s="24"/>
      <c r="AM23" s="24"/>
      <c r="AN23" s="25"/>
      <c r="AT23" t="str" cm="1">
        <f t="array" ref="AT23:AY23">_xlfn._xlws.FILTER(A23:AP23,A23:AP23&lt;&gt;"",-1)</f>
        <v>Computing and AI - BSc (Hons) Scheme</v>
      </c>
      <c r="AU23" t="str">
        <v>JS3868</v>
      </c>
      <c r="AV23" t="str">
        <v>214.2
(subject weighting in details)</v>
      </c>
      <c r="AW23" t="str">
        <v>Any Best 5 Subjects</v>
      </c>
      <c r="AX23" t="str">
        <v>Median</v>
      </c>
      <c r="AY23">
        <v>208</v>
      </c>
    </row>
    <row r="24" spans="1:51" ht="20.100000000000001" customHeight="1" x14ac:dyDescent="0.2">
      <c r="A24" s="5"/>
      <c r="B24" s="6"/>
      <c r="C24" s="6"/>
      <c r="D24" s="6"/>
      <c r="E24" s="6"/>
      <c r="F24" s="6"/>
      <c r="G24" s="6"/>
      <c r="H24" s="7"/>
      <c r="I24" s="11"/>
      <c r="J24" s="12"/>
      <c r="K24" s="12"/>
      <c r="L24" s="12"/>
      <c r="M24" s="13"/>
      <c r="N24" s="17"/>
      <c r="O24" s="18"/>
      <c r="P24" s="18"/>
      <c r="Q24" s="18"/>
      <c r="R24" s="18"/>
      <c r="S24" s="18"/>
      <c r="T24" s="18"/>
      <c r="U24" s="19"/>
      <c r="V24" s="11"/>
      <c r="W24" s="12"/>
      <c r="X24" s="12"/>
      <c r="Y24" s="12"/>
      <c r="Z24" s="12"/>
      <c r="AA24" s="12"/>
      <c r="AB24" s="12"/>
      <c r="AC24" s="13"/>
      <c r="AD24" s="20" t="s">
        <v>11</v>
      </c>
      <c r="AE24" s="21"/>
      <c r="AF24" s="21"/>
      <c r="AG24" s="21"/>
      <c r="AH24" s="22"/>
      <c r="AI24" s="23">
        <v>195</v>
      </c>
      <c r="AJ24" s="24"/>
      <c r="AK24" s="24"/>
      <c r="AL24" s="24"/>
      <c r="AM24" s="24"/>
      <c r="AN24" s="25"/>
      <c r="AT24" t="str" cm="1">
        <f t="array" ref="AT24:AU24">_xlfn._xlws.FILTER(A24:AP24,A24:AP24&lt;&gt;"",-1)</f>
        <v>Lower Quartile</v>
      </c>
      <c r="AU24">
        <v>195</v>
      </c>
    </row>
    <row r="25" spans="1:51" ht="21" customHeight="1" x14ac:dyDescent="0.2">
      <c r="A25" s="2" t="s">
        <v>44</v>
      </c>
      <c r="B25" s="3"/>
      <c r="C25" s="3"/>
      <c r="D25" s="3"/>
      <c r="E25" s="3"/>
      <c r="F25" s="3"/>
      <c r="G25" s="3"/>
      <c r="H25" s="4"/>
      <c r="I25" s="8" t="s">
        <v>45</v>
      </c>
      <c r="J25" s="9"/>
      <c r="K25" s="9"/>
      <c r="L25" s="9"/>
      <c r="M25" s="10"/>
      <c r="N25" s="14" t="s">
        <v>46</v>
      </c>
      <c r="O25" s="15"/>
      <c r="P25" s="15"/>
      <c r="Q25" s="15"/>
      <c r="R25" s="15"/>
      <c r="S25" s="15"/>
      <c r="T25" s="15"/>
      <c r="U25" s="16"/>
      <c r="V25" s="8" t="s">
        <v>9</v>
      </c>
      <c r="W25" s="9"/>
      <c r="X25" s="9"/>
      <c r="Y25" s="9"/>
      <c r="Z25" s="9"/>
      <c r="AA25" s="9"/>
      <c r="AB25" s="9"/>
      <c r="AC25" s="10"/>
      <c r="AD25" s="20" t="s">
        <v>10</v>
      </c>
      <c r="AE25" s="21"/>
      <c r="AF25" s="21"/>
      <c r="AG25" s="21"/>
      <c r="AH25" s="22"/>
      <c r="AI25" s="27">
        <v>180.5</v>
      </c>
      <c r="AJ25" s="28"/>
      <c r="AK25" s="28"/>
      <c r="AL25" s="28"/>
      <c r="AM25" s="28"/>
      <c r="AN25" s="29"/>
      <c r="AT25" t="str" cm="1">
        <f t="array" ref="AT25:AY25">_xlfn._xlws.FILTER(A25:AP25,A25:AP25&lt;&gt;"",-1)</f>
        <v>Data Science - BSc (Hons) Scheme</v>
      </c>
      <c r="AU25" t="str">
        <v>JS3020</v>
      </c>
      <c r="AV25" t="str">
        <v>184.4
(subject weighting in details)</v>
      </c>
      <c r="AW25" t="str">
        <v>Any Best 5 Subjects</v>
      </c>
      <c r="AX25" t="str">
        <v>Median</v>
      </c>
      <c r="AY25">
        <v>180.5</v>
      </c>
    </row>
    <row r="26" spans="1:51" ht="20.100000000000001" customHeight="1" x14ac:dyDescent="0.2">
      <c r="A26" s="5"/>
      <c r="B26" s="6"/>
      <c r="C26" s="6"/>
      <c r="D26" s="6"/>
      <c r="E26" s="6"/>
      <c r="F26" s="6"/>
      <c r="G26" s="6"/>
      <c r="H26" s="7"/>
      <c r="I26" s="11"/>
      <c r="J26" s="12"/>
      <c r="K26" s="12"/>
      <c r="L26" s="12"/>
      <c r="M26" s="13"/>
      <c r="N26" s="17"/>
      <c r="O26" s="18"/>
      <c r="P26" s="18"/>
      <c r="Q26" s="18"/>
      <c r="R26" s="18"/>
      <c r="S26" s="18"/>
      <c r="T26" s="18"/>
      <c r="U26" s="19"/>
      <c r="V26" s="11"/>
      <c r="W26" s="12"/>
      <c r="X26" s="12"/>
      <c r="Y26" s="12"/>
      <c r="Z26" s="12"/>
      <c r="AA26" s="12"/>
      <c r="AB26" s="12"/>
      <c r="AC26" s="13"/>
      <c r="AD26" s="20" t="s">
        <v>11</v>
      </c>
      <c r="AE26" s="21"/>
      <c r="AF26" s="21"/>
      <c r="AG26" s="21"/>
      <c r="AH26" s="22"/>
      <c r="AI26" s="27">
        <v>174.5</v>
      </c>
      <c r="AJ26" s="28"/>
      <c r="AK26" s="28"/>
      <c r="AL26" s="28"/>
      <c r="AM26" s="28"/>
      <c r="AN26" s="29"/>
      <c r="AT26" t="str" cm="1">
        <f t="array" ref="AT26:AU26">_xlfn._xlws.FILTER(A26:AP26,A26:AP26&lt;&gt;"",-1)</f>
        <v>Lower Quartile</v>
      </c>
      <c r="AU26">
        <v>174.5</v>
      </c>
    </row>
    <row r="27" spans="1:51" ht="20.100000000000001" customHeight="1" x14ac:dyDescent="0.2">
      <c r="A27" s="2" t="s">
        <v>47</v>
      </c>
      <c r="B27" s="3"/>
      <c r="C27" s="3"/>
      <c r="D27" s="3"/>
      <c r="E27" s="3"/>
      <c r="F27" s="3"/>
      <c r="G27" s="3"/>
      <c r="H27" s="4"/>
      <c r="I27" s="8" t="s">
        <v>48</v>
      </c>
      <c r="J27" s="9"/>
      <c r="K27" s="9"/>
      <c r="L27" s="9"/>
      <c r="M27" s="10"/>
      <c r="N27" s="14" t="s">
        <v>49</v>
      </c>
      <c r="O27" s="15"/>
      <c r="P27" s="15"/>
      <c r="Q27" s="15"/>
      <c r="R27" s="15"/>
      <c r="S27" s="15"/>
      <c r="T27" s="15"/>
      <c r="U27" s="16"/>
      <c r="V27" s="8" t="s">
        <v>9</v>
      </c>
      <c r="W27" s="9"/>
      <c r="X27" s="9"/>
      <c r="Y27" s="9"/>
      <c r="Z27" s="9"/>
      <c r="AA27" s="9"/>
      <c r="AB27" s="9"/>
      <c r="AC27" s="10"/>
      <c r="AD27" s="20" t="s">
        <v>10</v>
      </c>
      <c r="AE27" s="21"/>
      <c r="AF27" s="21"/>
      <c r="AG27" s="21"/>
      <c r="AH27" s="22"/>
      <c r="AI27" s="23">
        <v>220</v>
      </c>
      <c r="AJ27" s="24"/>
      <c r="AK27" s="24"/>
      <c r="AL27" s="24"/>
      <c r="AM27" s="24"/>
      <c r="AN27" s="25"/>
      <c r="AT27" t="str" cm="1">
        <f t="array" ref="AT27:AY27">_xlfn._xlws.FILTER(A27:AP27,A27:AP27&lt;&gt;"",-1)</f>
        <v>Design - BA (Hons) Scheme</v>
      </c>
      <c r="AU27" t="str">
        <v>JS3569</v>
      </c>
      <c r="AV27" t="str">
        <v>212.6
(subject weighting in details)</v>
      </c>
      <c r="AW27" t="str">
        <v>Any Best 5 Subjects</v>
      </c>
      <c r="AX27" t="str">
        <v>Median</v>
      </c>
      <c r="AY27">
        <v>220</v>
      </c>
    </row>
    <row r="28" spans="1:51" ht="21" customHeight="1" x14ac:dyDescent="0.2">
      <c r="A28" s="5"/>
      <c r="B28" s="6"/>
      <c r="C28" s="6"/>
      <c r="D28" s="6"/>
      <c r="E28" s="6"/>
      <c r="F28" s="6"/>
      <c r="G28" s="6"/>
      <c r="H28" s="7"/>
      <c r="I28" s="11"/>
      <c r="J28" s="12"/>
      <c r="K28" s="12"/>
      <c r="L28" s="12"/>
      <c r="M28" s="13"/>
      <c r="N28" s="17"/>
      <c r="O28" s="18"/>
      <c r="P28" s="18"/>
      <c r="Q28" s="18"/>
      <c r="R28" s="18"/>
      <c r="S28" s="18"/>
      <c r="T28" s="18"/>
      <c r="U28" s="19"/>
      <c r="V28" s="11"/>
      <c r="W28" s="12"/>
      <c r="X28" s="12"/>
      <c r="Y28" s="12"/>
      <c r="Z28" s="12"/>
      <c r="AA28" s="12"/>
      <c r="AB28" s="12"/>
      <c r="AC28" s="13"/>
      <c r="AD28" s="20" t="s">
        <v>11</v>
      </c>
      <c r="AE28" s="21"/>
      <c r="AF28" s="21"/>
      <c r="AG28" s="21"/>
      <c r="AH28" s="22"/>
      <c r="AI28" s="23">
        <v>210</v>
      </c>
      <c r="AJ28" s="24"/>
      <c r="AK28" s="24"/>
      <c r="AL28" s="24"/>
      <c r="AM28" s="24"/>
      <c r="AN28" s="25"/>
      <c r="AT28" t="str" cm="1">
        <f t="array" ref="AT28:AU28">_xlfn._xlws.FILTER(A28:AP28,A28:AP28&lt;&gt;"",-1)</f>
        <v>Lower Quartile</v>
      </c>
      <c r="AU28">
        <v>210</v>
      </c>
    </row>
    <row r="29" spans="1:51" ht="20.100000000000001" customHeight="1" x14ac:dyDescent="0.2">
      <c r="A29" s="2" t="s">
        <v>50</v>
      </c>
      <c r="B29" s="3"/>
      <c r="C29" s="3"/>
      <c r="D29" s="3"/>
      <c r="E29" s="3"/>
      <c r="F29" s="3"/>
      <c r="G29" s="3"/>
      <c r="H29" s="4"/>
      <c r="I29" s="8" t="s">
        <v>51</v>
      </c>
      <c r="J29" s="9"/>
      <c r="K29" s="9"/>
      <c r="L29" s="9"/>
      <c r="M29" s="10"/>
      <c r="N29" s="14" t="s">
        <v>52</v>
      </c>
      <c r="O29" s="15"/>
      <c r="P29" s="15"/>
      <c r="Q29" s="15"/>
      <c r="R29" s="15"/>
      <c r="S29" s="15"/>
      <c r="T29" s="15"/>
      <c r="U29" s="16"/>
      <c r="V29" s="8" t="s">
        <v>9</v>
      </c>
      <c r="W29" s="9"/>
      <c r="X29" s="9"/>
      <c r="Y29" s="9"/>
      <c r="Z29" s="9"/>
      <c r="AA29" s="9"/>
      <c r="AB29" s="9"/>
      <c r="AC29" s="10"/>
      <c r="AD29" s="20" t="s">
        <v>10</v>
      </c>
      <c r="AE29" s="21"/>
      <c r="AF29" s="21"/>
      <c r="AG29" s="21"/>
      <c r="AH29" s="22"/>
      <c r="AI29" s="23">
        <v>180</v>
      </c>
      <c r="AJ29" s="24"/>
      <c r="AK29" s="24"/>
      <c r="AL29" s="24"/>
      <c r="AM29" s="24"/>
      <c r="AN29" s="25"/>
      <c r="AT29" t="str" cm="1">
        <f t="array" ref="AT29:AY29">_xlfn._xlws.FILTER(A29:AP29,A29:AP29&lt;&gt;"",-1)</f>
        <v>Electrical Engineering - BEng (Hons) Scheme</v>
      </c>
      <c r="AU29" t="str">
        <v>JS3170</v>
      </c>
      <c r="AV29" t="str">
        <v>182.7
(subject weighting in details)</v>
      </c>
      <c r="AW29" t="str">
        <v>Any Best 5 Subjects</v>
      </c>
      <c r="AX29" t="str">
        <v>Median</v>
      </c>
      <c r="AY29">
        <v>180</v>
      </c>
    </row>
    <row r="30" spans="1:51" ht="20.100000000000001" customHeight="1" x14ac:dyDescent="0.2">
      <c r="A30" s="5"/>
      <c r="B30" s="6"/>
      <c r="C30" s="6"/>
      <c r="D30" s="6"/>
      <c r="E30" s="6"/>
      <c r="F30" s="6"/>
      <c r="G30" s="6"/>
      <c r="H30" s="7"/>
      <c r="I30" s="11"/>
      <c r="J30" s="12"/>
      <c r="K30" s="12"/>
      <c r="L30" s="12"/>
      <c r="M30" s="13"/>
      <c r="N30" s="17"/>
      <c r="O30" s="18"/>
      <c r="P30" s="18"/>
      <c r="Q30" s="18"/>
      <c r="R30" s="18"/>
      <c r="S30" s="18"/>
      <c r="T30" s="18"/>
      <c r="U30" s="19"/>
      <c r="V30" s="11"/>
      <c r="W30" s="12"/>
      <c r="X30" s="12"/>
      <c r="Y30" s="12"/>
      <c r="Z30" s="12"/>
      <c r="AA30" s="12"/>
      <c r="AB30" s="12"/>
      <c r="AC30" s="13"/>
      <c r="AD30" s="20" t="s">
        <v>11</v>
      </c>
      <c r="AE30" s="21"/>
      <c r="AF30" s="21"/>
      <c r="AG30" s="21"/>
      <c r="AH30" s="22"/>
      <c r="AI30" s="23">
        <v>176</v>
      </c>
      <c r="AJ30" s="24"/>
      <c r="AK30" s="24"/>
      <c r="AL30" s="24"/>
      <c r="AM30" s="24"/>
      <c r="AN30" s="25"/>
      <c r="AT30" t="str" cm="1">
        <f t="array" ref="AT30:AU30">_xlfn._xlws.FILTER(A30:AP30,A30:AP30&lt;&gt;"",-1)</f>
        <v>Lower Quartile</v>
      </c>
      <c r="AU30">
        <v>176</v>
      </c>
    </row>
    <row r="31" spans="1:51" ht="21" customHeight="1" x14ac:dyDescent="0.2">
      <c r="A31" s="2" t="s">
        <v>53</v>
      </c>
      <c r="B31" s="3"/>
      <c r="C31" s="3"/>
      <c r="D31" s="3"/>
      <c r="E31" s="3"/>
      <c r="F31" s="3"/>
      <c r="G31" s="3"/>
      <c r="H31" s="4"/>
      <c r="I31" s="8" t="s">
        <v>54</v>
      </c>
      <c r="J31" s="9"/>
      <c r="K31" s="9"/>
      <c r="L31" s="9"/>
      <c r="M31" s="10"/>
      <c r="N31" s="14" t="s">
        <v>55</v>
      </c>
      <c r="O31" s="15"/>
      <c r="P31" s="15"/>
      <c r="Q31" s="15"/>
      <c r="R31" s="15"/>
      <c r="S31" s="15"/>
      <c r="T31" s="15"/>
      <c r="U31" s="16"/>
      <c r="V31" s="46" t="s">
        <v>37</v>
      </c>
      <c r="W31" s="47"/>
      <c r="X31" s="47"/>
      <c r="Y31" s="47"/>
      <c r="Z31" s="47"/>
      <c r="AA31" s="47"/>
      <c r="AB31" s="47"/>
      <c r="AC31" s="48"/>
      <c r="AD31" s="20" t="s">
        <v>10</v>
      </c>
      <c r="AE31" s="21"/>
      <c r="AF31" s="21"/>
      <c r="AG31" s="21"/>
      <c r="AH31" s="22"/>
      <c r="AI31" s="27">
        <v>176.5</v>
      </c>
      <c r="AJ31" s="28"/>
      <c r="AK31" s="28"/>
      <c r="AL31" s="28"/>
      <c r="AM31" s="28"/>
      <c r="AN31" s="29"/>
      <c r="AT31" t="str" cm="1">
        <f t="array" ref="AT31:AY31">_xlfn._xlws.FILTER(A31:AP31,A31:AP31&lt;&gt;"",-1)</f>
        <v>English and Applied Linguistics - BA (Hons) Scheme</v>
      </c>
      <c r="AU31" t="str">
        <v>JS3240</v>
      </c>
      <c r="AV31" t="str">
        <v>180.1
(subject weighting in details)</v>
      </c>
      <c r="AW31" t="str">
        <v>Chinese &amp; English Languages + Any Best 3 Subjects</v>
      </c>
      <c r="AX31" t="str">
        <v>Median</v>
      </c>
      <c r="AY31">
        <v>176.5</v>
      </c>
    </row>
    <row r="32" spans="1:51" ht="20.100000000000001" customHeight="1" x14ac:dyDescent="0.2">
      <c r="A32" s="5"/>
      <c r="B32" s="6"/>
      <c r="C32" s="6"/>
      <c r="D32" s="6"/>
      <c r="E32" s="6"/>
      <c r="F32" s="6"/>
      <c r="G32" s="6"/>
      <c r="H32" s="7"/>
      <c r="I32" s="11"/>
      <c r="J32" s="12"/>
      <c r="K32" s="12"/>
      <c r="L32" s="12"/>
      <c r="M32" s="13"/>
      <c r="N32" s="17"/>
      <c r="O32" s="18"/>
      <c r="P32" s="18"/>
      <c r="Q32" s="18"/>
      <c r="R32" s="18"/>
      <c r="S32" s="18"/>
      <c r="T32" s="18"/>
      <c r="U32" s="19"/>
      <c r="V32" s="49"/>
      <c r="W32" s="50"/>
      <c r="X32" s="50"/>
      <c r="Y32" s="50"/>
      <c r="Z32" s="50"/>
      <c r="AA32" s="50"/>
      <c r="AB32" s="50"/>
      <c r="AC32" s="51"/>
      <c r="AD32" s="20" t="s">
        <v>11</v>
      </c>
      <c r="AE32" s="21"/>
      <c r="AF32" s="21"/>
      <c r="AG32" s="21"/>
      <c r="AH32" s="22"/>
      <c r="AI32" s="23">
        <v>172</v>
      </c>
      <c r="AJ32" s="24"/>
      <c r="AK32" s="24"/>
      <c r="AL32" s="24"/>
      <c r="AM32" s="24"/>
      <c r="AN32" s="25"/>
      <c r="AT32" t="str" cm="1">
        <f t="array" ref="AT32:AU32">_xlfn._xlws.FILTER(A32:AP32,A32:AP32&lt;&gt;"",-1)</f>
        <v>Lower Quartile</v>
      </c>
      <c r="AU32">
        <v>172</v>
      </c>
    </row>
    <row r="33" spans="1:51" ht="20.100000000000001" customHeight="1" x14ac:dyDescent="0.2">
      <c r="A33" s="2" t="s">
        <v>56</v>
      </c>
      <c r="B33" s="3"/>
      <c r="C33" s="3"/>
      <c r="D33" s="3"/>
      <c r="E33" s="3"/>
      <c r="F33" s="3"/>
      <c r="G33" s="3"/>
      <c r="H33" s="4"/>
      <c r="I33" s="8" t="s">
        <v>57</v>
      </c>
      <c r="J33" s="9"/>
      <c r="K33" s="9"/>
      <c r="L33" s="9"/>
      <c r="M33" s="10"/>
      <c r="N33" s="14" t="s">
        <v>58</v>
      </c>
      <c r="O33" s="15"/>
      <c r="P33" s="15"/>
      <c r="Q33" s="15"/>
      <c r="R33" s="15"/>
      <c r="S33" s="15"/>
      <c r="T33" s="15"/>
      <c r="U33" s="16"/>
      <c r="V33" s="8" t="s">
        <v>9</v>
      </c>
      <c r="W33" s="9"/>
      <c r="X33" s="9"/>
      <c r="Y33" s="9"/>
      <c r="Z33" s="9"/>
      <c r="AA33" s="9"/>
      <c r="AB33" s="9"/>
      <c r="AC33" s="10"/>
      <c r="AD33" s="20" t="s">
        <v>10</v>
      </c>
      <c r="AE33" s="21"/>
      <c r="AF33" s="21"/>
      <c r="AG33" s="21"/>
      <c r="AH33" s="22"/>
      <c r="AI33" s="23">
        <v>142</v>
      </c>
      <c r="AJ33" s="24"/>
      <c r="AK33" s="24"/>
      <c r="AL33" s="24"/>
      <c r="AM33" s="24"/>
      <c r="AN33" s="25"/>
      <c r="AT33" t="str" cm="1">
        <f t="array" ref="AT33:AY33">_xlfn._xlws.FILTER(A33:AP33,A33:AP33&lt;&gt;"",-1)</f>
        <v>Fashion - BA (Hons) Scheme</v>
      </c>
      <c r="AU33" t="str">
        <v>JS3050</v>
      </c>
      <c r="AV33" t="str">
        <v>153.1
(subject weighting in details)</v>
      </c>
      <c r="AW33" t="str">
        <v>Any Best 5 Subjects</v>
      </c>
      <c r="AX33" t="str">
        <v>Median</v>
      </c>
      <c r="AY33">
        <v>142</v>
      </c>
    </row>
    <row r="34" spans="1:51" ht="21" customHeight="1" x14ac:dyDescent="0.2">
      <c r="A34" s="5"/>
      <c r="B34" s="6"/>
      <c r="C34" s="6"/>
      <c r="D34" s="6"/>
      <c r="E34" s="6"/>
      <c r="F34" s="6"/>
      <c r="G34" s="6"/>
      <c r="H34" s="7"/>
      <c r="I34" s="11"/>
      <c r="J34" s="12"/>
      <c r="K34" s="12"/>
      <c r="L34" s="12"/>
      <c r="M34" s="13"/>
      <c r="N34" s="17"/>
      <c r="O34" s="18"/>
      <c r="P34" s="18"/>
      <c r="Q34" s="18"/>
      <c r="R34" s="18"/>
      <c r="S34" s="18"/>
      <c r="T34" s="18"/>
      <c r="U34" s="19"/>
      <c r="V34" s="11"/>
      <c r="W34" s="12"/>
      <c r="X34" s="12"/>
      <c r="Y34" s="12"/>
      <c r="Z34" s="12"/>
      <c r="AA34" s="12"/>
      <c r="AB34" s="12"/>
      <c r="AC34" s="13"/>
      <c r="AD34" s="20" t="s">
        <v>11</v>
      </c>
      <c r="AE34" s="21"/>
      <c r="AF34" s="21"/>
      <c r="AG34" s="21"/>
      <c r="AH34" s="22"/>
      <c r="AI34" s="23">
        <v>152</v>
      </c>
      <c r="AJ34" s="24"/>
      <c r="AK34" s="24"/>
      <c r="AL34" s="24"/>
      <c r="AM34" s="24"/>
      <c r="AN34" s="25"/>
      <c r="AT34" t="str" cm="1">
        <f t="array" ref="AT34:AU34">_xlfn._xlws.FILTER(A34:AP34,A34:AP34&lt;&gt;"",-1)</f>
        <v>Lower Quartile</v>
      </c>
      <c r="AU34">
        <v>152</v>
      </c>
    </row>
    <row r="35" spans="1:51" ht="20.100000000000001" customHeight="1" x14ac:dyDescent="0.2">
      <c r="A35" s="2" t="s">
        <v>59</v>
      </c>
      <c r="B35" s="3"/>
      <c r="C35" s="3"/>
      <c r="D35" s="3"/>
      <c r="E35" s="3"/>
      <c r="F35" s="3"/>
      <c r="G35" s="3"/>
      <c r="H35" s="4"/>
      <c r="I35" s="8" t="s">
        <v>60</v>
      </c>
      <c r="J35" s="9"/>
      <c r="K35" s="9"/>
      <c r="L35" s="9"/>
      <c r="M35" s="10"/>
      <c r="N35" s="14" t="s">
        <v>61</v>
      </c>
      <c r="O35" s="15"/>
      <c r="P35" s="15"/>
      <c r="Q35" s="15"/>
      <c r="R35" s="15"/>
      <c r="S35" s="15"/>
      <c r="T35" s="15"/>
      <c r="U35" s="16"/>
      <c r="V35" s="8" t="s">
        <v>9</v>
      </c>
      <c r="W35" s="9"/>
      <c r="X35" s="9"/>
      <c r="Y35" s="9"/>
      <c r="Z35" s="9"/>
      <c r="AA35" s="9"/>
      <c r="AB35" s="9"/>
      <c r="AC35" s="10"/>
      <c r="AD35" s="20" t="s">
        <v>10</v>
      </c>
      <c r="AE35" s="21"/>
      <c r="AF35" s="21"/>
      <c r="AG35" s="21"/>
      <c r="AH35" s="22"/>
      <c r="AI35" s="27">
        <v>162.5</v>
      </c>
      <c r="AJ35" s="28"/>
      <c r="AK35" s="28"/>
      <c r="AL35" s="28"/>
      <c r="AM35" s="28"/>
      <c r="AN35" s="29"/>
      <c r="AT35" t="str" cm="1">
        <f t="array" ref="AT35:AY35">_xlfn._xlws.FILTER(A35:AP35,A35:AP35&lt;&gt;"",-1)</f>
        <v>Hotel and Tourism Management - BSc (Hons) Scheme</v>
      </c>
      <c r="AU35" t="str">
        <v>JS3310</v>
      </c>
      <c r="AV35" t="str">
        <v>163.2
(subject weighting in details)</v>
      </c>
      <c r="AW35" t="str">
        <v>Any Best 5 Subjects</v>
      </c>
      <c r="AX35" t="str">
        <v>Median</v>
      </c>
      <c r="AY35">
        <v>162.5</v>
      </c>
    </row>
    <row r="36" spans="1:51" ht="20.25" customHeight="1" x14ac:dyDescent="0.2">
      <c r="A36" s="5"/>
      <c r="B36" s="6"/>
      <c r="C36" s="6"/>
      <c r="D36" s="6"/>
      <c r="E36" s="6"/>
      <c r="F36" s="6"/>
      <c r="G36" s="6"/>
      <c r="H36" s="7"/>
      <c r="I36" s="11"/>
      <c r="J36" s="12"/>
      <c r="K36" s="12"/>
      <c r="L36" s="12"/>
      <c r="M36" s="13"/>
      <c r="N36" s="17"/>
      <c r="O36" s="18"/>
      <c r="P36" s="18"/>
      <c r="Q36" s="18"/>
      <c r="R36" s="18"/>
      <c r="S36" s="18"/>
      <c r="T36" s="18"/>
      <c r="U36" s="19"/>
      <c r="V36" s="11"/>
      <c r="W36" s="12"/>
      <c r="X36" s="12"/>
      <c r="Y36" s="12"/>
      <c r="Z36" s="12"/>
      <c r="AA36" s="12"/>
      <c r="AB36" s="12"/>
      <c r="AC36" s="13"/>
      <c r="AD36" s="20" t="s">
        <v>11</v>
      </c>
      <c r="AE36" s="21"/>
      <c r="AF36" s="21"/>
      <c r="AG36" s="21"/>
      <c r="AH36" s="22"/>
      <c r="AI36" s="23">
        <v>156</v>
      </c>
      <c r="AJ36" s="24"/>
      <c r="AK36" s="24"/>
      <c r="AL36" s="24"/>
      <c r="AM36" s="24"/>
      <c r="AN36" s="25"/>
      <c r="AT36" t="str" cm="1">
        <f t="array" ref="AT36:AU36">_xlfn._xlws.FILTER(A36:AP36,A36:AP36&lt;&gt;"",-1)</f>
        <v>Lower Quartile</v>
      </c>
      <c r="AU36">
        <v>156</v>
      </c>
    </row>
    <row r="37" spans="1:51" ht="41.1" customHeight="1" x14ac:dyDescent="0.2">
      <c r="A37" s="30" t="s">
        <v>0</v>
      </c>
      <c r="B37" s="31"/>
      <c r="C37" s="31"/>
      <c r="D37" s="31"/>
      <c r="E37" s="31"/>
      <c r="F37" s="31"/>
      <c r="G37" s="31"/>
      <c r="H37" s="32"/>
      <c r="I37" s="33" t="s">
        <v>1</v>
      </c>
      <c r="J37" s="34"/>
      <c r="K37" s="34"/>
      <c r="L37" s="34"/>
      <c r="M37" s="35"/>
      <c r="N37" s="36" t="s">
        <v>2</v>
      </c>
      <c r="O37" s="37"/>
      <c r="P37" s="37"/>
      <c r="Q37" s="37"/>
      <c r="R37" s="37"/>
      <c r="S37" s="37"/>
      <c r="T37" s="37"/>
      <c r="U37" s="38"/>
      <c r="V37" s="39" t="s">
        <v>3</v>
      </c>
      <c r="W37" s="40"/>
      <c r="X37" s="40"/>
      <c r="Y37" s="40"/>
      <c r="Z37" s="40"/>
      <c r="AA37" s="40"/>
      <c r="AB37" s="40"/>
      <c r="AC37" s="41"/>
      <c r="AD37" s="42" t="s">
        <v>4</v>
      </c>
      <c r="AE37" s="43"/>
      <c r="AF37" s="43"/>
      <c r="AG37" s="43"/>
      <c r="AH37" s="44"/>
      <c r="AI37" s="39" t="s">
        <v>5</v>
      </c>
      <c r="AJ37" s="40"/>
      <c r="AK37" s="40"/>
      <c r="AL37" s="40"/>
      <c r="AM37" s="40"/>
      <c r="AN37" s="41"/>
      <c r="AT37" t="str" cm="1">
        <f t="array" ref="AT37:AY37">_xlfn._xlws.FILTER(A37:AP37,A37:AP37&lt;&gt;"",-1)</f>
        <v>Scheme / Programme</v>
      </c>
      <c r="AU37" t="str">
        <v>JUPAS Code</v>
      </c>
      <c r="AV37" t="str">
        <v>Average HKDSE Score With Subject Weighting (23/24)</v>
      </c>
      <c r="AW37" t="str">
        <v>Admission Score Calculation Mechanism</v>
      </c>
      <c r="AX37" t="str">
        <v>Percentile</v>
      </c>
      <c r="AY37" t="str">
        <v>HKDSE Score with Subject Weighting</v>
      </c>
    </row>
    <row r="38" spans="1:51" ht="21" customHeight="1" x14ac:dyDescent="0.2">
      <c r="A38" s="2" t="s">
        <v>62</v>
      </c>
      <c r="B38" s="3"/>
      <c r="C38" s="3"/>
      <c r="D38" s="3"/>
      <c r="E38" s="3"/>
      <c r="F38" s="3"/>
      <c r="G38" s="3"/>
      <c r="H38" s="4"/>
      <c r="I38" s="8" t="s">
        <v>63</v>
      </c>
      <c r="J38" s="9"/>
      <c r="K38" s="9"/>
      <c r="L38" s="9"/>
      <c r="M38" s="10"/>
      <c r="N38" s="14" t="s">
        <v>18</v>
      </c>
      <c r="O38" s="15"/>
      <c r="P38" s="15"/>
      <c r="Q38" s="15"/>
      <c r="R38" s="15"/>
      <c r="S38" s="15"/>
      <c r="T38" s="15"/>
      <c r="U38" s="16"/>
      <c r="V38" s="8" t="s">
        <v>9</v>
      </c>
      <c r="W38" s="9"/>
      <c r="X38" s="9"/>
      <c r="Y38" s="9"/>
      <c r="Z38" s="9"/>
      <c r="AA38" s="9"/>
      <c r="AB38" s="9"/>
      <c r="AC38" s="10"/>
      <c r="AD38" s="20" t="s">
        <v>10</v>
      </c>
      <c r="AE38" s="21"/>
      <c r="AF38" s="21"/>
      <c r="AG38" s="21"/>
      <c r="AH38" s="22"/>
      <c r="AI38" s="23">
        <v>191</v>
      </c>
      <c r="AJ38" s="24"/>
      <c r="AK38" s="24"/>
      <c r="AL38" s="24"/>
      <c r="AM38" s="24"/>
      <c r="AN38" s="25"/>
      <c r="AT38" t="str" cm="1">
        <f t="array" ref="AT38:AY38">_xlfn._xlws.FILTER(A38:AP38,A38:AP38&lt;&gt;"",-1)</f>
        <v>Information and Artificial Intelligence Engineering - BEng (Hons) / BSc (Hons) Scheme</v>
      </c>
      <c r="AU38" t="str">
        <v>JS3180</v>
      </c>
      <c r="AV38" t="str">
        <v>197.4
(subject weighting in details)</v>
      </c>
      <c r="AW38" t="str">
        <v>Any Best 5 Subjects</v>
      </c>
      <c r="AX38" t="str">
        <v>Median</v>
      </c>
      <c r="AY38">
        <v>191</v>
      </c>
    </row>
    <row r="39" spans="1:51" ht="20.100000000000001" customHeight="1" x14ac:dyDescent="0.2">
      <c r="A39" s="5"/>
      <c r="B39" s="6"/>
      <c r="C39" s="6"/>
      <c r="D39" s="6"/>
      <c r="E39" s="6"/>
      <c r="F39" s="6"/>
      <c r="G39" s="6"/>
      <c r="H39" s="7"/>
      <c r="I39" s="11"/>
      <c r="J39" s="12"/>
      <c r="K39" s="12"/>
      <c r="L39" s="12"/>
      <c r="M39" s="13"/>
      <c r="N39" s="17"/>
      <c r="O39" s="18"/>
      <c r="P39" s="18"/>
      <c r="Q39" s="18"/>
      <c r="R39" s="18"/>
      <c r="S39" s="18"/>
      <c r="T39" s="18"/>
      <c r="U39" s="19"/>
      <c r="V39" s="11"/>
      <c r="W39" s="12"/>
      <c r="X39" s="12"/>
      <c r="Y39" s="12"/>
      <c r="Z39" s="12"/>
      <c r="AA39" s="12"/>
      <c r="AB39" s="12"/>
      <c r="AC39" s="13"/>
      <c r="AD39" s="20" t="s">
        <v>11</v>
      </c>
      <c r="AE39" s="21"/>
      <c r="AF39" s="21"/>
      <c r="AG39" s="21"/>
      <c r="AH39" s="22"/>
      <c r="AI39" s="23">
        <v>186</v>
      </c>
      <c r="AJ39" s="24"/>
      <c r="AK39" s="24"/>
      <c r="AL39" s="24"/>
      <c r="AM39" s="24"/>
      <c r="AN39" s="25"/>
      <c r="AT39" t="str" cm="1">
        <f t="array" ref="AT39:AU39">_xlfn._xlws.FILTER(A39:AP39,A39:AP39&lt;&gt;"",-1)</f>
        <v>Lower Quartile</v>
      </c>
      <c r="AU39">
        <v>186</v>
      </c>
    </row>
    <row r="40" spans="1:51" ht="20.100000000000001" customHeight="1" x14ac:dyDescent="0.2">
      <c r="A40" s="2" t="s">
        <v>64</v>
      </c>
      <c r="B40" s="3"/>
      <c r="C40" s="3"/>
      <c r="D40" s="3"/>
      <c r="E40" s="3"/>
      <c r="F40" s="3"/>
      <c r="G40" s="3"/>
      <c r="H40" s="4"/>
      <c r="I40" s="8" t="s">
        <v>65</v>
      </c>
      <c r="J40" s="9"/>
      <c r="K40" s="9"/>
      <c r="L40" s="9"/>
      <c r="M40" s="10"/>
      <c r="N40" s="14" t="s">
        <v>66</v>
      </c>
      <c r="O40" s="15"/>
      <c r="P40" s="15"/>
      <c r="Q40" s="15"/>
      <c r="R40" s="15"/>
      <c r="S40" s="15"/>
      <c r="T40" s="15"/>
      <c r="U40" s="16"/>
      <c r="V40" s="8" t="s">
        <v>9</v>
      </c>
      <c r="W40" s="9"/>
      <c r="X40" s="9"/>
      <c r="Y40" s="9"/>
      <c r="Z40" s="9"/>
      <c r="AA40" s="9"/>
      <c r="AB40" s="9"/>
      <c r="AC40" s="10"/>
      <c r="AD40" s="20" t="s">
        <v>10</v>
      </c>
      <c r="AE40" s="21"/>
      <c r="AF40" s="21"/>
      <c r="AG40" s="21"/>
      <c r="AH40" s="22"/>
      <c r="AI40" s="27">
        <v>221.5</v>
      </c>
      <c r="AJ40" s="28"/>
      <c r="AK40" s="28"/>
      <c r="AL40" s="28"/>
      <c r="AM40" s="28"/>
      <c r="AN40" s="29"/>
      <c r="AT40" t="str" cm="1">
        <f t="array" ref="AT40:AY40">_xlfn._xlws.FILTER(A40:AP40,A40:AP40&lt;&gt;"",-1)</f>
        <v>Language Sciences, Translation, and Speech Therapy - BA (Hons) / BSc (Hons) Scheme</v>
      </c>
      <c r="AU40" t="str">
        <v>JS3330</v>
      </c>
      <c r="AV40" t="str">
        <v>224.1
(subject weighting in details)</v>
      </c>
      <c r="AW40" t="str">
        <v>Any Best 5 Subjects</v>
      </c>
      <c r="AX40" t="str">
        <v>Median</v>
      </c>
      <c r="AY40">
        <v>221.5</v>
      </c>
    </row>
    <row r="41" spans="1:51" ht="21" customHeight="1" x14ac:dyDescent="0.2">
      <c r="A41" s="5"/>
      <c r="B41" s="6"/>
      <c r="C41" s="6"/>
      <c r="D41" s="6"/>
      <c r="E41" s="6"/>
      <c r="F41" s="6"/>
      <c r="G41" s="6"/>
      <c r="H41" s="7"/>
      <c r="I41" s="11"/>
      <c r="J41" s="12"/>
      <c r="K41" s="12"/>
      <c r="L41" s="12"/>
      <c r="M41" s="13"/>
      <c r="N41" s="17"/>
      <c r="O41" s="18"/>
      <c r="P41" s="18"/>
      <c r="Q41" s="18"/>
      <c r="R41" s="18"/>
      <c r="S41" s="18"/>
      <c r="T41" s="18"/>
      <c r="U41" s="19"/>
      <c r="V41" s="11"/>
      <c r="W41" s="12"/>
      <c r="X41" s="12"/>
      <c r="Y41" s="12"/>
      <c r="Z41" s="12"/>
      <c r="AA41" s="12"/>
      <c r="AB41" s="12"/>
      <c r="AC41" s="13"/>
      <c r="AD41" s="20" t="s">
        <v>11</v>
      </c>
      <c r="AE41" s="21"/>
      <c r="AF41" s="21"/>
      <c r="AG41" s="21"/>
      <c r="AH41" s="22"/>
      <c r="AI41" s="23">
        <v>206</v>
      </c>
      <c r="AJ41" s="24"/>
      <c r="AK41" s="24"/>
      <c r="AL41" s="24"/>
      <c r="AM41" s="24"/>
      <c r="AN41" s="25"/>
      <c r="AT41" t="str" cm="1">
        <f t="array" ref="AT41:AU41">_xlfn._xlws.FILTER(A41:AP41,A41:AP41&lt;&gt;"",-1)</f>
        <v>Lower Quartile</v>
      </c>
      <c r="AU41">
        <v>206</v>
      </c>
    </row>
    <row r="42" spans="1:51" ht="20.100000000000001" customHeight="1" x14ac:dyDescent="0.2">
      <c r="A42" s="2" t="s">
        <v>67</v>
      </c>
      <c r="B42" s="3"/>
      <c r="C42" s="3"/>
      <c r="D42" s="3"/>
      <c r="E42" s="3"/>
      <c r="F42" s="3"/>
      <c r="G42" s="3"/>
      <c r="H42" s="4"/>
      <c r="I42" s="8" t="s">
        <v>68</v>
      </c>
      <c r="J42" s="9"/>
      <c r="K42" s="9"/>
      <c r="L42" s="9"/>
      <c r="M42" s="10"/>
      <c r="N42" s="14" t="s">
        <v>69</v>
      </c>
      <c r="O42" s="15"/>
      <c r="P42" s="15"/>
      <c r="Q42" s="15"/>
      <c r="R42" s="15"/>
      <c r="S42" s="15"/>
      <c r="T42" s="15"/>
      <c r="U42" s="16"/>
      <c r="V42" s="8" t="s">
        <v>9</v>
      </c>
      <c r="W42" s="9"/>
      <c r="X42" s="9"/>
      <c r="Y42" s="9"/>
      <c r="Z42" s="9"/>
      <c r="AA42" s="9"/>
      <c r="AB42" s="9"/>
      <c r="AC42" s="10"/>
      <c r="AD42" s="20" t="s">
        <v>10</v>
      </c>
      <c r="AE42" s="21"/>
      <c r="AF42" s="21"/>
      <c r="AG42" s="21"/>
      <c r="AH42" s="22"/>
      <c r="AI42" s="23">
        <v>146</v>
      </c>
      <c r="AJ42" s="24"/>
      <c r="AK42" s="24"/>
      <c r="AL42" s="24"/>
      <c r="AM42" s="24"/>
      <c r="AN42" s="25"/>
      <c r="AT42" t="str" cm="1">
        <f t="array" ref="AT42:AY42">_xlfn._xlws.FILTER(A42:AP42,A42:AP42&lt;&gt;"",-1)</f>
        <v>Logistics and Enterprise Engineering - BSc (Hons) Scheme</v>
      </c>
      <c r="AU42" t="str">
        <v>JS3571</v>
      </c>
      <c r="AV42" t="str">
        <v>147.6
(subject weighting in details)</v>
      </c>
      <c r="AW42" t="str">
        <v>Any Best 5 Subjects</v>
      </c>
      <c r="AX42" t="str">
        <v>Median</v>
      </c>
      <c r="AY42">
        <v>146</v>
      </c>
    </row>
    <row r="43" spans="1:51" ht="20.100000000000001" customHeight="1" x14ac:dyDescent="0.2">
      <c r="A43" s="5"/>
      <c r="B43" s="6"/>
      <c r="C43" s="6"/>
      <c r="D43" s="6"/>
      <c r="E43" s="6"/>
      <c r="F43" s="6"/>
      <c r="G43" s="6"/>
      <c r="H43" s="7"/>
      <c r="I43" s="11"/>
      <c r="J43" s="12"/>
      <c r="K43" s="12"/>
      <c r="L43" s="12"/>
      <c r="M43" s="13"/>
      <c r="N43" s="17"/>
      <c r="O43" s="18"/>
      <c r="P43" s="18"/>
      <c r="Q43" s="18"/>
      <c r="R43" s="18"/>
      <c r="S43" s="18"/>
      <c r="T43" s="18"/>
      <c r="U43" s="19"/>
      <c r="V43" s="11"/>
      <c r="W43" s="12"/>
      <c r="X43" s="12"/>
      <c r="Y43" s="12"/>
      <c r="Z43" s="12"/>
      <c r="AA43" s="12"/>
      <c r="AB43" s="12"/>
      <c r="AC43" s="13"/>
      <c r="AD43" s="20" t="s">
        <v>11</v>
      </c>
      <c r="AE43" s="21"/>
      <c r="AF43" s="21"/>
      <c r="AG43" s="21"/>
      <c r="AH43" s="22"/>
      <c r="AI43" s="23">
        <v>142</v>
      </c>
      <c r="AJ43" s="24"/>
      <c r="AK43" s="24"/>
      <c r="AL43" s="24"/>
      <c r="AM43" s="24"/>
      <c r="AN43" s="25"/>
      <c r="AT43" t="str" cm="1">
        <f t="array" ref="AT43:AU43">_xlfn._xlws.FILTER(A43:AP43,A43:AP43&lt;&gt;"",-1)</f>
        <v>Lower Quartile</v>
      </c>
      <c r="AU43">
        <v>142</v>
      </c>
    </row>
    <row r="44" spans="1:51" ht="21" customHeight="1" x14ac:dyDescent="0.2">
      <c r="A44" s="2" t="s">
        <v>70</v>
      </c>
      <c r="B44" s="3"/>
      <c r="C44" s="3"/>
      <c r="D44" s="3"/>
      <c r="E44" s="3"/>
      <c r="F44" s="3"/>
      <c r="G44" s="3"/>
      <c r="H44" s="4"/>
      <c r="I44" s="8" t="s">
        <v>71</v>
      </c>
      <c r="J44" s="9"/>
      <c r="K44" s="9"/>
      <c r="L44" s="9"/>
      <c r="M44" s="10"/>
      <c r="N44" s="14" t="s">
        <v>72</v>
      </c>
      <c r="O44" s="15"/>
      <c r="P44" s="15"/>
      <c r="Q44" s="15"/>
      <c r="R44" s="15"/>
      <c r="S44" s="15"/>
      <c r="T44" s="15"/>
      <c r="U44" s="16"/>
      <c r="V44" s="8" t="s">
        <v>9</v>
      </c>
      <c r="W44" s="9"/>
      <c r="X44" s="9"/>
      <c r="Y44" s="9"/>
      <c r="Z44" s="9"/>
      <c r="AA44" s="9"/>
      <c r="AB44" s="9"/>
      <c r="AC44" s="10"/>
      <c r="AD44" s="20" t="s">
        <v>10</v>
      </c>
      <c r="AE44" s="21"/>
      <c r="AF44" s="21"/>
      <c r="AG44" s="21"/>
      <c r="AH44" s="22"/>
      <c r="AI44" s="27">
        <v>174.5</v>
      </c>
      <c r="AJ44" s="28"/>
      <c r="AK44" s="28"/>
      <c r="AL44" s="28"/>
      <c r="AM44" s="28"/>
      <c r="AN44" s="29"/>
      <c r="AT44" t="str" cm="1">
        <f t="array" ref="AT44:AY44">_xlfn._xlws.FILTER(A44:AP44,A44:AP44&lt;&gt;"",-1)</f>
        <v>Management and Marketing - BBA (Hons) Scheme</v>
      </c>
      <c r="AU44" t="str">
        <v>JS3080</v>
      </c>
      <c r="AV44" t="str">
        <v>176.9
(subject weighting in details)</v>
      </c>
      <c r="AW44" t="str">
        <v>Any Best 5 Subjects</v>
      </c>
      <c r="AX44" t="str">
        <v>Median</v>
      </c>
      <c r="AY44">
        <v>174.5</v>
      </c>
    </row>
    <row r="45" spans="1:51" ht="20.100000000000001" customHeight="1" x14ac:dyDescent="0.2">
      <c r="A45" s="5"/>
      <c r="B45" s="6"/>
      <c r="C45" s="6"/>
      <c r="D45" s="6"/>
      <c r="E45" s="6"/>
      <c r="F45" s="6"/>
      <c r="G45" s="6"/>
      <c r="H45" s="7"/>
      <c r="I45" s="11"/>
      <c r="J45" s="12"/>
      <c r="K45" s="12"/>
      <c r="L45" s="12"/>
      <c r="M45" s="13"/>
      <c r="N45" s="17"/>
      <c r="O45" s="18"/>
      <c r="P45" s="18"/>
      <c r="Q45" s="18"/>
      <c r="R45" s="18"/>
      <c r="S45" s="18"/>
      <c r="T45" s="18"/>
      <c r="U45" s="19"/>
      <c r="V45" s="11"/>
      <c r="W45" s="12"/>
      <c r="X45" s="12"/>
      <c r="Y45" s="12"/>
      <c r="Z45" s="12"/>
      <c r="AA45" s="12"/>
      <c r="AB45" s="12"/>
      <c r="AC45" s="13"/>
      <c r="AD45" s="20" t="s">
        <v>11</v>
      </c>
      <c r="AE45" s="21"/>
      <c r="AF45" s="21"/>
      <c r="AG45" s="21"/>
      <c r="AH45" s="22"/>
      <c r="AI45" s="23">
        <v>172</v>
      </c>
      <c r="AJ45" s="24"/>
      <c r="AK45" s="24"/>
      <c r="AL45" s="24"/>
      <c r="AM45" s="24"/>
      <c r="AN45" s="25"/>
      <c r="AT45" t="str" cm="1">
        <f t="array" ref="AT45:AU45">_xlfn._xlws.FILTER(A45:AP45,A45:AP45&lt;&gt;"",-1)</f>
        <v>Lower Quartile</v>
      </c>
      <c r="AU45">
        <v>172</v>
      </c>
    </row>
    <row r="46" spans="1:51" ht="21" customHeight="1" x14ac:dyDescent="0.2">
      <c r="A46" s="2" t="s">
        <v>73</v>
      </c>
      <c r="B46" s="3"/>
      <c r="C46" s="3"/>
      <c r="D46" s="3"/>
      <c r="E46" s="3"/>
      <c r="F46" s="3"/>
      <c r="G46" s="3"/>
      <c r="H46" s="4"/>
      <c r="I46" s="8" t="s">
        <v>74</v>
      </c>
      <c r="J46" s="9"/>
      <c r="K46" s="9"/>
      <c r="L46" s="9"/>
      <c r="M46" s="10"/>
      <c r="N46" s="14" t="s">
        <v>75</v>
      </c>
      <c r="O46" s="15"/>
      <c r="P46" s="15"/>
      <c r="Q46" s="15"/>
      <c r="R46" s="15"/>
      <c r="S46" s="15"/>
      <c r="T46" s="15"/>
      <c r="U46" s="16"/>
      <c r="V46" s="8" t="s">
        <v>9</v>
      </c>
      <c r="W46" s="9"/>
      <c r="X46" s="9"/>
      <c r="Y46" s="9"/>
      <c r="Z46" s="9"/>
      <c r="AA46" s="9"/>
      <c r="AB46" s="9"/>
      <c r="AC46" s="10"/>
      <c r="AD46" s="20" t="s">
        <v>10</v>
      </c>
      <c r="AE46" s="21"/>
      <c r="AF46" s="21"/>
      <c r="AG46" s="21"/>
      <c r="AH46" s="22"/>
      <c r="AI46" s="23">
        <v>180</v>
      </c>
      <c r="AJ46" s="24"/>
      <c r="AK46" s="24"/>
      <c r="AL46" s="24"/>
      <c r="AM46" s="24"/>
      <c r="AN46" s="25"/>
      <c r="AT46" t="str" cm="1">
        <f t="array" ref="AT46:AY46">_xlfn._xlws.FILTER(A46:AP46,A46:AP46&lt;&gt;"",-1)</f>
        <v>Mechanical Engineering - BEng (Hons) Scheme</v>
      </c>
      <c r="AU46" t="str">
        <v>JS3741</v>
      </c>
      <c r="AV46" t="str">
        <v>190.9
(subject weighting in details)</v>
      </c>
      <c r="AW46" t="str">
        <v>Any Best 5 Subjects</v>
      </c>
      <c r="AX46" t="str">
        <v>Median</v>
      </c>
      <c r="AY46">
        <v>180</v>
      </c>
    </row>
    <row r="47" spans="1:51" ht="20.100000000000001" customHeight="1" x14ac:dyDescent="0.2">
      <c r="A47" s="5"/>
      <c r="B47" s="6"/>
      <c r="C47" s="6"/>
      <c r="D47" s="6"/>
      <c r="E47" s="6"/>
      <c r="F47" s="6"/>
      <c r="G47" s="6"/>
      <c r="H47" s="7"/>
      <c r="I47" s="11"/>
      <c r="J47" s="12"/>
      <c r="K47" s="12"/>
      <c r="L47" s="12"/>
      <c r="M47" s="13"/>
      <c r="N47" s="17"/>
      <c r="O47" s="18"/>
      <c r="P47" s="18"/>
      <c r="Q47" s="18"/>
      <c r="R47" s="18"/>
      <c r="S47" s="18"/>
      <c r="T47" s="18"/>
      <c r="U47" s="19"/>
      <c r="V47" s="11"/>
      <c r="W47" s="12"/>
      <c r="X47" s="12"/>
      <c r="Y47" s="12"/>
      <c r="Z47" s="12"/>
      <c r="AA47" s="12"/>
      <c r="AB47" s="12"/>
      <c r="AC47" s="13"/>
      <c r="AD47" s="20" t="s">
        <v>11</v>
      </c>
      <c r="AE47" s="21"/>
      <c r="AF47" s="21"/>
      <c r="AG47" s="21"/>
      <c r="AH47" s="22"/>
      <c r="AI47" s="23">
        <v>178</v>
      </c>
      <c r="AJ47" s="24"/>
      <c r="AK47" s="24"/>
      <c r="AL47" s="24"/>
      <c r="AM47" s="24"/>
      <c r="AN47" s="25"/>
      <c r="AT47" t="str" cm="1">
        <f t="array" ref="AT47:AU47">_xlfn._xlws.FILTER(A47:AP47,A47:AP47&lt;&gt;"",-1)</f>
        <v>Lower Quartile</v>
      </c>
      <c r="AU47">
        <v>178</v>
      </c>
    </row>
    <row r="48" spans="1:51" ht="20.100000000000001" customHeight="1" x14ac:dyDescent="0.2">
      <c r="A48" s="2" t="s">
        <v>76</v>
      </c>
      <c r="B48" s="3"/>
      <c r="C48" s="3"/>
      <c r="D48" s="3"/>
      <c r="E48" s="3"/>
      <c r="F48" s="3"/>
      <c r="G48" s="3"/>
      <c r="H48" s="4"/>
      <c r="I48" s="8" t="s">
        <v>77</v>
      </c>
      <c r="J48" s="9"/>
      <c r="K48" s="9"/>
      <c r="L48" s="9"/>
      <c r="M48" s="10"/>
      <c r="N48" s="14" t="s">
        <v>78</v>
      </c>
      <c r="O48" s="15"/>
      <c r="P48" s="15"/>
      <c r="Q48" s="15"/>
      <c r="R48" s="15"/>
      <c r="S48" s="15"/>
      <c r="T48" s="15"/>
      <c r="U48" s="16"/>
      <c r="V48" s="8" t="s">
        <v>79</v>
      </c>
      <c r="W48" s="9"/>
      <c r="X48" s="9"/>
      <c r="Y48" s="9"/>
      <c r="Z48" s="9"/>
      <c r="AA48" s="9"/>
      <c r="AB48" s="9"/>
      <c r="AC48" s="10"/>
      <c r="AD48" s="20" t="s">
        <v>10</v>
      </c>
      <c r="AE48" s="21"/>
      <c r="AF48" s="21"/>
      <c r="AG48" s="21"/>
      <c r="AH48" s="22"/>
      <c r="AI48" s="23">
        <v>330</v>
      </c>
      <c r="AJ48" s="24"/>
      <c r="AK48" s="24"/>
      <c r="AL48" s="24"/>
      <c r="AM48" s="24"/>
      <c r="AN48" s="25"/>
      <c r="AT48" t="str" cm="1">
        <f t="array" ref="AT48:AY48">_xlfn._xlws.FILTER(A48:AP48,A48:AP48&lt;&gt;"",-1)</f>
        <v>Medical Laboratory Science - BSc (Hons) Scheme in Medical Laboratory Science and Radiography</v>
      </c>
      <c r="AU48" t="str">
        <v>JS3478</v>
      </c>
      <c r="AV48" t="str">
        <v>335.9
(subject weighting in details)</v>
      </c>
      <c r="AW48" t="str">
        <v>Any Best 6 Subjects</v>
      </c>
      <c r="AX48" t="str">
        <v>Median</v>
      </c>
      <c r="AY48">
        <v>330</v>
      </c>
    </row>
    <row r="49" spans="1:51" ht="21" customHeight="1" x14ac:dyDescent="0.2">
      <c r="A49" s="5"/>
      <c r="B49" s="6"/>
      <c r="C49" s="6"/>
      <c r="D49" s="6"/>
      <c r="E49" s="6"/>
      <c r="F49" s="6"/>
      <c r="G49" s="6"/>
      <c r="H49" s="7"/>
      <c r="I49" s="11"/>
      <c r="J49" s="12"/>
      <c r="K49" s="12"/>
      <c r="L49" s="12"/>
      <c r="M49" s="13"/>
      <c r="N49" s="17"/>
      <c r="O49" s="18"/>
      <c r="P49" s="18"/>
      <c r="Q49" s="18"/>
      <c r="R49" s="18"/>
      <c r="S49" s="18"/>
      <c r="T49" s="18"/>
      <c r="U49" s="19"/>
      <c r="V49" s="11"/>
      <c r="W49" s="12"/>
      <c r="X49" s="12"/>
      <c r="Y49" s="12"/>
      <c r="Z49" s="12"/>
      <c r="AA49" s="12"/>
      <c r="AB49" s="12"/>
      <c r="AC49" s="13"/>
      <c r="AD49" s="20" t="s">
        <v>11</v>
      </c>
      <c r="AE49" s="21"/>
      <c r="AF49" s="21"/>
      <c r="AG49" s="21"/>
      <c r="AH49" s="22"/>
      <c r="AI49" s="27">
        <v>328.5</v>
      </c>
      <c r="AJ49" s="28"/>
      <c r="AK49" s="28"/>
      <c r="AL49" s="28"/>
      <c r="AM49" s="28"/>
      <c r="AN49" s="29"/>
      <c r="AT49" t="str" cm="1">
        <f t="array" ref="AT49:AU49">_xlfn._xlws.FILTER(A49:AP49,A49:AP49&lt;&gt;"",-1)</f>
        <v>Lower Quartile</v>
      </c>
      <c r="AU49">
        <v>328.5</v>
      </c>
    </row>
    <row r="50" spans="1:51" ht="20.100000000000001" customHeight="1" x14ac:dyDescent="0.2">
      <c r="A50" s="2" t="s">
        <v>80</v>
      </c>
      <c r="B50" s="3"/>
      <c r="C50" s="3"/>
      <c r="D50" s="3"/>
      <c r="E50" s="3"/>
      <c r="F50" s="3"/>
      <c r="G50" s="3"/>
      <c r="H50" s="4"/>
      <c r="I50" s="8" t="s">
        <v>81</v>
      </c>
      <c r="J50" s="9"/>
      <c r="K50" s="9"/>
      <c r="L50" s="9"/>
      <c r="M50" s="10"/>
      <c r="N50" s="14" t="s">
        <v>82</v>
      </c>
      <c r="O50" s="15"/>
      <c r="P50" s="15"/>
      <c r="Q50" s="15"/>
      <c r="R50" s="15"/>
      <c r="S50" s="15"/>
      <c r="T50" s="15"/>
      <c r="U50" s="16"/>
      <c r="V50" s="8" t="s">
        <v>15</v>
      </c>
      <c r="W50" s="9"/>
      <c r="X50" s="9"/>
      <c r="Y50" s="9"/>
      <c r="Z50" s="9"/>
      <c r="AA50" s="9"/>
      <c r="AB50" s="9"/>
      <c r="AC50" s="10"/>
      <c r="AD50" s="20" t="s">
        <v>10</v>
      </c>
      <c r="AE50" s="21"/>
      <c r="AF50" s="21"/>
      <c r="AG50" s="21"/>
      <c r="AH50" s="22"/>
      <c r="AI50" s="23">
        <v>243</v>
      </c>
      <c r="AJ50" s="24"/>
      <c r="AK50" s="24"/>
      <c r="AL50" s="24"/>
      <c r="AM50" s="24"/>
      <c r="AN50" s="25"/>
      <c r="AT50" t="str" cm="1">
        <f t="array" ref="AT50:AY50">_xlfn._xlws.FILTER(A50:AP50,A50:AP50&lt;&gt;"",-1)</f>
        <v>Mental Health Nursing - BSc (Hons) Scheme in Nursing</v>
      </c>
      <c r="AU50" t="str">
        <v>JS3337</v>
      </c>
      <c r="AV50" t="str">
        <v>246.7
(subject weighting in details)</v>
      </c>
      <c r="AW50" t="str">
        <v>4 Core + Best 2 Elective Subjects</v>
      </c>
      <c r="AX50" t="str">
        <v>Median</v>
      </c>
      <c r="AY50">
        <v>243</v>
      </c>
    </row>
    <row r="51" spans="1:51" ht="20.100000000000001" customHeight="1" x14ac:dyDescent="0.2">
      <c r="A51" s="5"/>
      <c r="B51" s="6"/>
      <c r="C51" s="6"/>
      <c r="D51" s="6"/>
      <c r="E51" s="6"/>
      <c r="F51" s="6"/>
      <c r="G51" s="6"/>
      <c r="H51" s="7"/>
      <c r="I51" s="11"/>
      <c r="J51" s="12"/>
      <c r="K51" s="12"/>
      <c r="L51" s="12"/>
      <c r="M51" s="13"/>
      <c r="N51" s="17"/>
      <c r="O51" s="18"/>
      <c r="P51" s="18"/>
      <c r="Q51" s="18"/>
      <c r="R51" s="18"/>
      <c r="S51" s="18"/>
      <c r="T51" s="18"/>
      <c r="U51" s="19"/>
      <c r="V51" s="11"/>
      <c r="W51" s="12"/>
      <c r="X51" s="12"/>
      <c r="Y51" s="12"/>
      <c r="Z51" s="12"/>
      <c r="AA51" s="12"/>
      <c r="AB51" s="12"/>
      <c r="AC51" s="13"/>
      <c r="AD51" s="20" t="s">
        <v>11</v>
      </c>
      <c r="AE51" s="21"/>
      <c r="AF51" s="21"/>
      <c r="AG51" s="21"/>
      <c r="AH51" s="22"/>
      <c r="AI51" s="23">
        <v>238</v>
      </c>
      <c r="AJ51" s="24"/>
      <c r="AK51" s="24"/>
      <c r="AL51" s="24"/>
      <c r="AM51" s="24"/>
      <c r="AN51" s="25"/>
      <c r="AT51" t="str" cm="1">
        <f t="array" ref="AT51:AU51">_xlfn._xlws.FILTER(A51:AP51,A51:AP51&lt;&gt;"",-1)</f>
        <v>Lower Quartile</v>
      </c>
      <c r="AU51">
        <v>238</v>
      </c>
    </row>
    <row r="52" spans="1:51" ht="21" customHeight="1" x14ac:dyDescent="0.2">
      <c r="A52" s="2" t="s">
        <v>83</v>
      </c>
      <c r="B52" s="3"/>
      <c r="C52" s="3"/>
      <c r="D52" s="3"/>
      <c r="E52" s="3"/>
      <c r="F52" s="3"/>
      <c r="G52" s="3"/>
      <c r="H52" s="4"/>
      <c r="I52" s="8" t="s">
        <v>84</v>
      </c>
      <c r="J52" s="9"/>
      <c r="K52" s="9"/>
      <c r="L52" s="9"/>
      <c r="M52" s="10"/>
      <c r="N52" s="14" t="s">
        <v>85</v>
      </c>
      <c r="O52" s="15"/>
      <c r="P52" s="15"/>
      <c r="Q52" s="15"/>
      <c r="R52" s="15"/>
      <c r="S52" s="15"/>
      <c r="T52" s="15"/>
      <c r="U52" s="16"/>
      <c r="V52" s="8" t="s">
        <v>15</v>
      </c>
      <c r="W52" s="9"/>
      <c r="X52" s="9"/>
      <c r="Y52" s="9"/>
      <c r="Z52" s="9"/>
      <c r="AA52" s="9"/>
      <c r="AB52" s="9"/>
      <c r="AC52" s="10"/>
      <c r="AD52" s="20" t="s">
        <v>10</v>
      </c>
      <c r="AE52" s="21"/>
      <c r="AF52" s="21"/>
      <c r="AG52" s="21"/>
      <c r="AH52" s="22"/>
      <c r="AI52" s="27">
        <v>258.5</v>
      </c>
      <c r="AJ52" s="28"/>
      <c r="AK52" s="28"/>
      <c r="AL52" s="28"/>
      <c r="AM52" s="28"/>
      <c r="AN52" s="29"/>
      <c r="AT52" t="str" cm="1">
        <f t="array" ref="AT52:AY52">_xlfn._xlws.FILTER(A52:AP52,A52:AP52&lt;&gt;"",-1)</f>
        <v>Nursing - BSc (Hons) Scheme in Nursing</v>
      </c>
      <c r="AU52" t="str">
        <v>JS3648</v>
      </c>
      <c r="AV52" t="str">
        <v>261.6
(subject weighting in details)</v>
      </c>
      <c r="AW52" t="str">
        <v>4 Core + Best 2 Elective Subjects</v>
      </c>
      <c r="AX52" t="str">
        <v>Median</v>
      </c>
      <c r="AY52">
        <v>258.5</v>
      </c>
    </row>
    <row r="53" spans="1:51" ht="20.100000000000001" customHeight="1" x14ac:dyDescent="0.2">
      <c r="A53" s="5"/>
      <c r="B53" s="6"/>
      <c r="C53" s="6"/>
      <c r="D53" s="6"/>
      <c r="E53" s="6"/>
      <c r="F53" s="6"/>
      <c r="G53" s="6"/>
      <c r="H53" s="7"/>
      <c r="I53" s="11"/>
      <c r="J53" s="12"/>
      <c r="K53" s="12"/>
      <c r="L53" s="12"/>
      <c r="M53" s="13"/>
      <c r="N53" s="17"/>
      <c r="O53" s="18"/>
      <c r="P53" s="18"/>
      <c r="Q53" s="18"/>
      <c r="R53" s="18"/>
      <c r="S53" s="18"/>
      <c r="T53" s="18"/>
      <c r="U53" s="19"/>
      <c r="V53" s="11"/>
      <c r="W53" s="12"/>
      <c r="X53" s="12"/>
      <c r="Y53" s="12"/>
      <c r="Z53" s="12"/>
      <c r="AA53" s="12"/>
      <c r="AB53" s="12"/>
      <c r="AC53" s="13"/>
      <c r="AD53" s="20" t="s">
        <v>11</v>
      </c>
      <c r="AE53" s="21"/>
      <c r="AF53" s="21"/>
      <c r="AG53" s="21"/>
      <c r="AH53" s="22"/>
      <c r="AI53" s="27">
        <v>253.5</v>
      </c>
      <c r="AJ53" s="28"/>
      <c r="AK53" s="28"/>
      <c r="AL53" s="28"/>
      <c r="AM53" s="28"/>
      <c r="AN53" s="29"/>
      <c r="AT53" t="str" cm="1">
        <f t="array" ref="AT53:AU53">_xlfn._xlws.FILTER(A53:AP53,A53:AP53&lt;&gt;"",-1)</f>
        <v>Lower Quartile</v>
      </c>
      <c r="AU53">
        <v>253.5</v>
      </c>
    </row>
    <row r="54" spans="1:51" ht="20.100000000000001" customHeight="1" x14ac:dyDescent="0.2">
      <c r="A54" s="2" t="s">
        <v>86</v>
      </c>
      <c r="B54" s="3"/>
      <c r="C54" s="3"/>
      <c r="D54" s="3"/>
      <c r="E54" s="3"/>
      <c r="F54" s="3"/>
      <c r="G54" s="3"/>
      <c r="H54" s="4"/>
      <c r="I54" s="8" t="s">
        <v>87</v>
      </c>
      <c r="J54" s="9"/>
      <c r="K54" s="9"/>
      <c r="L54" s="9"/>
      <c r="M54" s="10"/>
      <c r="N54" s="14" t="s">
        <v>88</v>
      </c>
      <c r="O54" s="15"/>
      <c r="P54" s="15"/>
      <c r="Q54" s="15"/>
      <c r="R54" s="15"/>
      <c r="S54" s="15"/>
      <c r="T54" s="15"/>
      <c r="U54" s="16"/>
      <c r="V54" s="8" t="s">
        <v>79</v>
      </c>
      <c r="W54" s="9"/>
      <c r="X54" s="9"/>
      <c r="Y54" s="9"/>
      <c r="Z54" s="9"/>
      <c r="AA54" s="9"/>
      <c r="AB54" s="9"/>
      <c r="AC54" s="10"/>
      <c r="AD54" s="20" t="s">
        <v>10</v>
      </c>
      <c r="AE54" s="21"/>
      <c r="AF54" s="21"/>
      <c r="AG54" s="21"/>
      <c r="AH54" s="22"/>
      <c r="AI54" s="23">
        <v>312</v>
      </c>
      <c r="AJ54" s="24"/>
      <c r="AK54" s="24"/>
      <c r="AL54" s="24"/>
      <c r="AM54" s="24"/>
      <c r="AN54" s="25"/>
      <c r="AT54" t="str" cm="1">
        <f t="array" ref="AT54:AY54">_xlfn._xlws.FILTER(A54:AP54,A54:AP54&lt;&gt;"",-1)</f>
        <v>Occupational Therapy -  BSc (Hons) Scheme in Rehabilitation Sciences</v>
      </c>
      <c r="AU54" t="str">
        <v>JS3624</v>
      </c>
      <c r="AV54" t="str">
        <v>315.6
(subject weighting in details)</v>
      </c>
      <c r="AW54" t="str">
        <v>Any Best 6 Subjects</v>
      </c>
      <c r="AX54" t="str">
        <v>Median</v>
      </c>
      <c r="AY54">
        <v>312</v>
      </c>
    </row>
    <row r="55" spans="1:51" ht="21" customHeight="1" x14ac:dyDescent="0.2">
      <c r="A55" s="5"/>
      <c r="B55" s="6"/>
      <c r="C55" s="6"/>
      <c r="D55" s="6"/>
      <c r="E55" s="6"/>
      <c r="F55" s="6"/>
      <c r="G55" s="6"/>
      <c r="H55" s="7"/>
      <c r="I55" s="11"/>
      <c r="J55" s="12"/>
      <c r="K55" s="12"/>
      <c r="L55" s="12"/>
      <c r="M55" s="13"/>
      <c r="N55" s="17"/>
      <c r="O55" s="18"/>
      <c r="P55" s="18"/>
      <c r="Q55" s="18"/>
      <c r="R55" s="18"/>
      <c r="S55" s="18"/>
      <c r="T55" s="18"/>
      <c r="U55" s="19"/>
      <c r="V55" s="11"/>
      <c r="W55" s="12"/>
      <c r="X55" s="12"/>
      <c r="Y55" s="12"/>
      <c r="Z55" s="12"/>
      <c r="AA55" s="12"/>
      <c r="AB55" s="12"/>
      <c r="AC55" s="13"/>
      <c r="AD55" s="20" t="s">
        <v>11</v>
      </c>
      <c r="AE55" s="21"/>
      <c r="AF55" s="21"/>
      <c r="AG55" s="21"/>
      <c r="AH55" s="22"/>
      <c r="AI55" s="27">
        <v>307.5</v>
      </c>
      <c r="AJ55" s="28"/>
      <c r="AK55" s="28"/>
      <c r="AL55" s="28"/>
      <c r="AM55" s="28"/>
      <c r="AN55" s="29"/>
      <c r="AT55" t="str" cm="1">
        <f t="array" ref="AT55:AU55">_xlfn._xlws.FILTER(A55:AP55,A55:AP55&lt;&gt;"",-1)</f>
        <v>Lower Quartile</v>
      </c>
      <c r="AU55">
        <v>307.5</v>
      </c>
    </row>
    <row r="56" spans="1:51" ht="20.100000000000001" customHeight="1" x14ac:dyDescent="0.2">
      <c r="A56" s="2" t="s">
        <v>89</v>
      </c>
      <c r="B56" s="3"/>
      <c r="C56" s="3"/>
      <c r="D56" s="3"/>
      <c r="E56" s="3"/>
      <c r="F56" s="3"/>
      <c r="G56" s="3"/>
      <c r="H56" s="4"/>
      <c r="I56" s="8" t="s">
        <v>90</v>
      </c>
      <c r="J56" s="9"/>
      <c r="K56" s="9"/>
      <c r="L56" s="9"/>
      <c r="M56" s="10"/>
      <c r="N56" s="14" t="s">
        <v>91</v>
      </c>
      <c r="O56" s="15"/>
      <c r="P56" s="15"/>
      <c r="Q56" s="15"/>
      <c r="R56" s="15"/>
      <c r="S56" s="15"/>
      <c r="T56" s="15"/>
      <c r="U56" s="16"/>
      <c r="V56" s="8" t="s">
        <v>79</v>
      </c>
      <c r="W56" s="9"/>
      <c r="X56" s="9"/>
      <c r="Y56" s="9"/>
      <c r="Z56" s="9"/>
      <c r="AA56" s="9"/>
      <c r="AB56" s="9"/>
      <c r="AC56" s="10"/>
      <c r="AD56" s="20" t="s">
        <v>10</v>
      </c>
      <c r="AE56" s="21"/>
      <c r="AF56" s="21"/>
      <c r="AG56" s="21"/>
      <c r="AH56" s="22"/>
      <c r="AI56" s="27">
        <v>317.5</v>
      </c>
      <c r="AJ56" s="28"/>
      <c r="AK56" s="28"/>
      <c r="AL56" s="28"/>
      <c r="AM56" s="28"/>
      <c r="AN56" s="29"/>
      <c r="AT56" t="str" cm="1">
        <f t="array" ref="AT56:AY56">_xlfn._xlws.FILTER(A56:AP56,A56:AP56&lt;&gt;"",-1)</f>
        <v>Optometry - BSc (Hons) Scheme</v>
      </c>
      <c r="AU56" t="str">
        <v>JS3290</v>
      </c>
      <c r="AV56" t="str">
        <v>312.1
(subject weighting in details)</v>
      </c>
      <c r="AW56" t="str">
        <v>Any Best 6 Subjects</v>
      </c>
      <c r="AX56" t="str">
        <v>Median</v>
      </c>
      <c r="AY56">
        <v>317.5</v>
      </c>
    </row>
    <row r="57" spans="1:51" ht="20.25" customHeight="1" x14ac:dyDescent="0.2">
      <c r="A57" s="5"/>
      <c r="B57" s="6"/>
      <c r="C57" s="6"/>
      <c r="D57" s="6"/>
      <c r="E57" s="6"/>
      <c r="F57" s="6"/>
      <c r="G57" s="6"/>
      <c r="H57" s="7"/>
      <c r="I57" s="11"/>
      <c r="J57" s="12"/>
      <c r="K57" s="12"/>
      <c r="L57" s="12"/>
      <c r="M57" s="13"/>
      <c r="N57" s="17"/>
      <c r="O57" s="18"/>
      <c r="P57" s="18"/>
      <c r="Q57" s="18"/>
      <c r="R57" s="18"/>
      <c r="S57" s="18"/>
      <c r="T57" s="18"/>
      <c r="U57" s="19"/>
      <c r="V57" s="11"/>
      <c r="W57" s="12"/>
      <c r="X57" s="12"/>
      <c r="Y57" s="12"/>
      <c r="Z57" s="12"/>
      <c r="AA57" s="12"/>
      <c r="AB57" s="12"/>
      <c r="AC57" s="13"/>
      <c r="AD57" s="20" t="s">
        <v>11</v>
      </c>
      <c r="AE57" s="21"/>
      <c r="AF57" s="21"/>
      <c r="AG57" s="21"/>
      <c r="AH57" s="22"/>
      <c r="AI57" s="27">
        <v>298.5</v>
      </c>
      <c r="AJ57" s="28"/>
      <c r="AK57" s="28"/>
      <c r="AL57" s="28"/>
      <c r="AM57" s="28"/>
      <c r="AN57" s="29"/>
      <c r="AT57" t="str" cm="1">
        <f t="array" ref="AT57:AU57">_xlfn._xlws.FILTER(A57:AP57,A57:AP57&lt;&gt;"",-1)</f>
        <v>Lower Quartile</v>
      </c>
      <c r="AU57">
        <v>298.5</v>
      </c>
    </row>
    <row r="58" spans="1:51" ht="40.5" customHeight="1" x14ac:dyDescent="0.2">
      <c r="A58" s="30" t="s">
        <v>0</v>
      </c>
      <c r="B58" s="31"/>
      <c r="C58" s="31"/>
      <c r="D58" s="31"/>
      <c r="E58" s="31"/>
      <c r="F58" s="31"/>
      <c r="G58" s="31"/>
      <c r="H58" s="31"/>
      <c r="I58" s="32"/>
      <c r="J58" s="33" t="s">
        <v>1</v>
      </c>
      <c r="K58" s="34"/>
      <c r="L58" s="34"/>
      <c r="M58" s="34"/>
      <c r="N58" s="35"/>
      <c r="O58" s="36" t="s">
        <v>2</v>
      </c>
      <c r="P58" s="37"/>
      <c r="Q58" s="37"/>
      <c r="R58" s="37"/>
      <c r="S58" s="37"/>
      <c r="T58" s="37"/>
      <c r="U58" s="37"/>
      <c r="V58" s="38"/>
      <c r="W58" s="39" t="s">
        <v>3</v>
      </c>
      <c r="X58" s="40"/>
      <c r="Y58" s="40"/>
      <c r="Z58" s="40"/>
      <c r="AA58" s="40"/>
      <c r="AB58" s="40"/>
      <c r="AC58" s="40"/>
      <c r="AD58" s="41"/>
      <c r="AE58" s="42" t="s">
        <v>4</v>
      </c>
      <c r="AF58" s="43"/>
      <c r="AG58" s="43"/>
      <c r="AH58" s="43"/>
      <c r="AI58" s="44"/>
      <c r="AJ58" s="39" t="s">
        <v>5</v>
      </c>
      <c r="AK58" s="40"/>
      <c r="AL58" s="40"/>
      <c r="AM58" s="40"/>
      <c r="AN58" s="40"/>
      <c r="AO58" s="40"/>
      <c r="AP58" s="41"/>
      <c r="AQ58" s="45"/>
      <c r="AR58" s="45"/>
      <c r="AT58" t="str" cm="1">
        <f t="array" ref="AT58:AY58">_xlfn._xlws.FILTER(A58:AP58,A58:AP58&lt;&gt;"",-1)</f>
        <v>Scheme / Programme</v>
      </c>
      <c r="AU58" t="str">
        <v>JUPAS Code</v>
      </c>
      <c r="AV58" t="str">
        <v>Average HKDSE Score With Subject Weighting (23/24)</v>
      </c>
      <c r="AW58" t="str">
        <v>Admission Score Calculation Mechanism</v>
      </c>
      <c r="AX58" t="str">
        <v>Percentile</v>
      </c>
      <c r="AY58" t="str">
        <v>HKDSE Score with Subject Weighting</v>
      </c>
    </row>
    <row r="59" spans="1:51" ht="21" customHeight="1" x14ac:dyDescent="0.2">
      <c r="A59" s="2" t="s">
        <v>92</v>
      </c>
      <c r="B59" s="3"/>
      <c r="C59" s="3"/>
      <c r="D59" s="3"/>
      <c r="E59" s="3"/>
      <c r="F59" s="3"/>
      <c r="G59" s="3"/>
      <c r="H59" s="3"/>
      <c r="I59" s="4"/>
      <c r="J59" s="8" t="s">
        <v>93</v>
      </c>
      <c r="K59" s="9"/>
      <c r="L59" s="9"/>
      <c r="M59" s="9"/>
      <c r="N59" s="10"/>
      <c r="O59" s="14" t="s">
        <v>94</v>
      </c>
      <c r="P59" s="15"/>
      <c r="Q59" s="15"/>
      <c r="R59" s="15"/>
      <c r="S59" s="15"/>
      <c r="T59" s="15"/>
      <c r="U59" s="15"/>
      <c r="V59" s="16"/>
      <c r="W59" s="8" t="s">
        <v>9</v>
      </c>
      <c r="X59" s="9"/>
      <c r="Y59" s="9"/>
      <c r="Z59" s="9"/>
      <c r="AA59" s="9"/>
      <c r="AB59" s="9"/>
      <c r="AC59" s="9"/>
      <c r="AD59" s="10"/>
      <c r="AE59" s="20" t="s">
        <v>10</v>
      </c>
      <c r="AF59" s="21"/>
      <c r="AG59" s="21"/>
      <c r="AH59" s="21"/>
      <c r="AI59" s="22"/>
      <c r="AJ59" s="23">
        <v>188</v>
      </c>
      <c r="AK59" s="24"/>
      <c r="AL59" s="24"/>
      <c r="AM59" s="24"/>
      <c r="AN59" s="24"/>
      <c r="AO59" s="24"/>
      <c r="AP59" s="25"/>
      <c r="AQ59" s="26"/>
      <c r="AR59" s="26"/>
      <c r="AT59" t="str" cm="1">
        <f t="array" ref="AT59:AY59">_xlfn._xlws.FILTER(A59:AP59,A59:AP59&lt;&gt;"",-1)</f>
        <v>Physics with a Secondary Major in Artificial Intelligence &amp; Data Analytics (AIDA) / Innovation and Entrepreneurship (IE) - BSc (Hons)</v>
      </c>
      <c r="AU59" t="str">
        <v>JS3030</v>
      </c>
      <c r="AV59" t="str">
        <v>193.9
(subject weighting in details)</v>
      </c>
      <c r="AW59" t="str">
        <v>Any Best 5 Subjects</v>
      </c>
      <c r="AX59" t="str">
        <v>Median</v>
      </c>
      <c r="AY59">
        <v>188</v>
      </c>
    </row>
    <row r="60" spans="1:51" ht="20.100000000000001" customHeight="1" x14ac:dyDescent="0.2">
      <c r="A60" s="5"/>
      <c r="B60" s="6"/>
      <c r="C60" s="6"/>
      <c r="D60" s="6"/>
      <c r="E60" s="6"/>
      <c r="F60" s="6"/>
      <c r="G60" s="6"/>
      <c r="H60" s="6"/>
      <c r="I60" s="7"/>
      <c r="J60" s="11"/>
      <c r="K60" s="12"/>
      <c r="L60" s="12"/>
      <c r="M60" s="12"/>
      <c r="N60" s="13"/>
      <c r="O60" s="17"/>
      <c r="P60" s="18"/>
      <c r="Q60" s="18"/>
      <c r="R60" s="18"/>
      <c r="S60" s="18"/>
      <c r="T60" s="18"/>
      <c r="U60" s="18"/>
      <c r="V60" s="19"/>
      <c r="W60" s="11"/>
      <c r="X60" s="12"/>
      <c r="Y60" s="12"/>
      <c r="Z60" s="12"/>
      <c r="AA60" s="12"/>
      <c r="AB60" s="12"/>
      <c r="AC60" s="12"/>
      <c r="AD60" s="13"/>
      <c r="AE60" s="20" t="s">
        <v>11</v>
      </c>
      <c r="AF60" s="21"/>
      <c r="AG60" s="21"/>
      <c r="AH60" s="21"/>
      <c r="AI60" s="22"/>
      <c r="AJ60" s="23">
        <v>188</v>
      </c>
      <c r="AK60" s="24"/>
      <c r="AL60" s="24"/>
      <c r="AM60" s="24"/>
      <c r="AN60" s="24"/>
      <c r="AO60" s="24"/>
      <c r="AP60" s="25"/>
      <c r="AQ60" s="26"/>
      <c r="AR60" s="26"/>
      <c r="AT60" t="str" cm="1">
        <f t="array" ref="AT60:AU60">_xlfn._xlws.FILTER(A60:AP60,A60:AP60&lt;&gt;"",-1)</f>
        <v>Lower Quartile</v>
      </c>
      <c r="AU60">
        <v>188</v>
      </c>
    </row>
    <row r="61" spans="1:51" ht="20.100000000000001" customHeight="1" x14ac:dyDescent="0.2">
      <c r="A61" s="2" t="s">
        <v>95</v>
      </c>
      <c r="B61" s="3"/>
      <c r="C61" s="3"/>
      <c r="D61" s="3"/>
      <c r="E61" s="3"/>
      <c r="F61" s="3"/>
      <c r="G61" s="3"/>
      <c r="H61" s="3"/>
      <c r="I61" s="4"/>
      <c r="J61" s="8" t="s">
        <v>96</v>
      </c>
      <c r="K61" s="9"/>
      <c r="L61" s="9"/>
      <c r="M61" s="9"/>
      <c r="N61" s="10"/>
      <c r="O61" s="14" t="s">
        <v>97</v>
      </c>
      <c r="P61" s="15"/>
      <c r="Q61" s="15"/>
      <c r="R61" s="15"/>
      <c r="S61" s="15"/>
      <c r="T61" s="15"/>
      <c r="U61" s="15"/>
      <c r="V61" s="16"/>
      <c r="W61" s="8" t="s">
        <v>79</v>
      </c>
      <c r="X61" s="9"/>
      <c r="Y61" s="9"/>
      <c r="Z61" s="9"/>
      <c r="AA61" s="9"/>
      <c r="AB61" s="9"/>
      <c r="AC61" s="9"/>
      <c r="AD61" s="10"/>
      <c r="AE61" s="20" t="s">
        <v>10</v>
      </c>
      <c r="AF61" s="21"/>
      <c r="AG61" s="21"/>
      <c r="AH61" s="21"/>
      <c r="AI61" s="22"/>
      <c r="AJ61" s="27">
        <v>337.5</v>
      </c>
      <c r="AK61" s="28"/>
      <c r="AL61" s="28"/>
      <c r="AM61" s="28"/>
      <c r="AN61" s="28"/>
      <c r="AO61" s="28"/>
      <c r="AP61" s="29"/>
      <c r="AQ61" s="26"/>
      <c r="AR61" s="26"/>
      <c r="AT61" t="str" cm="1">
        <f t="array" ref="AT61:AY61">_xlfn._xlws.FILTER(A61:AP61,A61:AP61&lt;&gt;"",-1)</f>
        <v>Physiotherapy - BSc (Hons) Scheme in Rehabilitation Sciences</v>
      </c>
      <c r="AU61" t="str">
        <v>JS3636</v>
      </c>
      <c r="AV61" t="str">
        <v>339.5
(subject weighting in details)</v>
      </c>
      <c r="AW61" t="str">
        <v>Any Best 6 Subjects</v>
      </c>
      <c r="AX61" t="str">
        <v>Median</v>
      </c>
      <c r="AY61">
        <v>337.5</v>
      </c>
    </row>
    <row r="62" spans="1:51" ht="21" customHeight="1" x14ac:dyDescent="0.2">
      <c r="A62" s="5"/>
      <c r="B62" s="6"/>
      <c r="C62" s="6"/>
      <c r="D62" s="6"/>
      <c r="E62" s="6"/>
      <c r="F62" s="6"/>
      <c r="G62" s="6"/>
      <c r="H62" s="6"/>
      <c r="I62" s="7"/>
      <c r="J62" s="11"/>
      <c r="K62" s="12"/>
      <c r="L62" s="12"/>
      <c r="M62" s="12"/>
      <c r="N62" s="13"/>
      <c r="O62" s="17"/>
      <c r="P62" s="18"/>
      <c r="Q62" s="18"/>
      <c r="R62" s="18"/>
      <c r="S62" s="18"/>
      <c r="T62" s="18"/>
      <c r="U62" s="18"/>
      <c r="V62" s="19"/>
      <c r="W62" s="11"/>
      <c r="X62" s="12"/>
      <c r="Y62" s="12"/>
      <c r="Z62" s="12"/>
      <c r="AA62" s="12"/>
      <c r="AB62" s="12"/>
      <c r="AC62" s="12"/>
      <c r="AD62" s="13"/>
      <c r="AE62" s="20" t="s">
        <v>11</v>
      </c>
      <c r="AF62" s="21"/>
      <c r="AG62" s="21"/>
      <c r="AH62" s="21"/>
      <c r="AI62" s="22"/>
      <c r="AJ62" s="23">
        <v>327</v>
      </c>
      <c r="AK62" s="24"/>
      <c r="AL62" s="24"/>
      <c r="AM62" s="24"/>
      <c r="AN62" s="24"/>
      <c r="AO62" s="24"/>
      <c r="AP62" s="25"/>
      <c r="AQ62" s="26"/>
      <c r="AR62" s="26"/>
      <c r="AT62" t="str" cm="1">
        <f t="array" ref="AT62:AU62">_xlfn._xlws.FILTER(A62:AP62,A62:AP62&lt;&gt;"",-1)</f>
        <v>Lower Quartile</v>
      </c>
      <c r="AU62">
        <v>327</v>
      </c>
    </row>
    <row r="63" spans="1:51" ht="20.100000000000001" customHeight="1" x14ac:dyDescent="0.2">
      <c r="A63" s="2" t="s">
        <v>98</v>
      </c>
      <c r="B63" s="3"/>
      <c r="C63" s="3"/>
      <c r="D63" s="3"/>
      <c r="E63" s="3"/>
      <c r="F63" s="3"/>
      <c r="G63" s="3"/>
      <c r="H63" s="3"/>
      <c r="I63" s="4"/>
      <c r="J63" s="8" t="s">
        <v>99</v>
      </c>
      <c r="K63" s="9"/>
      <c r="L63" s="9"/>
      <c r="M63" s="9"/>
      <c r="N63" s="10"/>
      <c r="O63" s="14" t="s">
        <v>100</v>
      </c>
      <c r="P63" s="15"/>
      <c r="Q63" s="15"/>
      <c r="R63" s="15"/>
      <c r="S63" s="15"/>
      <c r="T63" s="15"/>
      <c r="U63" s="15"/>
      <c r="V63" s="16"/>
      <c r="W63" s="8" t="s">
        <v>9</v>
      </c>
      <c r="X63" s="9"/>
      <c r="Y63" s="9"/>
      <c r="Z63" s="9"/>
      <c r="AA63" s="9"/>
      <c r="AB63" s="9"/>
      <c r="AC63" s="9"/>
      <c r="AD63" s="10"/>
      <c r="AE63" s="20" t="s">
        <v>10</v>
      </c>
      <c r="AF63" s="21"/>
      <c r="AG63" s="21"/>
      <c r="AH63" s="21"/>
      <c r="AI63" s="22"/>
      <c r="AJ63" s="23">
        <v>146</v>
      </c>
      <c r="AK63" s="24"/>
      <c r="AL63" s="24"/>
      <c r="AM63" s="24"/>
      <c r="AN63" s="24"/>
      <c r="AO63" s="24"/>
      <c r="AP63" s="25"/>
      <c r="AQ63" s="26"/>
      <c r="AR63" s="26"/>
      <c r="AT63" t="str" cm="1">
        <f t="array" ref="AT63:AY63">_xlfn._xlws.FILTER(A63:AP63,A63:AP63&lt;&gt;"",-1)</f>
        <v>Product and Industrial Engineering - BEng (Hons) Scheme</v>
      </c>
      <c r="AU63" t="str">
        <v>JS3557</v>
      </c>
      <c r="AV63" t="str">
        <v>147.4
(subject weighting in details)</v>
      </c>
      <c r="AW63" t="str">
        <v>Any Best 5 Subjects</v>
      </c>
      <c r="AX63" t="str">
        <v>Median</v>
      </c>
      <c r="AY63">
        <v>146</v>
      </c>
    </row>
    <row r="64" spans="1:51" ht="20.100000000000001" customHeight="1" x14ac:dyDescent="0.2">
      <c r="A64" s="5"/>
      <c r="B64" s="6"/>
      <c r="C64" s="6"/>
      <c r="D64" s="6"/>
      <c r="E64" s="6"/>
      <c r="F64" s="6"/>
      <c r="G64" s="6"/>
      <c r="H64" s="6"/>
      <c r="I64" s="7"/>
      <c r="J64" s="11"/>
      <c r="K64" s="12"/>
      <c r="L64" s="12"/>
      <c r="M64" s="12"/>
      <c r="N64" s="13"/>
      <c r="O64" s="17"/>
      <c r="P64" s="18"/>
      <c r="Q64" s="18"/>
      <c r="R64" s="18"/>
      <c r="S64" s="18"/>
      <c r="T64" s="18"/>
      <c r="U64" s="18"/>
      <c r="V64" s="19"/>
      <c r="W64" s="11"/>
      <c r="X64" s="12"/>
      <c r="Y64" s="12"/>
      <c r="Z64" s="12"/>
      <c r="AA64" s="12"/>
      <c r="AB64" s="12"/>
      <c r="AC64" s="12"/>
      <c r="AD64" s="13"/>
      <c r="AE64" s="20" t="s">
        <v>11</v>
      </c>
      <c r="AF64" s="21"/>
      <c r="AG64" s="21"/>
      <c r="AH64" s="21"/>
      <c r="AI64" s="22"/>
      <c r="AJ64" s="27">
        <v>144.5</v>
      </c>
      <c r="AK64" s="28"/>
      <c r="AL64" s="28"/>
      <c r="AM64" s="28"/>
      <c r="AN64" s="28"/>
      <c r="AO64" s="28"/>
      <c r="AP64" s="29"/>
      <c r="AQ64" s="26"/>
      <c r="AR64" s="26"/>
      <c r="AT64" t="str" cm="1">
        <f t="array" ref="AT64:AU64">_xlfn._xlws.FILTER(A64:AP64,A64:AP64&lt;&gt;"",-1)</f>
        <v>Lower Quartile</v>
      </c>
      <c r="AU64">
        <v>144.5</v>
      </c>
    </row>
    <row r="65" spans="1:51" ht="21" customHeight="1" x14ac:dyDescent="0.2">
      <c r="A65" s="2" t="s">
        <v>101</v>
      </c>
      <c r="B65" s="3"/>
      <c r="C65" s="3"/>
      <c r="D65" s="3"/>
      <c r="E65" s="3"/>
      <c r="F65" s="3"/>
      <c r="G65" s="3"/>
      <c r="H65" s="3"/>
      <c r="I65" s="4"/>
      <c r="J65" s="8" t="s">
        <v>102</v>
      </c>
      <c r="K65" s="9"/>
      <c r="L65" s="9"/>
      <c r="M65" s="9"/>
      <c r="N65" s="10"/>
      <c r="O65" s="14" t="s">
        <v>103</v>
      </c>
      <c r="P65" s="15"/>
      <c r="Q65" s="15"/>
      <c r="R65" s="15"/>
      <c r="S65" s="15"/>
      <c r="T65" s="15"/>
      <c r="U65" s="15"/>
      <c r="V65" s="16"/>
      <c r="W65" s="8" t="s">
        <v>79</v>
      </c>
      <c r="X65" s="9"/>
      <c r="Y65" s="9"/>
      <c r="Z65" s="9"/>
      <c r="AA65" s="9"/>
      <c r="AB65" s="9"/>
      <c r="AC65" s="9"/>
      <c r="AD65" s="10"/>
      <c r="AE65" s="20" t="s">
        <v>10</v>
      </c>
      <c r="AF65" s="21"/>
      <c r="AG65" s="21"/>
      <c r="AH65" s="21"/>
      <c r="AI65" s="22"/>
      <c r="AJ65" s="23">
        <v>360</v>
      </c>
      <c r="AK65" s="24"/>
      <c r="AL65" s="24"/>
      <c r="AM65" s="24"/>
      <c r="AN65" s="24"/>
      <c r="AO65" s="24"/>
      <c r="AP65" s="25"/>
      <c r="AQ65" s="26"/>
      <c r="AR65" s="26"/>
      <c r="AT65" t="str" cm="1">
        <f t="array" ref="AT65:AY65">_xlfn._xlws.FILTER(A65:AP65,A65:AP65&lt;&gt;"",-1)</f>
        <v>Radiography - BSc (Hons) Scheme in Medical Laboratory Science and Radiography</v>
      </c>
      <c r="AU65" t="str">
        <v>JS3612</v>
      </c>
      <c r="AV65" t="str">
        <v>361.6
(subject weighting in details)</v>
      </c>
      <c r="AW65" t="str">
        <v>Any Best 6 Subjects</v>
      </c>
      <c r="AX65" t="str">
        <v>Median</v>
      </c>
      <c r="AY65">
        <v>360</v>
      </c>
    </row>
    <row r="66" spans="1:51" ht="20.100000000000001" customHeight="1" x14ac:dyDescent="0.2">
      <c r="A66" s="5"/>
      <c r="B66" s="6"/>
      <c r="C66" s="6"/>
      <c r="D66" s="6"/>
      <c r="E66" s="6"/>
      <c r="F66" s="6"/>
      <c r="G66" s="6"/>
      <c r="H66" s="6"/>
      <c r="I66" s="7"/>
      <c r="J66" s="11"/>
      <c r="K66" s="12"/>
      <c r="L66" s="12"/>
      <c r="M66" s="12"/>
      <c r="N66" s="13"/>
      <c r="O66" s="17"/>
      <c r="P66" s="18"/>
      <c r="Q66" s="18"/>
      <c r="R66" s="18"/>
      <c r="S66" s="18"/>
      <c r="T66" s="18"/>
      <c r="U66" s="18"/>
      <c r="V66" s="19"/>
      <c r="W66" s="11"/>
      <c r="X66" s="12"/>
      <c r="Y66" s="12"/>
      <c r="Z66" s="12"/>
      <c r="AA66" s="12"/>
      <c r="AB66" s="12"/>
      <c r="AC66" s="12"/>
      <c r="AD66" s="13"/>
      <c r="AE66" s="20" t="s">
        <v>11</v>
      </c>
      <c r="AF66" s="21"/>
      <c r="AG66" s="21"/>
      <c r="AH66" s="21"/>
      <c r="AI66" s="22"/>
      <c r="AJ66" s="23">
        <v>345</v>
      </c>
      <c r="AK66" s="24"/>
      <c r="AL66" s="24"/>
      <c r="AM66" s="24"/>
      <c r="AN66" s="24"/>
      <c r="AO66" s="24"/>
      <c r="AP66" s="25"/>
      <c r="AQ66" s="26"/>
      <c r="AR66" s="26"/>
      <c r="AT66" t="str" cm="1">
        <f t="array" ref="AT66:AU66">_xlfn._xlws.FILTER(A66:AP66,A66:AP66&lt;&gt;"",-1)</f>
        <v>Lower Quartile</v>
      </c>
      <c r="AU66">
        <v>345</v>
      </c>
    </row>
    <row r="67" spans="1:51" ht="21" customHeight="1" x14ac:dyDescent="0.2">
      <c r="A67" s="2" t="s">
        <v>104</v>
      </c>
      <c r="B67" s="3"/>
      <c r="C67" s="3"/>
      <c r="D67" s="3"/>
      <c r="E67" s="3"/>
      <c r="F67" s="3"/>
      <c r="G67" s="3"/>
      <c r="H67" s="3"/>
      <c r="I67" s="4"/>
      <c r="J67" s="8" t="s">
        <v>105</v>
      </c>
      <c r="K67" s="9"/>
      <c r="L67" s="9"/>
      <c r="M67" s="9"/>
      <c r="N67" s="10"/>
      <c r="O67" s="14" t="s">
        <v>106</v>
      </c>
      <c r="P67" s="15"/>
      <c r="Q67" s="15"/>
      <c r="R67" s="15"/>
      <c r="S67" s="15"/>
      <c r="T67" s="15"/>
      <c r="U67" s="15"/>
      <c r="V67" s="16"/>
      <c r="W67" s="8" t="s">
        <v>9</v>
      </c>
      <c r="X67" s="9"/>
      <c r="Y67" s="9"/>
      <c r="Z67" s="9"/>
      <c r="AA67" s="9"/>
      <c r="AB67" s="9"/>
      <c r="AC67" s="9"/>
      <c r="AD67" s="10"/>
      <c r="AE67" s="20" t="s">
        <v>10</v>
      </c>
      <c r="AF67" s="21"/>
      <c r="AG67" s="21"/>
      <c r="AH67" s="21"/>
      <c r="AI67" s="22"/>
      <c r="AJ67" s="27">
        <v>201.5</v>
      </c>
      <c r="AK67" s="28"/>
      <c r="AL67" s="28"/>
      <c r="AM67" s="28"/>
      <c r="AN67" s="28"/>
      <c r="AO67" s="28"/>
      <c r="AP67" s="29"/>
      <c r="AQ67" s="26"/>
      <c r="AR67" s="26"/>
      <c r="AT67" t="str" cm="1">
        <f t="array" ref="AT67:AY67">_xlfn._xlws.FILTER(A67:AP67,A67:AP67&lt;&gt;"",-1)</f>
        <v>Spatial Data Science and Smart Cities - BSc (Hons) Scheme</v>
      </c>
      <c r="AU67" t="str">
        <v>JS3130</v>
      </c>
      <c r="AV67" t="str">
        <v>203.5
(subject weighting in details)</v>
      </c>
      <c r="AW67" t="str">
        <v>Any Best 5 Subjects</v>
      </c>
      <c r="AX67" t="str">
        <v>Median</v>
      </c>
      <c r="AY67">
        <v>201.5</v>
      </c>
    </row>
    <row r="68" spans="1:51" ht="20.45" customHeight="1" x14ac:dyDescent="0.2">
      <c r="A68" s="5"/>
      <c r="B68" s="6"/>
      <c r="C68" s="6"/>
      <c r="D68" s="6"/>
      <c r="E68" s="6"/>
      <c r="F68" s="6"/>
      <c r="G68" s="6"/>
      <c r="H68" s="6"/>
      <c r="I68" s="7"/>
      <c r="J68" s="11"/>
      <c r="K68" s="12"/>
      <c r="L68" s="12"/>
      <c r="M68" s="12"/>
      <c r="N68" s="13"/>
      <c r="O68" s="17"/>
      <c r="P68" s="18"/>
      <c r="Q68" s="18"/>
      <c r="R68" s="18"/>
      <c r="S68" s="18"/>
      <c r="T68" s="18"/>
      <c r="U68" s="18"/>
      <c r="V68" s="19"/>
      <c r="W68" s="11"/>
      <c r="X68" s="12"/>
      <c r="Y68" s="12"/>
      <c r="Z68" s="12"/>
      <c r="AA68" s="12"/>
      <c r="AB68" s="12"/>
      <c r="AC68" s="12"/>
      <c r="AD68" s="13"/>
      <c r="AE68" s="20" t="s">
        <v>11</v>
      </c>
      <c r="AF68" s="21"/>
      <c r="AG68" s="21"/>
      <c r="AH68" s="21"/>
      <c r="AI68" s="22"/>
      <c r="AJ68" s="23">
        <v>193</v>
      </c>
      <c r="AK68" s="24"/>
      <c r="AL68" s="24"/>
      <c r="AM68" s="24"/>
      <c r="AN68" s="24"/>
      <c r="AO68" s="24"/>
      <c r="AP68" s="25"/>
      <c r="AQ68" s="26"/>
      <c r="AR68" s="26"/>
      <c r="AT68" t="str" cm="1">
        <f t="array" ref="AT68:AU68">_xlfn._xlws.FILTER(A68:AP68,A68:AP68&lt;&gt;"",-1)</f>
        <v>Lower Quartile</v>
      </c>
      <c r="AU68">
        <v>193</v>
      </c>
    </row>
  </sheetData>
  <mergeCells count="306">
    <mergeCell ref="A1:I1"/>
    <mergeCell ref="J1:N1"/>
    <mergeCell ref="O1:V1"/>
    <mergeCell ref="W1:AD1"/>
    <mergeCell ref="AE1:AI1"/>
    <mergeCell ref="AJ1:AP1"/>
    <mergeCell ref="AQ1:AR1"/>
    <mergeCell ref="A2:I3"/>
    <mergeCell ref="J2:N3"/>
    <mergeCell ref="O2:V3"/>
    <mergeCell ref="W2:AD3"/>
    <mergeCell ref="AE2:AI2"/>
    <mergeCell ref="AJ2:AP2"/>
    <mergeCell ref="AQ2:AR2"/>
    <mergeCell ref="AE3:AI3"/>
    <mergeCell ref="AJ3:AP3"/>
    <mergeCell ref="AQ3:AR3"/>
    <mergeCell ref="A6:I7"/>
    <mergeCell ref="J6:N7"/>
    <mergeCell ref="O6:V7"/>
    <mergeCell ref="W6:AD7"/>
    <mergeCell ref="AE6:AI6"/>
    <mergeCell ref="AJ6:AP6"/>
    <mergeCell ref="AQ6:AR6"/>
    <mergeCell ref="AE7:AI7"/>
    <mergeCell ref="AJ7:AP7"/>
    <mergeCell ref="AQ7:AR7"/>
    <mergeCell ref="A4:I5"/>
    <mergeCell ref="J4:N5"/>
    <mergeCell ref="O4:V5"/>
    <mergeCell ref="W4:AD5"/>
    <mergeCell ref="AE4:AI4"/>
    <mergeCell ref="AJ4:AP4"/>
    <mergeCell ref="AQ4:AR4"/>
    <mergeCell ref="AE5:AI5"/>
    <mergeCell ref="AJ5:AP5"/>
    <mergeCell ref="AQ5:AR5"/>
    <mergeCell ref="A10:I11"/>
    <mergeCell ref="J10:N11"/>
    <mergeCell ref="O10:V11"/>
    <mergeCell ref="W10:AD11"/>
    <mergeCell ref="AE10:AI10"/>
    <mergeCell ref="AJ10:AP10"/>
    <mergeCell ref="AQ10:AR10"/>
    <mergeCell ref="AE11:AI11"/>
    <mergeCell ref="AJ11:AP11"/>
    <mergeCell ref="AQ11:AR11"/>
    <mergeCell ref="A8:I9"/>
    <mergeCell ref="J8:N9"/>
    <mergeCell ref="O8:V9"/>
    <mergeCell ref="W8:AD9"/>
    <mergeCell ref="AE8:AI8"/>
    <mergeCell ref="AJ8:AP8"/>
    <mergeCell ref="AQ8:AR8"/>
    <mergeCell ref="AE9:AI9"/>
    <mergeCell ref="AJ9:AP9"/>
    <mergeCell ref="AQ9:AR9"/>
    <mergeCell ref="AQ12:AR12"/>
    <mergeCell ref="AE13:AI13"/>
    <mergeCell ref="AJ13:AP13"/>
    <mergeCell ref="AQ13:AR13"/>
    <mergeCell ref="A14:I15"/>
    <mergeCell ref="J14:N15"/>
    <mergeCell ref="O14:V15"/>
    <mergeCell ref="W14:AD15"/>
    <mergeCell ref="AE14:AI14"/>
    <mergeCell ref="AJ14:AP14"/>
    <mergeCell ref="AQ14:AR14"/>
    <mergeCell ref="AE15:AI15"/>
    <mergeCell ref="AJ15:AP15"/>
    <mergeCell ref="AQ15:AR15"/>
    <mergeCell ref="AD19:AH19"/>
    <mergeCell ref="AI19:AN19"/>
    <mergeCell ref="AD20:AH20"/>
    <mergeCell ref="AI20:AN20"/>
    <mergeCell ref="A12:I13"/>
    <mergeCell ref="J12:N13"/>
    <mergeCell ref="O12:V13"/>
    <mergeCell ref="W12:AD13"/>
    <mergeCell ref="AE12:AI12"/>
    <mergeCell ref="AJ12:AP12"/>
    <mergeCell ref="N25:U26"/>
    <mergeCell ref="V25:AC26"/>
    <mergeCell ref="AD25:AH25"/>
    <mergeCell ref="AI25:AN25"/>
    <mergeCell ref="AD26:AH26"/>
    <mergeCell ref="AI26:AN26"/>
    <mergeCell ref="A16:H16"/>
    <mergeCell ref="I16:M16"/>
    <mergeCell ref="N16:U16"/>
    <mergeCell ref="V16:AC16"/>
    <mergeCell ref="AD16:AH16"/>
    <mergeCell ref="AI16:AN16"/>
    <mergeCell ref="A17:H18"/>
    <mergeCell ref="I17:M18"/>
    <mergeCell ref="N17:U18"/>
    <mergeCell ref="V17:AC18"/>
    <mergeCell ref="AD17:AH17"/>
    <mergeCell ref="AI17:AN17"/>
    <mergeCell ref="AD18:AH18"/>
    <mergeCell ref="AI18:AN18"/>
    <mergeCell ref="A19:H20"/>
    <mergeCell ref="I19:M20"/>
    <mergeCell ref="N19:U20"/>
    <mergeCell ref="V19:AC20"/>
    <mergeCell ref="N31:U32"/>
    <mergeCell ref="V31:AC32"/>
    <mergeCell ref="AD31:AH31"/>
    <mergeCell ref="AI31:AN31"/>
    <mergeCell ref="AD32:AH32"/>
    <mergeCell ref="AI32:AN32"/>
    <mergeCell ref="A21:H22"/>
    <mergeCell ref="I21:M22"/>
    <mergeCell ref="N21:U22"/>
    <mergeCell ref="V21:AC22"/>
    <mergeCell ref="AD21:AH21"/>
    <mergeCell ref="AI21:AN21"/>
    <mergeCell ref="AD22:AH22"/>
    <mergeCell ref="AI22:AN22"/>
    <mergeCell ref="A23:H24"/>
    <mergeCell ref="I23:M24"/>
    <mergeCell ref="N23:U24"/>
    <mergeCell ref="V23:AC24"/>
    <mergeCell ref="AD23:AH23"/>
    <mergeCell ref="AI23:AN23"/>
    <mergeCell ref="AD24:AH24"/>
    <mergeCell ref="AI24:AN24"/>
    <mergeCell ref="A25:H26"/>
    <mergeCell ref="I25:M26"/>
    <mergeCell ref="A37:H37"/>
    <mergeCell ref="I37:M37"/>
    <mergeCell ref="N37:U37"/>
    <mergeCell ref="V37:AC37"/>
    <mergeCell ref="AD37:AH37"/>
    <mergeCell ref="AI37:AN37"/>
    <mergeCell ref="A27:H28"/>
    <mergeCell ref="I27:M28"/>
    <mergeCell ref="N27:U28"/>
    <mergeCell ref="V27:AC28"/>
    <mergeCell ref="AD27:AH27"/>
    <mergeCell ref="AI27:AN27"/>
    <mergeCell ref="AD28:AH28"/>
    <mergeCell ref="AI28:AN28"/>
    <mergeCell ref="A29:H30"/>
    <mergeCell ref="I29:M30"/>
    <mergeCell ref="N29:U30"/>
    <mergeCell ref="V29:AC30"/>
    <mergeCell ref="AD29:AH29"/>
    <mergeCell ref="AI29:AN29"/>
    <mergeCell ref="AD30:AH30"/>
    <mergeCell ref="AI30:AN30"/>
    <mergeCell ref="A31:H32"/>
    <mergeCell ref="I31:M32"/>
    <mergeCell ref="A42:H43"/>
    <mergeCell ref="I42:M43"/>
    <mergeCell ref="N42:U43"/>
    <mergeCell ref="V42:AC43"/>
    <mergeCell ref="AD42:AH42"/>
    <mergeCell ref="AI42:AN42"/>
    <mergeCell ref="AD43:AH43"/>
    <mergeCell ref="AI43:AN43"/>
    <mergeCell ref="A33:H34"/>
    <mergeCell ref="I33:M34"/>
    <mergeCell ref="N33:U34"/>
    <mergeCell ref="V33:AC34"/>
    <mergeCell ref="AD33:AH33"/>
    <mergeCell ref="AI33:AN33"/>
    <mergeCell ref="AD34:AH34"/>
    <mergeCell ref="AI34:AN34"/>
    <mergeCell ref="A35:H36"/>
    <mergeCell ref="I35:M36"/>
    <mergeCell ref="N35:U36"/>
    <mergeCell ref="V35:AC36"/>
    <mergeCell ref="AD35:AH35"/>
    <mergeCell ref="AI35:AN35"/>
    <mergeCell ref="AD36:AH36"/>
    <mergeCell ref="AI36:AN36"/>
    <mergeCell ref="A48:H49"/>
    <mergeCell ref="I48:M49"/>
    <mergeCell ref="N48:U49"/>
    <mergeCell ref="V48:AC49"/>
    <mergeCell ref="AD48:AH48"/>
    <mergeCell ref="AI48:AN48"/>
    <mergeCell ref="AD49:AH49"/>
    <mergeCell ref="AI49:AN49"/>
    <mergeCell ref="A38:H39"/>
    <mergeCell ref="I38:M39"/>
    <mergeCell ref="N38:U39"/>
    <mergeCell ref="V38:AC39"/>
    <mergeCell ref="AD38:AH38"/>
    <mergeCell ref="AI38:AN38"/>
    <mergeCell ref="AD39:AH39"/>
    <mergeCell ref="AI39:AN39"/>
    <mergeCell ref="A40:H41"/>
    <mergeCell ref="I40:M41"/>
    <mergeCell ref="N40:U41"/>
    <mergeCell ref="V40:AC41"/>
    <mergeCell ref="AD40:AH40"/>
    <mergeCell ref="AI40:AN40"/>
    <mergeCell ref="AD41:AH41"/>
    <mergeCell ref="AI41:AN41"/>
    <mergeCell ref="A54:H55"/>
    <mergeCell ref="I54:M55"/>
    <mergeCell ref="N54:U55"/>
    <mergeCell ref="V54:AC55"/>
    <mergeCell ref="AD54:AH54"/>
    <mergeCell ref="AI54:AN54"/>
    <mergeCell ref="AD55:AH55"/>
    <mergeCell ref="AI55:AN55"/>
    <mergeCell ref="A44:H45"/>
    <mergeCell ref="I44:M45"/>
    <mergeCell ref="N44:U45"/>
    <mergeCell ref="V44:AC45"/>
    <mergeCell ref="AD44:AH44"/>
    <mergeCell ref="AI44:AN44"/>
    <mergeCell ref="AD45:AH45"/>
    <mergeCell ref="AI45:AN45"/>
    <mergeCell ref="A46:H47"/>
    <mergeCell ref="I46:M47"/>
    <mergeCell ref="N46:U47"/>
    <mergeCell ref="V46:AC47"/>
    <mergeCell ref="AD46:AH46"/>
    <mergeCell ref="AI46:AN46"/>
    <mergeCell ref="AD47:AH47"/>
    <mergeCell ref="AI47:AN47"/>
    <mergeCell ref="A50:H51"/>
    <mergeCell ref="I50:M51"/>
    <mergeCell ref="N50:U51"/>
    <mergeCell ref="V50:AC51"/>
    <mergeCell ref="AD50:AH50"/>
    <mergeCell ref="AI50:AN50"/>
    <mergeCell ref="AD51:AH51"/>
    <mergeCell ref="AI51:AN51"/>
    <mergeCell ref="A52:H53"/>
    <mergeCell ref="I52:M53"/>
    <mergeCell ref="N52:U53"/>
    <mergeCell ref="V52:AC53"/>
    <mergeCell ref="AD52:AH52"/>
    <mergeCell ref="AI52:AN52"/>
    <mergeCell ref="AD53:AH53"/>
    <mergeCell ref="AI53:AN53"/>
    <mergeCell ref="AQ58:AR58"/>
    <mergeCell ref="A59:I60"/>
    <mergeCell ref="J59:N60"/>
    <mergeCell ref="O59:V60"/>
    <mergeCell ref="W59:AD60"/>
    <mergeCell ref="AE59:AI59"/>
    <mergeCell ref="AJ59:AP59"/>
    <mergeCell ref="AQ59:AR59"/>
    <mergeCell ref="AE60:AI60"/>
    <mergeCell ref="AJ60:AP60"/>
    <mergeCell ref="AQ60:AR60"/>
    <mergeCell ref="A56:H57"/>
    <mergeCell ref="I56:M57"/>
    <mergeCell ref="N56:U57"/>
    <mergeCell ref="V56:AC57"/>
    <mergeCell ref="AD56:AH56"/>
    <mergeCell ref="AI56:AN56"/>
    <mergeCell ref="AD57:AH57"/>
    <mergeCell ref="AI57:AN57"/>
    <mergeCell ref="A58:I58"/>
    <mergeCell ref="J58:N58"/>
    <mergeCell ref="O58:V58"/>
    <mergeCell ref="W58:AD58"/>
    <mergeCell ref="AE58:AI58"/>
    <mergeCell ref="AJ58:AP58"/>
    <mergeCell ref="A63:I64"/>
    <mergeCell ref="J63:N64"/>
    <mergeCell ref="O63:V64"/>
    <mergeCell ref="W63:AD64"/>
    <mergeCell ref="AE63:AI63"/>
    <mergeCell ref="AJ63:AP63"/>
    <mergeCell ref="AQ63:AR63"/>
    <mergeCell ref="AE64:AI64"/>
    <mergeCell ref="AJ64:AP64"/>
    <mergeCell ref="AQ64:AR64"/>
    <mergeCell ref="A61:I62"/>
    <mergeCell ref="J61:N62"/>
    <mergeCell ref="O61:V62"/>
    <mergeCell ref="W61:AD62"/>
    <mergeCell ref="AE61:AI61"/>
    <mergeCell ref="AJ61:AP61"/>
    <mergeCell ref="AQ61:AR61"/>
    <mergeCell ref="AE62:AI62"/>
    <mergeCell ref="AJ62:AP62"/>
    <mergeCell ref="AQ62:AR62"/>
    <mergeCell ref="A67:I68"/>
    <mergeCell ref="J67:N68"/>
    <mergeCell ref="O67:V68"/>
    <mergeCell ref="W67:AD68"/>
    <mergeCell ref="AE67:AI67"/>
    <mergeCell ref="AJ67:AP67"/>
    <mergeCell ref="AQ67:AR67"/>
    <mergeCell ref="AE68:AI68"/>
    <mergeCell ref="AJ68:AP68"/>
    <mergeCell ref="AQ68:AR68"/>
    <mergeCell ref="A65:I66"/>
    <mergeCell ref="J65:N66"/>
    <mergeCell ref="O65:V66"/>
    <mergeCell ref="W65:AD66"/>
    <mergeCell ref="AE65:AI65"/>
    <mergeCell ref="AJ65:AP65"/>
    <mergeCell ref="AQ65:AR65"/>
    <mergeCell ref="AE66:AI66"/>
    <mergeCell ref="AJ66:AP66"/>
    <mergeCell ref="AQ66:AR66"/>
  </mergeCells>
  <phoneticPr fontId="6" type="noConversion"/>
  <hyperlinks>
    <hyperlink ref="O2" r:id="rId1" display="https://www.polyu.edu.hk/aradm/jupas/JS3060_2023_SW.pdf" xr:uid="{00000000-0004-0000-0000-000000000000}"/>
    <hyperlink ref="O4" r:id="rId2" display="https://www.polyu.edu.hk/aradm/jupas/JS3250_2023_SW.pdf" xr:uid="{00000000-0004-0000-0000-000001000000}"/>
    <hyperlink ref="O6" r:id="rId3" display="https://www.polyu.edu.hk/aradm/jupas/JS3140_2023_SW.pdf" xr:uid="{00000000-0004-0000-0000-000002000000}"/>
    <hyperlink ref="O8" r:id="rId4" display="https://www.polyu.edu.hk/aradm/jupas/JS3070_2023_SW.pdf" xr:uid="{00000000-0004-0000-0000-000003000000}"/>
    <hyperlink ref="O10" r:id="rId5" display="https://www.polyu.edu.hk/aradm/jupas/JS3150_2023_SW.pdf" xr:uid="{00000000-0004-0000-0000-000004000000}"/>
    <hyperlink ref="O12" r:id="rId6" display="https://www.polyu.edu.hk/aradm/jupas/JS3010_2023_SW.pdf" xr:uid="{00000000-0004-0000-0000-000005000000}"/>
    <hyperlink ref="O14" r:id="rId7" display="https://www.polyu.edu.hk/aradm/jupas/JS3100_2023_SW.pdf" xr:uid="{00000000-0004-0000-0000-000006000000}"/>
    <hyperlink ref="N17" r:id="rId8" display="https://www.polyu.edu.hk/aradm/jupas/JS3110_2023_SW.pdf" xr:uid="{00000000-0004-0000-0000-000007000000}"/>
    <hyperlink ref="N19" r:id="rId9" display="https://www.polyu.edu.hk/aradm/jupas/JS3320_2023_SW.pdf" xr:uid="{00000000-0004-0000-0000-000008000000}"/>
    <hyperlink ref="N21" r:id="rId10" display="https://www.polyu.edu.hk/aradm/jupas/JS3120_2023_SW.pdf" xr:uid="{00000000-0004-0000-0000-000009000000}"/>
    <hyperlink ref="N23" r:id="rId11" display="https://www.polyu.edu.hk/aradm/jupas/JS3868_2023_SW.pdf" xr:uid="{00000000-0004-0000-0000-00000A000000}"/>
    <hyperlink ref="N25" r:id="rId12" display="https://www.polyu.edu.hk/aradm/jupas/JS3020_2023_SW.pdf" xr:uid="{00000000-0004-0000-0000-00000B000000}"/>
    <hyperlink ref="N27" r:id="rId13" display="https://www.polyu.edu.hk/aradm/jupas/JS3569_2023_SW.pdf" xr:uid="{00000000-0004-0000-0000-00000C000000}"/>
    <hyperlink ref="N29" r:id="rId14" display="https://www.polyu.edu.hk/aradm/jupas/JS3170_2023_SW.pdf" xr:uid="{00000000-0004-0000-0000-00000D000000}"/>
    <hyperlink ref="N31" r:id="rId15" display="https://www.polyu.edu.hk/aradm/jupas/JS3240_2023_SW.pdf" xr:uid="{00000000-0004-0000-0000-00000E000000}"/>
    <hyperlink ref="N33" r:id="rId16" display="https://www.polyu.edu.hk/aradm/jupas/JS3050_2023_SW.pdf" xr:uid="{00000000-0004-0000-0000-00000F000000}"/>
    <hyperlink ref="N35" r:id="rId17" display="https://www.polyu.edu.hk/aradm/jupas/JS3310_2023_SW.pdf" xr:uid="{00000000-0004-0000-0000-000010000000}"/>
    <hyperlink ref="N38" r:id="rId18" display="https://www.polyu.edu.hk/aradm/jupas/JS3180_2023_SW.pdf" xr:uid="{00000000-0004-0000-0000-000011000000}"/>
    <hyperlink ref="N40" r:id="rId19" display="https://www.polyu.edu.hk/aradm/jupas/JS3330_2023_SW.pdf" xr:uid="{00000000-0004-0000-0000-000012000000}"/>
    <hyperlink ref="N42" r:id="rId20" display="https://www.polyu.edu.hk/aradm/jupas/JS3571_2023_SW.pdf" xr:uid="{00000000-0004-0000-0000-000013000000}"/>
    <hyperlink ref="N44" r:id="rId21" display="https://www.polyu.edu.hk/aradm/jupas/JS3080_2023_SW.pdf" xr:uid="{00000000-0004-0000-0000-000014000000}"/>
    <hyperlink ref="N46" r:id="rId22" display="https://www.polyu.edu.hk/aradm/jupas/JS3741_2023_SW.pdf" xr:uid="{00000000-0004-0000-0000-000015000000}"/>
    <hyperlink ref="N48" r:id="rId23" display="https://www.polyu.edu.hk/aradm/jupas/JS3478_2023_SW.pdf" xr:uid="{00000000-0004-0000-0000-000016000000}"/>
    <hyperlink ref="N50" r:id="rId24" display="https://www.polyu.edu.hk/aradm/jupas/JS3337_2023_SW.pdf" xr:uid="{00000000-0004-0000-0000-000017000000}"/>
    <hyperlink ref="N52" r:id="rId25" display="https://www.polyu.edu.hk/aradm/jupas/JS3648_2023_SW.pdf" xr:uid="{00000000-0004-0000-0000-000018000000}"/>
    <hyperlink ref="N54" r:id="rId26" display="https://www.polyu.edu.hk/aradm/jupas/JS3624_2023_SW.pdf" xr:uid="{00000000-0004-0000-0000-000019000000}"/>
    <hyperlink ref="N56" r:id="rId27" display="https://www.polyu.edu.hk/aradm/jupas/JS3290_2023_SW.pdf" xr:uid="{00000000-0004-0000-0000-00001A000000}"/>
    <hyperlink ref="O59" r:id="rId28" display="https://www.polyu.edu.hk/aradm/jupas/JS3030_2023_SW.pdf" xr:uid="{00000000-0004-0000-0000-00001B000000}"/>
    <hyperlink ref="O61" r:id="rId29" display="https://www.polyu.edu.hk/aradm/jupas/JS3636_2023_SW.pdf" xr:uid="{00000000-0004-0000-0000-00001C000000}"/>
    <hyperlink ref="O63" r:id="rId30" display="https://www.polyu.edu.hk/aradm/jupas/JS3557_2023_SW.pdf" xr:uid="{00000000-0004-0000-0000-00001D000000}"/>
    <hyperlink ref="O65" r:id="rId31" display="https://www.polyu.edu.hk/aradm/jupas/JS3612_2023_SW.pdf" xr:uid="{00000000-0004-0000-0000-00001E000000}"/>
    <hyperlink ref="O67" r:id="rId32" display="https://www.polyu.edu.hk/aradm/jupas/JS3130_2023_SW.pdf" xr:uid="{00000000-0004-0000-0000-00001F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5DBF2-D61F-4476-AE57-DD33A6A46181}">
  <dimension ref="A1:G34"/>
  <sheetViews>
    <sheetView tabSelected="1" topLeftCell="C1" workbookViewId="0">
      <selection activeCell="A3" sqref="A3:G34"/>
    </sheetView>
  </sheetViews>
  <sheetFormatPr defaultRowHeight="12.75" x14ac:dyDescent="0.2"/>
  <cols>
    <col min="1" max="1" width="14" bestFit="1" customWidth="1"/>
    <col min="2" max="2" width="138" bestFit="1" customWidth="1"/>
    <col min="3" max="3" width="57.1640625" customWidth="1"/>
    <col min="4" max="4" width="54.83203125" bestFit="1" customWidth="1"/>
    <col min="5" max="5" width="10.6640625" bestFit="1" customWidth="1"/>
    <col min="6" max="6" width="39.5" bestFit="1" customWidth="1"/>
  </cols>
  <sheetData>
    <row r="1" spans="1:7" x14ac:dyDescent="0.2">
      <c r="F1" t="s">
        <v>111</v>
      </c>
    </row>
    <row r="2" spans="1:7" x14ac:dyDescent="0.2">
      <c r="A2" t="s">
        <v>108</v>
      </c>
      <c r="B2" t="s">
        <v>107</v>
      </c>
      <c r="C2" s="1" t="s">
        <v>213</v>
      </c>
      <c r="D2" t="s">
        <v>109</v>
      </c>
      <c r="E2" t="s">
        <v>110</v>
      </c>
      <c r="F2" t="s">
        <v>115</v>
      </c>
      <c r="G2" t="s">
        <v>116</v>
      </c>
    </row>
    <row r="3" spans="1:7" x14ac:dyDescent="0.2">
      <c r="A3" t="s">
        <v>113</v>
      </c>
      <c r="B3" t="s">
        <v>112</v>
      </c>
      <c r="C3" t="s">
        <v>182</v>
      </c>
      <c r="D3" t="s">
        <v>114</v>
      </c>
      <c r="E3" t="s">
        <v>115</v>
      </c>
      <c r="F3">
        <v>179.5</v>
      </c>
      <c r="G3">
        <v>179</v>
      </c>
    </row>
    <row r="4" spans="1:7" x14ac:dyDescent="0.2">
      <c r="A4" t="s">
        <v>118</v>
      </c>
      <c r="B4" t="s">
        <v>117</v>
      </c>
      <c r="C4" t="s">
        <v>183</v>
      </c>
      <c r="D4" t="s">
        <v>119</v>
      </c>
      <c r="E4" t="s">
        <v>115</v>
      </c>
      <c r="F4">
        <v>196</v>
      </c>
      <c r="G4">
        <v>189</v>
      </c>
    </row>
    <row r="5" spans="1:7" x14ac:dyDescent="0.2">
      <c r="A5" t="s">
        <v>121</v>
      </c>
      <c r="B5" t="s">
        <v>120</v>
      </c>
      <c r="C5" t="s">
        <v>184</v>
      </c>
      <c r="D5" t="s">
        <v>114</v>
      </c>
      <c r="E5" t="s">
        <v>115</v>
      </c>
      <c r="F5">
        <v>184</v>
      </c>
      <c r="G5">
        <v>176.5</v>
      </c>
    </row>
    <row r="6" spans="1:7" x14ac:dyDescent="0.2">
      <c r="A6" t="s">
        <v>123</v>
      </c>
      <c r="B6" t="s">
        <v>122</v>
      </c>
      <c r="C6" t="s">
        <v>185</v>
      </c>
      <c r="D6" t="s">
        <v>114</v>
      </c>
      <c r="E6" t="s">
        <v>115</v>
      </c>
      <c r="F6">
        <v>164</v>
      </c>
      <c r="G6">
        <v>161.5</v>
      </c>
    </row>
    <row r="7" spans="1:7" x14ac:dyDescent="0.2">
      <c r="A7" t="s">
        <v>125</v>
      </c>
      <c r="B7" t="s">
        <v>124</v>
      </c>
      <c r="C7" t="s">
        <v>186</v>
      </c>
      <c r="D7" t="s">
        <v>114</v>
      </c>
      <c r="E7" t="s">
        <v>115</v>
      </c>
      <c r="F7">
        <v>227</v>
      </c>
      <c r="G7">
        <v>218</v>
      </c>
    </row>
    <row r="8" spans="1:7" x14ac:dyDescent="0.2">
      <c r="A8" s="1" t="s">
        <v>181</v>
      </c>
      <c r="B8" t="s">
        <v>126</v>
      </c>
      <c r="C8" t="s">
        <v>187</v>
      </c>
      <c r="D8" t="s">
        <v>114</v>
      </c>
      <c r="E8" t="s">
        <v>115</v>
      </c>
      <c r="F8">
        <v>188</v>
      </c>
      <c r="G8">
        <v>179</v>
      </c>
    </row>
    <row r="9" spans="1:7" x14ac:dyDescent="0.2">
      <c r="A9" t="s">
        <v>128</v>
      </c>
      <c r="B9" t="s">
        <v>127</v>
      </c>
      <c r="C9" t="s">
        <v>188</v>
      </c>
      <c r="D9" t="s">
        <v>114</v>
      </c>
      <c r="E9" t="s">
        <v>115</v>
      </c>
      <c r="F9">
        <v>163</v>
      </c>
      <c r="G9">
        <v>152</v>
      </c>
    </row>
    <row r="10" spans="1:7" x14ac:dyDescent="0.2">
      <c r="A10" t="s">
        <v>130</v>
      </c>
      <c r="B10" t="s">
        <v>129</v>
      </c>
      <c r="C10" t="s">
        <v>189</v>
      </c>
      <c r="D10" t="s">
        <v>114</v>
      </c>
      <c r="E10" t="s">
        <v>115</v>
      </c>
      <c r="F10">
        <v>176</v>
      </c>
      <c r="G10">
        <v>171</v>
      </c>
    </row>
    <row r="11" spans="1:7" x14ac:dyDescent="0.2">
      <c r="A11" t="s">
        <v>132</v>
      </c>
      <c r="B11" t="s">
        <v>131</v>
      </c>
      <c r="C11" t="s">
        <v>190</v>
      </c>
      <c r="D11" t="s">
        <v>133</v>
      </c>
      <c r="E11" t="s">
        <v>115</v>
      </c>
      <c r="F11">
        <v>201</v>
      </c>
      <c r="G11">
        <v>180</v>
      </c>
    </row>
    <row r="12" spans="1:7" x14ac:dyDescent="0.2">
      <c r="A12" t="s">
        <v>135</v>
      </c>
      <c r="B12" t="s">
        <v>134</v>
      </c>
      <c r="C12" t="s">
        <v>191</v>
      </c>
      <c r="D12" t="s">
        <v>114</v>
      </c>
      <c r="E12" t="s">
        <v>115</v>
      </c>
      <c r="F12">
        <v>205</v>
      </c>
      <c r="G12">
        <v>200</v>
      </c>
    </row>
    <row r="13" spans="1:7" x14ac:dyDescent="0.2">
      <c r="A13" t="s">
        <v>137</v>
      </c>
      <c r="B13" t="s">
        <v>136</v>
      </c>
      <c r="C13" t="s">
        <v>192</v>
      </c>
      <c r="D13" t="s">
        <v>114</v>
      </c>
      <c r="E13" t="s">
        <v>115</v>
      </c>
      <c r="F13">
        <v>208</v>
      </c>
      <c r="G13">
        <v>195</v>
      </c>
    </row>
    <row r="14" spans="1:7" x14ac:dyDescent="0.2">
      <c r="A14" t="s">
        <v>139</v>
      </c>
      <c r="B14" t="s">
        <v>138</v>
      </c>
      <c r="C14" t="s">
        <v>193</v>
      </c>
      <c r="D14" t="s">
        <v>114</v>
      </c>
      <c r="E14" t="s">
        <v>115</v>
      </c>
      <c r="F14">
        <v>180.5</v>
      </c>
      <c r="G14">
        <v>174.5</v>
      </c>
    </row>
    <row r="15" spans="1:7" x14ac:dyDescent="0.2">
      <c r="A15" t="s">
        <v>141</v>
      </c>
      <c r="B15" t="s">
        <v>140</v>
      </c>
      <c r="C15" t="s">
        <v>194</v>
      </c>
      <c r="D15" t="s">
        <v>114</v>
      </c>
      <c r="E15" t="s">
        <v>115</v>
      </c>
      <c r="F15">
        <v>220</v>
      </c>
      <c r="G15">
        <v>210</v>
      </c>
    </row>
    <row r="16" spans="1:7" x14ac:dyDescent="0.2">
      <c r="A16" t="s">
        <v>143</v>
      </c>
      <c r="B16" t="s">
        <v>142</v>
      </c>
      <c r="C16" t="s">
        <v>195</v>
      </c>
      <c r="D16" t="s">
        <v>114</v>
      </c>
      <c r="E16" t="s">
        <v>115</v>
      </c>
      <c r="F16">
        <v>180</v>
      </c>
      <c r="G16">
        <v>176</v>
      </c>
    </row>
    <row r="17" spans="1:7" x14ac:dyDescent="0.2">
      <c r="A17" t="s">
        <v>145</v>
      </c>
      <c r="B17" t="s">
        <v>144</v>
      </c>
      <c r="C17" t="s">
        <v>196</v>
      </c>
      <c r="D17" t="s">
        <v>133</v>
      </c>
      <c r="E17" t="s">
        <v>115</v>
      </c>
      <c r="F17">
        <v>176.5</v>
      </c>
      <c r="G17">
        <v>172</v>
      </c>
    </row>
    <row r="18" spans="1:7" x14ac:dyDescent="0.2">
      <c r="A18" t="s">
        <v>147</v>
      </c>
      <c r="B18" t="s">
        <v>146</v>
      </c>
      <c r="C18" t="s">
        <v>197</v>
      </c>
      <c r="D18" t="s">
        <v>114</v>
      </c>
      <c r="E18" t="s">
        <v>115</v>
      </c>
      <c r="F18">
        <v>142</v>
      </c>
      <c r="G18">
        <v>152</v>
      </c>
    </row>
    <row r="19" spans="1:7" x14ac:dyDescent="0.2">
      <c r="A19" t="s">
        <v>149</v>
      </c>
      <c r="B19" t="s">
        <v>148</v>
      </c>
      <c r="C19" t="s">
        <v>198</v>
      </c>
      <c r="D19" t="s">
        <v>114</v>
      </c>
      <c r="E19" t="s">
        <v>115</v>
      </c>
      <c r="F19">
        <v>162.5</v>
      </c>
      <c r="G19">
        <v>156</v>
      </c>
    </row>
    <row r="20" spans="1:7" x14ac:dyDescent="0.2">
      <c r="A20" t="s">
        <v>151</v>
      </c>
      <c r="B20" t="s">
        <v>150</v>
      </c>
      <c r="C20" t="s">
        <v>184</v>
      </c>
      <c r="D20" t="s">
        <v>114</v>
      </c>
      <c r="E20" t="s">
        <v>115</v>
      </c>
      <c r="F20">
        <v>191</v>
      </c>
      <c r="G20">
        <v>186</v>
      </c>
    </row>
    <row r="21" spans="1:7" x14ac:dyDescent="0.2">
      <c r="A21" t="s">
        <v>153</v>
      </c>
      <c r="B21" t="s">
        <v>152</v>
      </c>
      <c r="C21" t="s">
        <v>199</v>
      </c>
      <c r="D21" t="s">
        <v>114</v>
      </c>
      <c r="E21" t="s">
        <v>115</v>
      </c>
      <c r="F21">
        <v>221.5</v>
      </c>
      <c r="G21">
        <v>206</v>
      </c>
    </row>
    <row r="22" spans="1:7" x14ac:dyDescent="0.2">
      <c r="A22" t="s">
        <v>155</v>
      </c>
      <c r="B22" t="s">
        <v>154</v>
      </c>
      <c r="C22" t="s">
        <v>200</v>
      </c>
      <c r="D22" t="s">
        <v>114</v>
      </c>
      <c r="E22" t="s">
        <v>115</v>
      </c>
      <c r="F22">
        <v>146</v>
      </c>
      <c r="G22">
        <v>142</v>
      </c>
    </row>
    <row r="23" spans="1:7" x14ac:dyDescent="0.2">
      <c r="A23" t="s">
        <v>157</v>
      </c>
      <c r="B23" t="s">
        <v>156</v>
      </c>
      <c r="C23" t="s">
        <v>201</v>
      </c>
      <c r="D23" t="s">
        <v>114</v>
      </c>
      <c r="E23" t="s">
        <v>115</v>
      </c>
      <c r="F23">
        <v>174.5</v>
      </c>
      <c r="G23">
        <v>172</v>
      </c>
    </row>
    <row r="24" spans="1:7" x14ac:dyDescent="0.2">
      <c r="A24" t="s">
        <v>159</v>
      </c>
      <c r="B24" t="s">
        <v>158</v>
      </c>
      <c r="C24" t="s">
        <v>202</v>
      </c>
      <c r="D24" t="s">
        <v>114</v>
      </c>
      <c r="E24" t="s">
        <v>115</v>
      </c>
      <c r="F24">
        <v>180</v>
      </c>
      <c r="G24">
        <v>178</v>
      </c>
    </row>
    <row r="25" spans="1:7" x14ac:dyDescent="0.2">
      <c r="A25" t="s">
        <v>161</v>
      </c>
      <c r="B25" t="s">
        <v>160</v>
      </c>
      <c r="C25" t="s">
        <v>203</v>
      </c>
      <c r="D25" t="s">
        <v>162</v>
      </c>
      <c r="E25" t="s">
        <v>115</v>
      </c>
      <c r="F25">
        <v>330</v>
      </c>
      <c r="G25">
        <v>328.5</v>
      </c>
    </row>
    <row r="26" spans="1:7" x14ac:dyDescent="0.2">
      <c r="A26" t="s">
        <v>164</v>
      </c>
      <c r="B26" t="s">
        <v>163</v>
      </c>
      <c r="C26" t="s">
        <v>204</v>
      </c>
      <c r="D26" t="s">
        <v>119</v>
      </c>
      <c r="E26" t="s">
        <v>115</v>
      </c>
      <c r="F26">
        <v>243</v>
      </c>
      <c r="G26">
        <v>238</v>
      </c>
    </row>
    <row r="27" spans="1:7" x14ac:dyDescent="0.2">
      <c r="A27" t="s">
        <v>166</v>
      </c>
      <c r="B27" t="s">
        <v>165</v>
      </c>
      <c r="C27" t="s">
        <v>205</v>
      </c>
      <c r="D27" t="s">
        <v>119</v>
      </c>
      <c r="E27" t="s">
        <v>115</v>
      </c>
      <c r="F27">
        <v>258.5</v>
      </c>
      <c r="G27">
        <v>253.5</v>
      </c>
    </row>
    <row r="28" spans="1:7" x14ac:dyDescent="0.2">
      <c r="A28" t="s">
        <v>168</v>
      </c>
      <c r="B28" t="s">
        <v>167</v>
      </c>
      <c r="C28" t="s">
        <v>206</v>
      </c>
      <c r="D28" t="s">
        <v>162</v>
      </c>
      <c r="E28" t="s">
        <v>115</v>
      </c>
      <c r="F28">
        <v>312</v>
      </c>
      <c r="G28">
        <v>307.5</v>
      </c>
    </row>
    <row r="29" spans="1:7" x14ac:dyDescent="0.2">
      <c r="A29" t="s">
        <v>170</v>
      </c>
      <c r="B29" t="s">
        <v>169</v>
      </c>
      <c r="C29" t="s">
        <v>207</v>
      </c>
      <c r="D29" t="s">
        <v>162</v>
      </c>
      <c r="E29" t="s">
        <v>115</v>
      </c>
      <c r="F29">
        <v>317.5</v>
      </c>
      <c r="G29">
        <v>298.5</v>
      </c>
    </row>
    <row r="30" spans="1:7" x14ac:dyDescent="0.2">
      <c r="A30" t="s">
        <v>172</v>
      </c>
      <c r="B30" t="s">
        <v>171</v>
      </c>
      <c r="C30" t="s">
        <v>208</v>
      </c>
      <c r="D30" t="s">
        <v>114</v>
      </c>
      <c r="E30" t="s">
        <v>115</v>
      </c>
      <c r="F30">
        <v>188</v>
      </c>
      <c r="G30">
        <v>188</v>
      </c>
    </row>
    <row r="31" spans="1:7" x14ac:dyDescent="0.2">
      <c r="A31" t="s">
        <v>174</v>
      </c>
      <c r="B31" t="s">
        <v>173</v>
      </c>
      <c r="C31" t="s">
        <v>209</v>
      </c>
      <c r="D31" t="s">
        <v>162</v>
      </c>
      <c r="E31" t="s">
        <v>115</v>
      </c>
      <c r="F31">
        <v>337.5</v>
      </c>
      <c r="G31">
        <v>327</v>
      </c>
    </row>
    <row r="32" spans="1:7" x14ac:dyDescent="0.2">
      <c r="A32" t="s">
        <v>176</v>
      </c>
      <c r="B32" t="s">
        <v>175</v>
      </c>
      <c r="C32" t="s">
        <v>210</v>
      </c>
      <c r="D32" t="s">
        <v>114</v>
      </c>
      <c r="E32" t="s">
        <v>115</v>
      </c>
      <c r="F32">
        <v>146</v>
      </c>
      <c r="G32">
        <v>144.5</v>
      </c>
    </row>
    <row r="33" spans="1:7" x14ac:dyDescent="0.2">
      <c r="A33" t="s">
        <v>178</v>
      </c>
      <c r="B33" t="s">
        <v>177</v>
      </c>
      <c r="C33" t="s">
        <v>211</v>
      </c>
      <c r="D33" t="s">
        <v>162</v>
      </c>
      <c r="E33" t="s">
        <v>115</v>
      </c>
      <c r="F33">
        <v>360</v>
      </c>
      <c r="G33">
        <v>345</v>
      </c>
    </row>
    <row r="34" spans="1:7" x14ac:dyDescent="0.2">
      <c r="A34" t="s">
        <v>180</v>
      </c>
      <c r="B34" t="s">
        <v>179</v>
      </c>
      <c r="C34" t="s">
        <v>212</v>
      </c>
      <c r="D34" t="s">
        <v>114</v>
      </c>
      <c r="E34" t="s">
        <v>115</v>
      </c>
      <c r="F34">
        <v>201.5</v>
      </c>
      <c r="G34">
        <v>193</v>
      </c>
    </row>
  </sheetData>
  <autoFilter ref="A2:G34" xr:uid="{3B45DBF2-D61F-4476-AE57-DD33A6A46181}"/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608953B292F9F4EAF7362D9AB3B3A2D" ma:contentTypeVersion="21" ma:contentTypeDescription="建立新的文件。" ma:contentTypeScope="" ma:versionID="9c71ba464fe62f92d4cc9e4a602bedd3">
  <xsd:schema xmlns:xsd="http://www.w3.org/2001/XMLSchema" xmlns:xs="http://www.w3.org/2001/XMLSchema" xmlns:p="http://schemas.microsoft.com/office/2006/metadata/properties" xmlns:ns2="85956803-f0aa-4b9a-bfd5-e96fce39ee70" xmlns:ns3="5e1bbf1d-95f2-4197-87fa-f4c2741eba02" targetNamespace="http://schemas.microsoft.com/office/2006/metadata/properties" ma:root="true" ma:fieldsID="65237dcab87c4f8f411b3268241f102c" ns2:_="" ns3:_="">
    <xsd:import namespace="85956803-f0aa-4b9a-bfd5-e96fce39ee70"/>
    <xsd:import namespace="5e1bbf1d-95f2-4197-87fa-f4c2741eba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56803-f0aa-4b9a-bfd5-e96fce39ee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影像標籤" ma:readOnly="false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bbf1d-95f2-4197-87fa-f4c2741eba0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04313b9-6f12-4955-a8c9-2c74ce9fd698}" ma:internalName="TaxCatchAll" ma:showField="CatchAllData" ma:web="5e1bbf1d-95f2-4197-87fa-f4c2741eba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956803-f0aa-4b9a-bfd5-e96fce39ee70">
      <Terms xmlns="http://schemas.microsoft.com/office/infopath/2007/PartnerControls"/>
    </lcf76f155ced4ddcb4097134ff3c332f>
    <TaxCatchAll xmlns="5e1bbf1d-95f2-4197-87fa-f4c2741eba02" xsi:nil="true"/>
  </documentManagement>
</p:properties>
</file>

<file path=customXml/itemProps1.xml><?xml version="1.0" encoding="utf-8"?>
<ds:datastoreItem xmlns:ds="http://schemas.openxmlformats.org/officeDocument/2006/customXml" ds:itemID="{1E5090EE-1631-43EC-90EF-8F813718341B}"/>
</file>

<file path=customXml/itemProps2.xml><?xml version="1.0" encoding="utf-8"?>
<ds:datastoreItem xmlns:ds="http://schemas.openxmlformats.org/officeDocument/2006/customXml" ds:itemID="{3247BAD3-7C62-48EC-ABD3-C17BB2015BEA}"/>
</file>

<file path=customXml/itemProps3.xml><?xml version="1.0" encoding="utf-8"?>
<ds:datastoreItem xmlns:ds="http://schemas.openxmlformats.org/officeDocument/2006/customXml" ds:itemID="{D5E57008-2A2B-4FA2-9044-5686B65544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1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Po, Wendy [AS]</dc:creator>
  <dc:description/>
  <cp:lastModifiedBy>LAW KAI KWONG (Vice Principal)</cp:lastModifiedBy>
  <dcterms:created xsi:type="dcterms:W3CDTF">2024-06-22T15:06:07Z</dcterms:created>
  <dcterms:modified xsi:type="dcterms:W3CDTF">2024-06-23T03:16:00Z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2023-10-13T00:00:00Z</vt:filetime>
  </property>
  <property fmtid="{D5CDD505-2E9C-101B-9397-08002B2CF9AE}" pid="3" name="Creator">
    <vt:lpwstr>Acrobat PDFMaker 23 for Word</vt:lpwstr>
  </property>
  <property fmtid="{D5CDD505-2E9C-101B-9397-08002B2CF9AE}" pid="4" name="LastSaved">
    <vt:filetime>2024-06-22T00:00:00Z</vt:filetime>
  </property>
  <property fmtid="{D5CDD505-2E9C-101B-9397-08002B2CF9AE}" pid="5" name="Producer">
    <vt:lpwstr>Adobe PDF Library 23.6.96</vt:lpwstr>
  </property>
  <property fmtid="{D5CDD505-2E9C-101B-9397-08002B2CF9AE}" pid="6" name="SourceModified">
    <vt:lpwstr>D:20231013092527</vt:lpwstr>
  </property>
  <property fmtid="{D5CDD505-2E9C-101B-9397-08002B2CF9AE}" pid="7" name="ContentTypeId">
    <vt:lpwstr>0x0101006608953B292F9F4EAF7362D9AB3B3A2D</vt:lpwstr>
  </property>
</Properties>
</file>